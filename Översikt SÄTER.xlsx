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46275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46275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46275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46275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46275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46275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46275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193-2022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44564</v>
      </c>
      <c r="E21" s="1" t="n">
        <v>46275</v>
      </c>
      <c r="F21" t="inlineStr">
        <is>
          <t>DALARNAS LÄN</t>
        </is>
      </c>
      <c r="G21" t="inlineStr">
        <is>
          <t>SÄTER</t>
        </is>
      </c>
      <c r="I21" t="n">
        <v>1.9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Talltita</t>
        </is>
      </c>
      <c r="W21">
        <f>HYPERLINK("https://klasma.github.io/Logging_2082/artfynd/A 193-2022 artfynd.xlsx", "A 193-2022")</f>
        <v/>
      </c>
      <c r="X21">
        <f>HYPERLINK("https://klasma.github.io/Logging_2082/kartor/A 193-2022 karta.png", "A 193-2022")</f>
        <v/>
      </c>
      <c r="Y21">
        <f>HYPERLINK("https://klasma.github.io/Logging_2082/kartor_geotiff/A 193-2022 georefererad karta.tif", "A 193-2022")</f>
        <v/>
      </c>
      <c r="AA21">
        <f>HYPERLINK("https://klasma.github.io/Logging_2082/klagomål/A 193-2022 FSC-klagomål.docx", "A 193-2022")</f>
        <v/>
      </c>
      <c r="AB21">
        <f>HYPERLINK("https://klasma.github.io/Logging_2082/klagomålsmail/A 193-2022 FSC-klagomål mail.docx", "A 193-2022")</f>
        <v/>
      </c>
      <c r="AC21">
        <f>HYPERLINK("https://klasma.github.io/Logging_2082/tillsyn/A 193-2022 tillsynsbegäran.docx", "A 193-2022")</f>
        <v/>
      </c>
      <c r="AD21">
        <f>HYPERLINK("https://klasma.github.io/Logging_2082/tillsynsmail/A 193-2022 tillsynsbegäran mail.docx", "A 193-2022")</f>
        <v/>
      </c>
      <c r="AE21">
        <f>HYPERLINK("https://klasma.github.io/Logging_2082/fåglar/A 193-2022 prioriterade fågelarter.docx", "A 193-2022")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46275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46275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46275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46275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46275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46275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46275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9682-2025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46275</v>
      </c>
      <c r="F29" t="inlineStr">
        <is>
          <t>DALARNAS LÄN</t>
        </is>
      </c>
      <c r="G29" t="inlineStr">
        <is>
          <t>SÄTER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Ögonpyrola</t>
        </is>
      </c>
      <c r="W29">
        <f>HYPERLINK("https://klasma.github.io/Logging_2082/artfynd/A 9682-2025 artfynd.xlsx", "A 9682-2025")</f>
        <v/>
      </c>
      <c r="X29">
        <f>HYPERLINK("https://klasma.github.io/Logging_2082/kartor/A 9682-2025 karta.png", "A 9682-2025")</f>
        <v/>
      </c>
      <c r="Y29">
        <f>HYPERLINK("https://klasma.github.io/Logging_2082/kartor_geotiff/A 9682-2025 georefererad karta.tif", "A 9682-2025")</f>
        <v/>
      </c>
      <c r="AA29">
        <f>HYPERLINK("https://klasma.github.io/Logging_2082/klagomål/A 9682-2025 FSC-klagomål.docx", "A 9682-2025")</f>
        <v/>
      </c>
      <c r="AB29">
        <f>HYPERLINK("https://klasma.github.io/Logging_2082/klagomålsmail/A 9682-2025 FSC-klagomål mail.docx", "A 9682-2025")</f>
        <v/>
      </c>
      <c r="AC29">
        <f>HYPERLINK("https://klasma.github.io/Logging_2082/tillsyn/A 9682-2025 tillsynsbegäran.docx", "A 9682-2025")</f>
        <v/>
      </c>
      <c r="AD29">
        <f>HYPERLINK("https://klasma.github.io/Logging_2082/tillsynsmail/A 9682-2025 tillsynsbegäran mail.docx", "A 9682-2025")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46275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57427-2022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44896</v>
      </c>
      <c r="E31" s="1" t="n">
        <v>46275</v>
      </c>
      <c r="F31" t="inlineStr">
        <is>
          <t>DALARNAS LÄN</t>
        </is>
      </c>
      <c r="G31" t="inlineStr">
        <is>
          <t>SÄTER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HYPERLINK("https://klasma.github.io/Logging_2082/artfynd/A 57427-2022 artfynd.xlsx", "A 57427-2022")</f>
        <v/>
      </c>
      <c r="X31">
        <f>HYPERLINK("https://klasma.github.io/Logging_2082/kartor/A 57427-2022 karta.png", "A 57427-2022")</f>
        <v/>
      </c>
      <c r="Y31">
        <f>HYPERLINK("https://klasma.github.io/Logging_2082/kartor_geotiff/A 57427-2022 georefererad karta.tif", "A 57427-2022")</f>
        <v/>
      </c>
      <c r="AA31">
        <f>HYPERLINK("https://klasma.github.io/Logging_2082/klagomål/A 57427-2022 FSC-klagomål.docx", "A 57427-2022")</f>
        <v/>
      </c>
      <c r="AB31">
        <f>HYPERLINK("https://klasma.github.io/Logging_2082/klagomålsmail/A 57427-2022 FSC-klagomål mail.docx", "A 57427-2022")</f>
        <v/>
      </c>
      <c r="AC31">
        <f>HYPERLINK("https://klasma.github.io/Logging_2082/tillsyn/A 57427-2022 tillsynsbegäran.docx", "A 57427-2022")</f>
        <v/>
      </c>
      <c r="AD31">
        <f>HYPERLINK("https://klasma.github.io/Logging_2082/tillsynsmail/A 57427-2022 tillsynsbegäran mail.docx", "A 57427-2022")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46275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44992-2024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45575</v>
      </c>
      <c r="E33" s="1" t="n">
        <v>46275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9.9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HYPERLINK("https://klasma.github.io/Logging_2082/artfynd/A 44992-2024 artfynd.xlsx", "A 44992-2024")</f>
        <v/>
      </c>
      <c r="X33">
        <f>HYPERLINK("https://klasma.github.io/Logging_2082/kartor/A 44992-2024 karta.png", "A 44992-2024")</f>
        <v/>
      </c>
      <c r="Y33">
        <f>HYPERLINK("https://klasma.github.io/Logging_2082/kartor_geotiff/A 44992-2024 georefererad karta.tif", "A 44992-2024")</f>
        <v/>
      </c>
      <c r="AA33">
        <f>HYPERLINK("https://klasma.github.io/Logging_2082/klagomål/A 44992-2024 FSC-klagomål.docx", "A 44992-2024")</f>
        <v/>
      </c>
      <c r="AB33">
        <f>HYPERLINK("https://klasma.github.io/Logging_2082/klagomålsmail/A 44992-2024 FSC-klagomål mail.docx", "A 44992-2024")</f>
        <v/>
      </c>
      <c r="AC33">
        <f>HYPERLINK("https://klasma.github.io/Logging_2082/tillsyn/A 44992-2024 tillsynsbegäran.docx", "A 44992-2024")</f>
        <v/>
      </c>
      <c r="AD33">
        <f>HYPERLINK("https://klasma.github.io/Logging_2082/tillsynsmail/A 44992-2024 tillsynsbegäran mail.docx", "A 44992-2024")</f>
        <v/>
      </c>
    </row>
    <row r="34" ht="15" customHeight="1">
      <c r="A34" t="inlineStr">
        <is>
          <t>A 32383-2022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46275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32383-2022 artfynd.xlsx", "A 32383-2022")</f>
        <v/>
      </c>
      <c r="X34">
        <f>HYPERLINK("https://klasma.github.io/Logging_2082/kartor/A 32383-2022 karta.png", "A 32383-2022")</f>
        <v/>
      </c>
      <c r="Y34">
        <f>HYPERLINK("https://klasma.github.io/Logging_2082/kartor_geotiff/A 32383-2022 georefererad karta.tif", "A 32383-2022")</f>
        <v/>
      </c>
      <c r="Z34">
        <f>HYPERLINK("https://klasma.github.io/Logging_2082/knärot/A 32383-2022 karta knärot.png", "A 32383-2022")</f>
        <v/>
      </c>
      <c r="AA34">
        <f>HYPERLINK("https://klasma.github.io/Logging_2082/klagomål/A 32383-2022 FSC-klagomål.docx", "A 32383-2022")</f>
        <v/>
      </c>
      <c r="AB34">
        <f>HYPERLINK("https://klasma.github.io/Logging_2082/klagomålsmail/A 32383-2022 FSC-klagomål mail.docx", "A 32383-2022")</f>
        <v/>
      </c>
      <c r="AC34">
        <f>HYPERLINK("https://klasma.github.io/Logging_2082/tillsyn/A 32383-2022 tillsynsbegäran.docx", "A 32383-2022")</f>
        <v/>
      </c>
      <c r="AD34">
        <f>HYPERLINK("https://klasma.github.io/Logging_2082/tillsynsmail/A 32383-2022 tillsynsbegäran mail.docx", "A 32383-2022")</f>
        <v/>
      </c>
    </row>
    <row r="35" ht="15" customHeight="1">
      <c r="A35" t="inlineStr">
        <is>
          <t>A 34938-2025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46275</v>
      </c>
      <c r="F35" t="inlineStr">
        <is>
          <t>DALARNAS LÄN</t>
        </is>
      </c>
      <c r="G35" t="inlineStr">
        <is>
          <t>SÄTER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HYPERLINK("https://klasma.github.io/Logging_2082/artfynd/A 34938-2025 artfynd.xlsx", "A 34938-2025")</f>
        <v/>
      </c>
      <c r="X35">
        <f>HYPERLINK("https://klasma.github.io/Logging_2082/kartor/A 34938-2025 karta.png", "A 34938-2025")</f>
        <v/>
      </c>
      <c r="Y35">
        <f>HYPERLINK("https://klasma.github.io/Logging_2082/kartor_geotiff/A 34938-2025 georefererad karta.tif", "A 34938-2025")</f>
        <v/>
      </c>
      <c r="AA35">
        <f>HYPERLINK("https://klasma.github.io/Logging_2082/klagomål/A 34938-2025 FSC-klagomål.docx", "A 34938-2025")</f>
        <v/>
      </c>
      <c r="AB35">
        <f>HYPERLINK("https://klasma.github.io/Logging_2082/klagomålsmail/A 34938-2025 FSC-klagomål mail.docx", "A 34938-2025")</f>
        <v/>
      </c>
      <c r="AC35">
        <f>HYPERLINK("https://klasma.github.io/Logging_2082/tillsyn/A 34938-2025 tillsynsbegäran.docx", "A 34938-2025")</f>
        <v/>
      </c>
      <c r="AD35">
        <f>HYPERLINK("https://klasma.github.io/Logging_2082/tillsynsmail/A 34938-2025 tillsynsbegäran mail.docx", "A 34938-2025")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46275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47661-2025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46275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Järnsparv</t>
        </is>
      </c>
      <c r="W37">
        <f>HYPERLINK("https://klasma.github.io/Logging_2082/artfynd/A 47661-2025 artfynd.xlsx", "A 47661-2025")</f>
        <v/>
      </c>
      <c r="X37">
        <f>HYPERLINK("https://klasma.github.io/Logging_2082/kartor/A 47661-2025 karta.png", "A 47661-2025")</f>
        <v/>
      </c>
      <c r="Y37">
        <f>HYPERLINK("https://klasma.github.io/Logging_2082/kartor_geotiff/A 47661-2025 georefererad karta.tif", "A 47661-2025")</f>
        <v/>
      </c>
      <c r="AA37">
        <f>HYPERLINK("https://klasma.github.io/Logging_2082/klagomål/A 47661-2025 FSC-klagomål.docx", "A 47661-2025")</f>
        <v/>
      </c>
      <c r="AB37">
        <f>HYPERLINK("https://klasma.github.io/Logging_2082/klagomålsmail/A 47661-2025 FSC-klagomål mail.docx", "A 47661-2025")</f>
        <v/>
      </c>
      <c r="AC37">
        <f>HYPERLINK("https://klasma.github.io/Logging_2082/tillsyn/A 47661-2025 tillsynsbegäran.docx", "A 47661-2025")</f>
        <v/>
      </c>
      <c r="AD37">
        <f>HYPERLINK("https://klasma.github.io/Logging_2082/tillsynsmail/A 47661-2025 tillsynsbegäran mail.docx", "A 47661-2025")</f>
        <v/>
      </c>
      <c r="AE37">
        <f>HYPERLINK("https://klasma.github.io/Logging_2082/fåglar/A 47661-2025 prioriterade fågelarter.docx", "A 47661-2025")</f>
        <v/>
      </c>
    </row>
    <row r="38" ht="15" customHeight="1">
      <c r="A38" t="inlineStr">
        <is>
          <t>A 49653-2025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46275</v>
      </c>
      <c r="F38" t="inlineStr">
        <is>
          <t>DALARNAS LÄN</t>
        </is>
      </c>
      <c r="G38" t="inlineStr">
        <is>
          <t>SÄTER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HYPERLINK("https://klasma.github.io/Logging_2082/artfynd/A 49653-2025 artfynd.xlsx", "A 49653-2025")</f>
        <v/>
      </c>
      <c r="X38">
        <f>HYPERLINK("https://klasma.github.io/Logging_2082/kartor/A 49653-2025 karta.png", "A 49653-2025")</f>
        <v/>
      </c>
      <c r="Y38">
        <f>HYPERLINK("https://klasma.github.io/Logging_2082/kartor_geotiff/A 49653-2025 georefererad karta.tif", "A 49653-2025")</f>
        <v/>
      </c>
      <c r="AA38">
        <f>HYPERLINK("https://klasma.github.io/Logging_2082/klagomål/A 49653-2025 FSC-klagomål.docx", "A 49653-2025")</f>
        <v/>
      </c>
      <c r="AB38">
        <f>HYPERLINK("https://klasma.github.io/Logging_2082/klagomålsmail/A 49653-2025 FSC-klagomål mail.docx", "A 49653-2025")</f>
        <v/>
      </c>
      <c r="AC38">
        <f>HYPERLINK("https://klasma.github.io/Logging_2082/tillsyn/A 49653-2025 tillsynsbegäran.docx", "A 49653-2025")</f>
        <v/>
      </c>
      <c r="AD38">
        <f>HYPERLINK("https://klasma.github.io/Logging_2082/tillsynsmail/A 49653-2025 tillsynsbegäran mail.docx", "A 49653-2025")</f>
        <v/>
      </c>
    </row>
    <row r="39" ht="15" customHeight="1">
      <c r="A39" t="inlineStr">
        <is>
          <t>A 36939-2025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45874</v>
      </c>
      <c r="E39" s="1" t="n">
        <v>46275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Slaguggla</t>
        </is>
      </c>
      <c r="W39">
        <f>HYPERLINK("https://klasma.github.io/Logging_2082/artfynd/A 36939-2025 artfynd.xlsx", "A 36939-2025")</f>
        <v/>
      </c>
      <c r="X39">
        <f>HYPERLINK("https://klasma.github.io/Logging_2082/kartor/A 36939-2025 karta.png", "A 36939-2025")</f>
        <v/>
      </c>
      <c r="Y39">
        <f>HYPERLINK("https://klasma.github.io/Logging_2082/kartor_geotiff/A 36939-2025 georefererad karta.tif", "A 36939-2025")</f>
        <v/>
      </c>
      <c r="AA39">
        <f>HYPERLINK("https://klasma.github.io/Logging_2082/klagomål/A 36939-2025 FSC-klagomål.docx", "A 36939-2025")</f>
        <v/>
      </c>
      <c r="AB39">
        <f>HYPERLINK("https://klasma.github.io/Logging_2082/klagomålsmail/A 36939-2025 FSC-klagomål mail.docx", "A 36939-2025")</f>
        <v/>
      </c>
      <c r="AC39">
        <f>HYPERLINK("https://klasma.github.io/Logging_2082/tillsyn/A 36939-2025 tillsynsbegäran.docx", "A 36939-2025")</f>
        <v/>
      </c>
      <c r="AD39">
        <f>HYPERLINK("https://klasma.github.io/Logging_2082/tillsynsmail/A 36939-2025 tillsynsbegäran mail.docx", "A 36939-2025")</f>
        <v/>
      </c>
      <c r="AE39">
        <f>HYPERLINK("https://klasma.github.io/Logging_2082/fåglar/A 36939-2025 prioriterade fågelarter.docx", "A 36939-2025")</f>
        <v/>
      </c>
    </row>
    <row r="40" ht="15" customHeight="1">
      <c r="A40" t="inlineStr">
        <is>
          <t>A 27715-2023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46275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HYPERLINK("https://klasma.github.io/Logging_2082/artfynd/A 27715-2023 artfynd.xlsx", "A 27715-2023")</f>
        <v/>
      </c>
      <c r="X40">
        <f>HYPERLINK("https://klasma.github.io/Logging_2082/kartor/A 27715-2023 karta.png", "A 27715-2023")</f>
        <v/>
      </c>
      <c r="Y40">
        <f>HYPERLINK("https://klasma.github.io/Logging_2082/kartor_geotiff/A 27715-2023 georefererad karta.tif", "A 27715-2023")</f>
        <v/>
      </c>
      <c r="AA40">
        <f>HYPERLINK("https://klasma.github.io/Logging_2082/klagomål/A 27715-2023 FSC-klagomål.docx", "A 27715-2023")</f>
        <v/>
      </c>
      <c r="AB40">
        <f>HYPERLINK("https://klasma.github.io/Logging_2082/klagomålsmail/A 27715-2023 FSC-klagomål mail.docx", "A 27715-2023")</f>
        <v/>
      </c>
      <c r="AC40">
        <f>HYPERLINK("https://klasma.github.io/Logging_2082/tillsyn/A 27715-2023 tillsynsbegäran.docx", "A 27715-2023")</f>
        <v/>
      </c>
      <c r="AD40">
        <f>HYPERLINK("https://klasma.github.io/Logging_2082/tillsynsmail/A 27715-2023 tillsynsbegäran mail.docx", "A 27715-2023")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46275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46275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46275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46275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46275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46275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46275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46275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46275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46275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46275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46275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46275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65388-2021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46275</v>
      </c>
      <c r="F54" t="inlineStr">
        <is>
          <t>DALARNAS LÄN</t>
        </is>
      </c>
      <c r="G54" t="inlineStr">
        <is>
          <t>SÄTER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46275</v>
      </c>
      <c r="F55" t="inlineStr">
        <is>
          <t>DALARNAS LÄN</t>
        </is>
      </c>
      <c r="G55" t="inlineStr">
        <is>
          <t>SÄTER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46275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46275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46275</v>
      </c>
      <c r="F58" t="inlineStr">
        <is>
          <t>DALARNAS LÄN</t>
        </is>
      </c>
      <c r="G58" t="inlineStr">
        <is>
          <t>SÄTER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46275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46275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46275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46275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46275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46275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46275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46275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46275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44748</v>
      </c>
      <c r="E68" s="1" t="n">
        <v>46275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46275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46275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46275</v>
      </c>
      <c r="F71" t="inlineStr">
        <is>
          <t>DALARNAS LÄN</t>
        </is>
      </c>
      <c r="G71" t="inlineStr">
        <is>
          <t>SÄTER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16832-2024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46275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46275</v>
      </c>
      <c r="F73" t="inlineStr">
        <is>
          <t>DALARNAS LÄN</t>
        </is>
      </c>
      <c r="G73" t="inlineStr">
        <is>
          <t>SÄTER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46275</v>
      </c>
      <c r="F74" t="inlineStr">
        <is>
          <t>DALARNAS LÄN</t>
        </is>
      </c>
      <c r="G74" t="inlineStr">
        <is>
          <t>SÄTER</t>
        </is>
      </c>
      <c r="I74" t="n">
        <v>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45455</v>
      </c>
      <c r="E75" s="1" t="n">
        <v>46275</v>
      </c>
      <c r="F75" t="inlineStr">
        <is>
          <t>DALARNAS LÄN</t>
        </is>
      </c>
      <c r="G75" t="inlineStr">
        <is>
          <t>SÄTER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45201</v>
      </c>
      <c r="E76" s="1" t="n">
        <v>46275</v>
      </c>
      <c r="F76" t="inlineStr">
        <is>
          <t>DALARNAS LÄN</t>
        </is>
      </c>
      <c r="G76" t="inlineStr">
        <is>
          <t>SÄTER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46275</v>
      </c>
      <c r="F77" t="inlineStr">
        <is>
          <t>DALARNAS LÄN</t>
        </is>
      </c>
      <c r="G77" t="inlineStr">
        <is>
          <t>SÄTER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46275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44455</v>
      </c>
      <c r="E79" s="1" t="n">
        <v>46275</v>
      </c>
      <c r="F79" t="inlineStr">
        <is>
          <t>DALARNAS LÄN</t>
        </is>
      </c>
      <c r="G79" t="inlineStr">
        <is>
          <t>SÄTER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46275</v>
      </c>
      <c r="F80" t="inlineStr">
        <is>
          <t>DALARNAS LÄN</t>
        </is>
      </c>
      <c r="G80" t="inlineStr">
        <is>
          <t>SÄTER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46275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  <c r="Z81">
        <f>HYPERLINK("https://klasma.github.io/Logging_2082/knärot/A 57416-2022 karta knärot.png", "A 57416-2022")</f>
        <v/>
      </c>
      <c r="AA81">
        <f>HYPERLINK("https://klasma.github.io/Logging_2082/klagomål/A 57416-2022 FSC-klagomål.docx", "A 57416-2022")</f>
        <v/>
      </c>
      <c r="AB81">
        <f>HYPERLINK("https://klasma.github.io/Logging_2082/klagomålsmail/A 57416-2022 FSC-klagomål mail.docx", "A 57416-2022")</f>
        <v/>
      </c>
      <c r="AC81">
        <f>HYPERLINK("https://klasma.github.io/Logging_2082/tillsyn/A 57416-2022 tillsynsbegäran.docx", "A 57416-2022")</f>
        <v/>
      </c>
      <c r="AD81">
        <f>HYPERLINK("https://klasma.github.io/Logging_2082/tillsynsmail/A 57416-2022 tillsynsbegäran mail.docx", "A 57416-2022")</f>
        <v/>
      </c>
    </row>
    <row r="82" ht="15" customHeight="1">
      <c r="A82" t="inlineStr">
        <is>
          <t>A 23804-2024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46275</v>
      </c>
      <c r="F82" t="inlineStr">
        <is>
          <t>DALARNAS LÄN</t>
        </is>
      </c>
      <c r="G82" t="inlineStr">
        <is>
          <t>SÄTER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46275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46275</v>
      </c>
      <c r="F84" t="inlineStr">
        <is>
          <t>DALARNAS LÄN</t>
        </is>
      </c>
      <c r="G84" t="inlineStr">
        <is>
          <t>SÄTER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46275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46275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46275</v>
      </c>
      <c r="F87" t="inlineStr">
        <is>
          <t>DALARNAS LÄN</t>
        </is>
      </c>
      <c r="G87" t="inlineStr">
        <is>
          <t>SÄTER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46275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46275</v>
      </c>
      <c r="F89" t="inlineStr">
        <is>
          <t>DALARNAS LÄN</t>
        </is>
      </c>
      <c r="G89" t="inlineStr">
        <is>
          <t>SÄTER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44956</v>
      </c>
      <c r="E90" s="1" t="n">
        <v>46275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46275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44788</v>
      </c>
      <c r="E92" s="1" t="n">
        <v>46275</v>
      </c>
      <c r="F92" t="inlineStr">
        <is>
          <t>DALARNAS LÄN</t>
        </is>
      </c>
      <c r="G92" t="inlineStr">
        <is>
          <t>SÄTER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46275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20337-2024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46275</v>
      </c>
      <c r="F94" t="inlineStr">
        <is>
          <t>DALARNAS LÄN</t>
        </is>
      </c>
      <c r="G94" t="inlineStr">
        <is>
          <t>SÄTER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54826-2023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46275</v>
      </c>
      <c r="F95" t="inlineStr">
        <is>
          <t>DALARNAS LÄN</t>
        </is>
      </c>
      <c r="G95" t="inlineStr">
        <is>
          <t>SÄTER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46275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46275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46275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51323-2024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45604</v>
      </c>
      <c r="E99" s="1" t="n">
        <v>46275</v>
      </c>
      <c r="F99" t="inlineStr">
        <is>
          <t>DALARNAS LÄN</t>
        </is>
      </c>
      <c r="G99" t="inlineStr">
        <is>
          <t>SÄTER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44572</v>
      </c>
      <c r="E100" s="1" t="n">
        <v>46275</v>
      </c>
      <c r="F100" t="inlineStr">
        <is>
          <t>DALARNAS LÄN</t>
        </is>
      </c>
      <c r="G100" t="inlineStr">
        <is>
          <t>SÄTER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45527</v>
      </c>
      <c r="E101" s="1" t="n">
        <v>46275</v>
      </c>
      <c r="F101" t="inlineStr">
        <is>
          <t>DALARNAS LÄN</t>
        </is>
      </c>
      <c r="G101" t="inlineStr">
        <is>
          <t>SÄTER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45527</v>
      </c>
      <c r="E102" s="1" t="n">
        <v>46275</v>
      </c>
      <c r="F102" t="inlineStr">
        <is>
          <t>DALARNAS LÄN</t>
        </is>
      </c>
      <c r="G102" t="inlineStr">
        <is>
          <t>SÄTER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46275</v>
      </c>
      <c r="F103" t="inlineStr">
        <is>
          <t>DALARNAS LÄN</t>
        </is>
      </c>
      <c r="G103" t="inlineStr">
        <is>
          <t>SÄTER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45232</v>
      </c>
      <c r="E104" s="1" t="n">
        <v>46275</v>
      </c>
      <c r="F104" t="inlineStr">
        <is>
          <t>DALARNAS LÄN</t>
        </is>
      </c>
      <c r="G104" t="inlineStr">
        <is>
          <t>SÄTER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46275</v>
      </c>
      <c r="F105" t="inlineStr">
        <is>
          <t>DALARNAS LÄN</t>
        </is>
      </c>
      <c r="G105" t="inlineStr">
        <is>
          <t>SÄTER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46275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46275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46275</v>
      </c>
      <c r="F108" t="inlineStr">
        <is>
          <t>DALARNAS LÄN</t>
        </is>
      </c>
      <c r="G108" t="inlineStr">
        <is>
          <t>SÄTER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46275</v>
      </c>
      <c r="F109" t="inlineStr">
        <is>
          <t>DALARNAS LÄN</t>
        </is>
      </c>
      <c r="G109" t="inlineStr">
        <is>
          <t>SÄTER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45599</v>
      </c>
      <c r="E110" s="1" t="n">
        <v>46275</v>
      </c>
      <c r="F110" t="inlineStr">
        <is>
          <t>DALARNAS LÄN</t>
        </is>
      </c>
      <c r="G110" t="inlineStr">
        <is>
          <t>SÄTER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44972</v>
      </c>
      <c r="E111" s="1" t="n">
        <v>46275</v>
      </c>
      <c r="F111" t="inlineStr">
        <is>
          <t>DALARNAS LÄN</t>
        </is>
      </c>
      <c r="G111" t="inlineStr">
        <is>
          <t>SÄTER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45411</v>
      </c>
      <c r="E112" s="1" t="n">
        <v>46275</v>
      </c>
      <c r="F112" t="inlineStr">
        <is>
          <t>DALARNAS LÄN</t>
        </is>
      </c>
      <c r="G112" t="inlineStr">
        <is>
          <t>SÄTER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45138</v>
      </c>
      <c r="E113" s="1" t="n">
        <v>46275</v>
      </c>
      <c r="F113" t="inlineStr">
        <is>
          <t>DALARNAS LÄN</t>
        </is>
      </c>
      <c r="G113" t="inlineStr">
        <is>
          <t>SÄTER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45628</v>
      </c>
      <c r="E114" s="1" t="n">
        <v>46275</v>
      </c>
      <c r="F114" t="inlineStr">
        <is>
          <t>DALARNAS LÄN</t>
        </is>
      </c>
      <c r="G114" t="inlineStr">
        <is>
          <t>SÄTER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16843-2024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46275</v>
      </c>
      <c r="F115" t="inlineStr">
        <is>
          <t>DALARNAS LÄN</t>
        </is>
      </c>
      <c r="G115" t="inlineStr">
        <is>
          <t>SÄTER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44585</v>
      </c>
      <c r="E116" s="1" t="n">
        <v>46275</v>
      </c>
      <c r="F116" t="inlineStr">
        <is>
          <t>DALARNAS LÄN</t>
        </is>
      </c>
      <c r="G116" t="inlineStr">
        <is>
          <t>SÄTER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44982</v>
      </c>
      <c r="E117" s="1" t="n">
        <v>46275</v>
      </c>
      <c r="F117" t="inlineStr">
        <is>
          <t>DALARNAS LÄN</t>
        </is>
      </c>
      <c r="G117" t="inlineStr">
        <is>
          <t>SÄTER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46275</v>
      </c>
      <c r="F118" t="inlineStr">
        <is>
          <t>DALARNAS LÄN</t>
        </is>
      </c>
      <c r="G118" t="inlineStr">
        <is>
          <t>SÄTER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45154</v>
      </c>
      <c r="E119" s="1" t="n">
        <v>46275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46275</v>
      </c>
      <c r="F120" t="inlineStr">
        <is>
          <t>DALARNAS LÄN</t>
        </is>
      </c>
      <c r="G120" t="inlineStr">
        <is>
          <t>SÄTER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21766-2024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45442</v>
      </c>
      <c r="E121" s="1" t="n">
        <v>46275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46275</v>
      </c>
      <c r="F122" t="inlineStr">
        <is>
          <t>DALARNAS LÄN</t>
        </is>
      </c>
      <c r="G122" t="inlineStr">
        <is>
          <t>SÄTER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46275</v>
      </c>
      <c r="F123" t="inlineStr">
        <is>
          <t>DALARNAS LÄN</t>
        </is>
      </c>
      <c r="G123" t="inlineStr">
        <is>
          <t>SÄTER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46275</v>
      </c>
      <c r="F124" t="inlineStr">
        <is>
          <t>DALARNAS LÄN</t>
        </is>
      </c>
      <c r="G124" t="inlineStr">
        <is>
          <t>SÄTER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46275</v>
      </c>
      <c r="F125" t="inlineStr">
        <is>
          <t>DALARNAS LÄN</t>
        </is>
      </c>
      <c r="G125" t="inlineStr">
        <is>
          <t>SÄTER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46275</v>
      </c>
      <c r="F126" t="inlineStr">
        <is>
          <t>DALARNAS LÄN</t>
        </is>
      </c>
      <c r="G126" t="inlineStr">
        <is>
          <t>SÄTER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46275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46275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46275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46275</v>
      </c>
      <c r="F130" t="inlineStr">
        <is>
          <t>DALARNAS LÄN</t>
        </is>
      </c>
      <c r="G130" t="inlineStr">
        <is>
          <t>SÄTER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44924</v>
      </c>
      <c r="E131" s="1" t="n">
        <v>46275</v>
      </c>
      <c r="F131" t="inlineStr">
        <is>
          <t>DALARNAS LÄN</t>
        </is>
      </c>
      <c r="G131" t="inlineStr">
        <is>
          <t>SÄTER</t>
        </is>
      </c>
      <c r="H131" t="inlineStr">
        <is>
          <t>Kommuner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46275</v>
      </c>
      <c r="F132" t="inlineStr">
        <is>
          <t>DALARNAS LÄN</t>
        </is>
      </c>
      <c r="G132" t="inlineStr">
        <is>
          <t>SÄTER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46275</v>
      </c>
      <c r="F133" t="inlineStr">
        <is>
          <t>DALARNAS LÄN</t>
        </is>
      </c>
      <c r="G133" t="inlineStr">
        <is>
          <t>SÄTER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46275</v>
      </c>
      <c r="F134" t="inlineStr">
        <is>
          <t>DALARNAS LÄN</t>
        </is>
      </c>
      <c r="G134" t="inlineStr">
        <is>
          <t>SÄTER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45527</v>
      </c>
      <c r="E135" s="1" t="n">
        <v>46275</v>
      </c>
      <c r="F135" t="inlineStr">
        <is>
          <t>DALARNAS LÄN</t>
        </is>
      </c>
      <c r="G135" t="inlineStr">
        <is>
          <t>SÄTER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46275</v>
      </c>
      <c r="F136" t="inlineStr">
        <is>
          <t>DALARNAS LÄN</t>
        </is>
      </c>
      <c r="G136" t="inlineStr">
        <is>
          <t>SÄTER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46275</v>
      </c>
      <c r="F137" t="inlineStr">
        <is>
          <t>DALARNAS LÄN</t>
        </is>
      </c>
      <c r="G137" t="inlineStr">
        <is>
          <t>SÄTER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45569</v>
      </c>
      <c r="E138" s="1" t="n">
        <v>46275</v>
      </c>
      <c r="F138" t="inlineStr">
        <is>
          <t>DALARNAS LÄN</t>
        </is>
      </c>
      <c r="G138" t="inlineStr">
        <is>
          <t>SÄTER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44462</v>
      </c>
      <c r="E139" s="1" t="n">
        <v>46275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45526</v>
      </c>
      <c r="E140" s="1" t="n">
        <v>46275</v>
      </c>
      <c r="F140" t="inlineStr">
        <is>
          <t>DALARNAS LÄN</t>
        </is>
      </c>
      <c r="G140" t="inlineStr">
        <is>
          <t>SÄTER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46275</v>
      </c>
      <c r="F141" t="inlineStr">
        <is>
          <t>DALARNAS LÄN</t>
        </is>
      </c>
      <c r="G141" t="inlineStr">
        <is>
          <t>SÄTER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45670</v>
      </c>
      <c r="E142" s="1" t="n">
        <v>46275</v>
      </c>
      <c r="F142" t="inlineStr">
        <is>
          <t>DALARNAS LÄN</t>
        </is>
      </c>
      <c r="G142" t="inlineStr">
        <is>
          <t>SÄTER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44978</v>
      </c>
      <c r="E143" s="1" t="n">
        <v>46275</v>
      </c>
      <c r="F143" t="inlineStr">
        <is>
          <t>DALARNAS LÄN</t>
        </is>
      </c>
      <c r="G143" t="inlineStr">
        <is>
          <t>SÄTER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44965</v>
      </c>
      <c r="E144" s="1" t="n">
        <v>46275</v>
      </c>
      <c r="F144" t="inlineStr">
        <is>
          <t>DALARNAS LÄN</t>
        </is>
      </c>
      <c r="G144" t="inlineStr">
        <is>
          <t>SÄTER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42225-2022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46275</v>
      </c>
      <c r="F145" t="inlineStr">
        <is>
          <t>DALARNAS LÄN</t>
        </is>
      </c>
      <c r="G145" t="inlineStr">
        <is>
          <t>SÄTER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46275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46275</v>
      </c>
      <c r="F147" t="inlineStr">
        <is>
          <t>DALARNAS LÄN</t>
        </is>
      </c>
      <c r="G147" t="inlineStr">
        <is>
          <t>SÄTER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46275</v>
      </c>
      <c r="F148" t="inlineStr">
        <is>
          <t>DALARNAS LÄN</t>
        </is>
      </c>
      <c r="G148" t="inlineStr">
        <is>
          <t>SÄTER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46275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46275</v>
      </c>
      <c r="F150" t="inlineStr">
        <is>
          <t>DALARNAS LÄN</t>
        </is>
      </c>
      <c r="G150" t="inlineStr">
        <is>
          <t>SÄTER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42998-2023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45182</v>
      </c>
      <c r="E151" s="1" t="n">
        <v>46275</v>
      </c>
      <c r="F151" t="inlineStr">
        <is>
          <t>DALARNAS LÄN</t>
        </is>
      </c>
      <c r="G151" t="inlineStr">
        <is>
          <t>SÄTER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44572</v>
      </c>
      <c r="E152" s="1" t="n">
        <v>46275</v>
      </c>
      <c r="F152" t="inlineStr">
        <is>
          <t>DALARNAS LÄN</t>
        </is>
      </c>
      <c r="G152" t="inlineStr">
        <is>
          <t>SÄTER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51333-2024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45604</v>
      </c>
      <c r="E153" s="1" t="n">
        <v>46275</v>
      </c>
      <c r="F153" t="inlineStr">
        <is>
          <t>DALARNAS LÄN</t>
        </is>
      </c>
      <c r="G153" t="inlineStr">
        <is>
          <t>SÄTER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46275</v>
      </c>
      <c r="F154" t="inlineStr">
        <is>
          <t>DALARNAS LÄN</t>
        </is>
      </c>
      <c r="G154" t="inlineStr">
        <is>
          <t>SÄTER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51320-2024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45604</v>
      </c>
      <c r="E155" s="1" t="n">
        <v>46275</v>
      </c>
      <c r="F155" t="inlineStr">
        <is>
          <t>DALARNAS LÄN</t>
        </is>
      </c>
      <c r="G155" t="inlineStr">
        <is>
          <t>SÄTER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51324-2024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45604</v>
      </c>
      <c r="E156" s="1" t="n">
        <v>46275</v>
      </c>
      <c r="F156" t="inlineStr">
        <is>
          <t>DALARNAS LÄN</t>
        </is>
      </c>
      <c r="G156" t="inlineStr">
        <is>
          <t>SÄTER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44690</v>
      </c>
      <c r="E157" s="1" t="n">
        <v>46275</v>
      </c>
      <c r="F157" t="inlineStr">
        <is>
          <t>DALARNAS LÄN</t>
        </is>
      </c>
      <c r="G157" t="inlineStr">
        <is>
          <t>SÄTER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46275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HYPERLINK("https://klasma.github.io/Logging_2082/knärot/A 498-2025 karta knärot.png", "A 498-2025")</f>
        <v/>
      </c>
      <c r="AA158">
        <f>HYPERLINK("https://klasma.github.io/Logging_2082/klagomål/A 498-2025 FSC-klagomål.docx", "A 498-2025")</f>
        <v/>
      </c>
      <c r="AB158">
        <f>HYPERLINK("https://klasma.github.io/Logging_2082/klagomålsmail/A 498-2025 FSC-klagomål mail.docx", "A 498-2025")</f>
        <v/>
      </c>
      <c r="AC158">
        <f>HYPERLINK("https://klasma.github.io/Logging_2082/tillsyn/A 498-2025 tillsynsbegäran.docx", "A 498-2025")</f>
        <v/>
      </c>
      <c r="AD158">
        <f>HYPERLINK("https://klasma.github.io/Logging_2082/tillsynsmail/A 498-2025 tillsynsbegäran mail.docx", "A 498-2025")</f>
        <v/>
      </c>
    </row>
    <row r="159" ht="15" customHeight="1">
      <c r="A159" t="inlineStr">
        <is>
          <t>A 21696-2023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46275</v>
      </c>
      <c r="F159" t="inlineStr">
        <is>
          <t>DALARNAS LÄN</t>
        </is>
      </c>
      <c r="G159" t="inlineStr">
        <is>
          <t>SÄTER</t>
        </is>
      </c>
      <c r="H159" t="inlineStr">
        <is>
          <t>Kommuner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46275</v>
      </c>
      <c r="F160" t="inlineStr">
        <is>
          <t>DALARNAS LÄN</t>
        </is>
      </c>
      <c r="G160" t="inlineStr">
        <is>
          <t>SÄTER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46275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46275</v>
      </c>
      <c r="F162" t="inlineStr">
        <is>
          <t>DALARNAS LÄN</t>
        </is>
      </c>
      <c r="G162" t="inlineStr">
        <is>
          <t>SÄTER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46275</v>
      </c>
      <c r="F163" t="inlineStr">
        <is>
          <t>DALARNAS LÄN</t>
        </is>
      </c>
      <c r="G163" t="inlineStr">
        <is>
          <t>SÄTER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46275</v>
      </c>
      <c r="F164" t="inlineStr">
        <is>
          <t>DALARNAS LÄN</t>
        </is>
      </c>
      <c r="G164" t="inlineStr">
        <is>
          <t>SÄTER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46275</v>
      </c>
      <c r="F165" t="inlineStr">
        <is>
          <t>DALARNAS LÄN</t>
        </is>
      </c>
      <c r="G165" t="inlineStr">
        <is>
          <t>SÄTER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46275</v>
      </c>
      <c r="F166" t="inlineStr">
        <is>
          <t>DALARNAS LÄN</t>
        </is>
      </c>
      <c r="G166" t="inlineStr">
        <is>
          <t>SÄTER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46275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19979-2025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46275</v>
      </c>
      <c r="F168" t="inlineStr">
        <is>
          <t>DALARNAS LÄN</t>
        </is>
      </c>
      <c r="G168" t="inlineStr">
        <is>
          <t>SÄTER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46275</v>
      </c>
      <c r="F169" t="inlineStr">
        <is>
          <t>DALARNAS LÄN</t>
        </is>
      </c>
      <c r="G169" t="inlineStr">
        <is>
          <t>SÄTER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55497-2024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45622</v>
      </c>
      <c r="E170" s="1" t="n">
        <v>46275</v>
      </c>
      <c r="F170" t="inlineStr">
        <is>
          <t>DALARNAS LÄN</t>
        </is>
      </c>
      <c r="G170" t="inlineStr">
        <is>
          <t>SÄTER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46275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46275</v>
      </c>
      <c r="F172" t="inlineStr">
        <is>
          <t>DALARNAS LÄN</t>
        </is>
      </c>
      <c r="G172" t="inlineStr">
        <is>
          <t>SÄTER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45171</v>
      </c>
      <c r="E173" s="1" t="n">
        <v>46275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46275</v>
      </c>
      <c r="F174" t="inlineStr">
        <is>
          <t>DALARNAS LÄN</t>
        </is>
      </c>
      <c r="G174" t="inlineStr">
        <is>
          <t>SÄTER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45596</v>
      </c>
      <c r="E175" s="1" t="n">
        <v>46275</v>
      </c>
      <c r="F175" t="inlineStr">
        <is>
          <t>DALARNAS LÄN</t>
        </is>
      </c>
      <c r="G175" t="inlineStr">
        <is>
          <t>SÄTER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45783</v>
      </c>
      <c r="E176" s="1" t="n">
        <v>46275</v>
      </c>
      <c r="F176" t="inlineStr">
        <is>
          <t>DALARNAS LÄN</t>
        </is>
      </c>
      <c r="G176" t="inlineStr">
        <is>
          <t>SÄTER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45604</v>
      </c>
      <c r="E177" s="1" t="n">
        <v>46275</v>
      </c>
      <c r="F177" t="inlineStr">
        <is>
          <t>DALARNAS LÄN</t>
        </is>
      </c>
      <c r="G177" t="inlineStr">
        <is>
          <t>SÄTER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46275</v>
      </c>
      <c r="F178" t="inlineStr">
        <is>
          <t>DALARNAS LÄN</t>
        </is>
      </c>
      <c r="G178" t="inlineStr">
        <is>
          <t>SÄTER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46275</v>
      </c>
      <c r="F179" t="inlineStr">
        <is>
          <t>DALARNAS LÄN</t>
        </is>
      </c>
      <c r="G179" t="inlineStr">
        <is>
          <t>SÄTER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46275</v>
      </c>
      <c r="F180" t="inlineStr">
        <is>
          <t>DALARNAS LÄN</t>
        </is>
      </c>
      <c r="G180" t="inlineStr">
        <is>
          <t>SÄTER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46275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46275</v>
      </c>
      <c r="F182" t="inlineStr">
        <is>
          <t>DALARNAS LÄN</t>
        </is>
      </c>
      <c r="G182" t="inlineStr">
        <is>
          <t>SÄTER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46275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46275</v>
      </c>
      <c r="F184" t="inlineStr">
        <is>
          <t>DALARNAS LÄN</t>
        </is>
      </c>
      <c r="G184" t="inlineStr">
        <is>
          <t>SÄTER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46275</v>
      </c>
      <c r="F185" t="inlineStr">
        <is>
          <t>DALARNAS LÄN</t>
        </is>
      </c>
      <c r="G185" t="inlineStr">
        <is>
          <t>SÄTER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60655-2024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46275</v>
      </c>
      <c r="F186" t="inlineStr">
        <is>
          <t>DALARNAS LÄN</t>
        </is>
      </c>
      <c r="G186" t="inlineStr">
        <is>
          <t>SÄTER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46275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46275</v>
      </c>
      <c r="F188" t="inlineStr">
        <is>
          <t>DALARNAS LÄN</t>
        </is>
      </c>
      <c r="G188" t="inlineStr">
        <is>
          <t>SÄTER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46275</v>
      </c>
      <c r="F189" t="inlineStr">
        <is>
          <t>DALARNAS LÄN</t>
        </is>
      </c>
      <c r="G189" t="inlineStr">
        <is>
          <t>SÄTER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46275</v>
      </c>
      <c r="F190" t="inlineStr">
        <is>
          <t>DALARNAS LÄN</t>
        </is>
      </c>
      <c r="G190" t="inlineStr">
        <is>
          <t>SÄTER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46275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46275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45462</v>
      </c>
      <c r="E193" s="1" t="n">
        <v>46275</v>
      </c>
      <c r="F193" t="inlineStr">
        <is>
          <t>DALARNAS LÄN</t>
        </is>
      </c>
      <c r="G193" t="inlineStr">
        <is>
          <t>SÄTER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46275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46275</v>
      </c>
      <c r="F195" t="inlineStr">
        <is>
          <t>DALARNAS LÄN</t>
        </is>
      </c>
      <c r="G195" t="inlineStr">
        <is>
          <t>SÄTER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46275</v>
      </c>
      <c r="F196" t="inlineStr">
        <is>
          <t>DALARNAS LÄN</t>
        </is>
      </c>
      <c r="G196" t="inlineStr">
        <is>
          <t>SÄTER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46275</v>
      </c>
      <c r="F197" t="inlineStr">
        <is>
          <t>DALARNAS LÄN</t>
        </is>
      </c>
      <c r="G197" t="inlineStr">
        <is>
          <t>SÄTER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46275</v>
      </c>
      <c r="F198" t="inlineStr">
        <is>
          <t>DALARNAS LÄN</t>
        </is>
      </c>
      <c r="G198" t="inlineStr">
        <is>
          <t>SÄTER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45427</v>
      </c>
      <c r="E199" s="1" t="n">
        <v>46275</v>
      </c>
      <c r="F199" t="inlineStr">
        <is>
          <t>DALARNAS LÄN</t>
        </is>
      </c>
      <c r="G199" t="inlineStr">
        <is>
          <t>SÄTER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46275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46275</v>
      </c>
      <c r="F201" t="inlineStr">
        <is>
          <t>DALARNAS LÄN</t>
        </is>
      </c>
      <c r="G201" t="inlineStr">
        <is>
          <t>SÄTER</t>
        </is>
      </c>
      <c r="H201" t="inlineStr">
        <is>
          <t>Kommuner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46275</v>
      </c>
      <c r="F202" t="inlineStr">
        <is>
          <t>DALARNAS LÄN</t>
        </is>
      </c>
      <c r="G202" t="inlineStr">
        <is>
          <t>SÄTER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44691</v>
      </c>
      <c r="E203" s="1" t="n">
        <v>46275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46275</v>
      </c>
      <c r="F204" t="inlineStr">
        <is>
          <t>DALARNAS LÄN</t>
        </is>
      </c>
      <c r="G204" t="inlineStr">
        <is>
          <t>SÄTER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46275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46275</v>
      </c>
      <c r="F206" t="inlineStr">
        <is>
          <t>DALARNAS LÄN</t>
        </is>
      </c>
      <c r="G206" t="inlineStr">
        <is>
          <t>SÄTER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46275</v>
      </c>
      <c r="F207" t="inlineStr">
        <is>
          <t>DALARNAS LÄN</t>
        </is>
      </c>
      <c r="G207" t="inlineStr">
        <is>
          <t>SÄTER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46275</v>
      </c>
      <c r="F208" t="inlineStr">
        <is>
          <t>DALARNAS LÄN</t>
        </is>
      </c>
      <c r="G208" t="inlineStr">
        <is>
          <t>SÄTER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45247</v>
      </c>
      <c r="E209" s="1" t="n">
        <v>46275</v>
      </c>
      <c r="F209" t="inlineStr">
        <is>
          <t>DALARNAS LÄN</t>
        </is>
      </c>
      <c r="G209" t="inlineStr">
        <is>
          <t>SÄTER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46275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46275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44840</v>
      </c>
      <c r="E212" s="1" t="n">
        <v>46275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10.2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46275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44732</v>
      </c>
      <c r="E214" s="1" t="n">
        <v>46275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44463</v>
      </c>
      <c r="E215" s="1" t="n">
        <v>46275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45855</v>
      </c>
      <c r="E216" s="1" t="n">
        <v>46275</v>
      </c>
      <c r="F216" t="inlineStr">
        <is>
          <t>DALARNAS LÄN</t>
        </is>
      </c>
      <c r="G216" t="inlineStr">
        <is>
          <t>SÄTER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46275</v>
      </c>
      <c r="F217" t="inlineStr">
        <is>
          <t>DALARNAS LÄN</t>
        </is>
      </c>
      <c r="G217" t="inlineStr">
        <is>
          <t>SÄTER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46275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15.2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46275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41.4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46275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46275</v>
      </c>
      <c r="F221" t="inlineStr">
        <is>
          <t>DALARNAS LÄN</t>
        </is>
      </c>
      <c r="G221" t="inlineStr">
        <is>
          <t>SÄTER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46275</v>
      </c>
      <c r="F222" t="inlineStr">
        <is>
          <t>DALARNAS LÄN</t>
        </is>
      </c>
      <c r="G222" t="inlineStr">
        <is>
          <t>SÄTER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46275</v>
      </c>
      <c r="F223" t="inlineStr">
        <is>
          <t>DALARNAS LÄN</t>
        </is>
      </c>
      <c r="G223" t="inlineStr">
        <is>
          <t>SÄTER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45870</v>
      </c>
      <c r="E224" s="1" t="n">
        <v>46275</v>
      </c>
      <c r="F224" t="inlineStr">
        <is>
          <t>DALARNAS LÄN</t>
        </is>
      </c>
      <c r="G224" t="inlineStr">
        <is>
          <t>SÄTER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46275</v>
      </c>
      <c r="F225" t="inlineStr">
        <is>
          <t>DALARNAS LÄN</t>
        </is>
      </c>
      <c r="G225" t="inlineStr">
        <is>
          <t>SÄTER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46275</v>
      </c>
      <c r="F226" t="inlineStr">
        <is>
          <t>DALARNAS LÄN</t>
        </is>
      </c>
      <c r="G226" t="inlineStr">
        <is>
          <t>SÄTER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63152-2023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45273</v>
      </c>
      <c r="E227" s="1" t="n">
        <v>46275</v>
      </c>
      <c r="F227" t="inlineStr">
        <is>
          <t>DALARNAS LÄN</t>
        </is>
      </c>
      <c r="G227" t="inlineStr">
        <is>
          <t>SÄTER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46275</v>
      </c>
      <c r="F228" t="inlineStr">
        <is>
          <t>DALARNAS LÄN</t>
        </is>
      </c>
      <c r="G228" t="inlineStr">
        <is>
          <t>SÄTER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46275</v>
      </c>
      <c r="F229" t="inlineStr">
        <is>
          <t>DALARNAS LÄN</t>
        </is>
      </c>
      <c r="G229" t="inlineStr">
        <is>
          <t>SÄTER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46275</v>
      </c>
      <c r="F230" t="inlineStr">
        <is>
          <t>DALARNAS LÄN</t>
        </is>
      </c>
      <c r="G230" t="inlineStr">
        <is>
          <t>SÄTER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46275</v>
      </c>
      <c r="F231" t="inlineStr">
        <is>
          <t>DALARNAS LÄN</t>
        </is>
      </c>
      <c r="G231" t="inlineStr">
        <is>
          <t>SÄTER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45939</v>
      </c>
      <c r="E232" s="1" t="n">
        <v>46275</v>
      </c>
      <c r="F232" t="inlineStr">
        <is>
          <t>DALARNAS LÄN</t>
        </is>
      </c>
      <c r="G232" t="inlineStr">
        <is>
          <t>SÄTER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46275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46275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46275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33872-2024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46275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46275</v>
      </c>
      <c r="F237" t="inlineStr">
        <is>
          <t>DALARNAS LÄN</t>
        </is>
      </c>
      <c r="G237" t="inlineStr">
        <is>
          <t>SÄTER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46275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46275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15.1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46275</v>
      </c>
      <c r="F240" t="inlineStr">
        <is>
          <t>DALARNAS LÄN</t>
        </is>
      </c>
      <c r="G240" t="inlineStr">
        <is>
          <t>SÄTER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53559-2025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45960</v>
      </c>
      <c r="E241" s="1" t="n">
        <v>46275</v>
      </c>
      <c r="F241" t="inlineStr">
        <is>
          <t>DALARNAS LÄN</t>
        </is>
      </c>
      <c r="G241" t="inlineStr">
        <is>
          <t>SÄTER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46275</v>
      </c>
      <c r="F242" t="inlineStr">
        <is>
          <t>DALARNAS LÄN</t>
        </is>
      </c>
      <c r="G242" t="inlineStr">
        <is>
          <t>SÄTER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44581</v>
      </c>
      <c r="E243" s="1" t="n">
        <v>46275</v>
      </c>
      <c r="F243" t="inlineStr">
        <is>
          <t>DALARNAS LÄN</t>
        </is>
      </c>
      <c r="G243" t="inlineStr">
        <is>
          <t>SÄTER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53878-2025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45961</v>
      </c>
      <c r="E244" s="1" t="n">
        <v>46275</v>
      </c>
      <c r="F244" t="inlineStr">
        <is>
          <t>DALARNAS LÄN</t>
        </is>
      </c>
      <c r="G244" t="inlineStr">
        <is>
          <t>SÄTER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46275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46275</v>
      </c>
      <c r="F246" t="inlineStr">
        <is>
          <t>DALARNAS LÄN</t>
        </is>
      </c>
      <c r="G246" t="inlineStr">
        <is>
          <t>SÄTER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46275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46275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44953</v>
      </c>
      <c r="E249" s="1" t="n">
        <v>46275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51328-2024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45604</v>
      </c>
      <c r="E250" s="1" t="n">
        <v>46275</v>
      </c>
      <c r="F250" t="inlineStr">
        <is>
          <t>DALARNAS LÄN</t>
        </is>
      </c>
      <c r="G250" t="inlineStr">
        <is>
          <t>SÄTER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45604</v>
      </c>
      <c r="E251" s="1" t="n">
        <v>46275</v>
      </c>
      <c r="F251" t="inlineStr">
        <is>
          <t>DALARNAS LÄN</t>
        </is>
      </c>
      <c r="G251" t="inlineStr">
        <is>
          <t>SÄTER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46275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46275</v>
      </c>
      <c r="F253" t="inlineStr">
        <is>
          <t>DALARNAS LÄN</t>
        </is>
      </c>
      <c r="G253" t="inlineStr">
        <is>
          <t>SÄTER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46275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46275</v>
      </c>
      <c r="F255" t="inlineStr">
        <is>
          <t>DALARNAS LÄN</t>
        </is>
      </c>
      <c r="G255" t="inlineStr">
        <is>
          <t>SÄTER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46275</v>
      </c>
      <c r="F256" t="inlineStr">
        <is>
          <t>DALARNAS LÄN</t>
        </is>
      </c>
      <c r="G256" t="inlineStr">
        <is>
          <t>SÄTER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44643</v>
      </c>
      <c r="E257" s="1" t="n">
        <v>46275</v>
      </c>
      <c r="F257" t="inlineStr">
        <is>
          <t>DALARNAS LÄN</t>
        </is>
      </c>
      <c r="G257" t="inlineStr">
        <is>
          <t>SÄTER</t>
        </is>
      </c>
      <c r="I257" t="n">
        <v>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46275</v>
      </c>
      <c r="F258" t="inlineStr">
        <is>
          <t>DALARNAS LÄN</t>
        </is>
      </c>
      <c r="G258" t="inlineStr">
        <is>
          <t>SÄTER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46275</v>
      </c>
      <c r="F259" t="inlineStr">
        <is>
          <t>DALARNAS LÄN</t>
        </is>
      </c>
      <c r="G259" t="inlineStr">
        <is>
          <t>SÄTER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46275</v>
      </c>
      <c r="F260" t="inlineStr">
        <is>
          <t>DALARNAS LÄN</t>
        </is>
      </c>
      <c r="G260" t="inlineStr">
        <is>
          <t>SÄTER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46275</v>
      </c>
      <c r="F261" t="inlineStr">
        <is>
          <t>DALARNAS LÄN</t>
        </is>
      </c>
      <c r="G261" t="inlineStr">
        <is>
          <t>SÄTER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46275</v>
      </c>
      <c r="F262" t="inlineStr">
        <is>
          <t>DALARNAS LÄN</t>
        </is>
      </c>
      <c r="G262" t="inlineStr">
        <is>
          <t>SÄTER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46275</v>
      </c>
      <c r="F263" t="inlineStr">
        <is>
          <t>DALARNAS LÄN</t>
        </is>
      </c>
      <c r="G263" t="inlineStr">
        <is>
          <t>SÄTER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46275</v>
      </c>
      <c r="F264" t="inlineStr">
        <is>
          <t>DALARNAS LÄN</t>
        </is>
      </c>
      <c r="G264" t="inlineStr">
        <is>
          <t>SÄTER</t>
        </is>
      </c>
      <c r="I264" t="n">
        <v>12.1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46275</v>
      </c>
      <c r="F265" t="inlineStr">
        <is>
          <t>DALARNAS LÄN</t>
        </is>
      </c>
      <c r="G265" t="inlineStr">
        <is>
          <t>SÄTER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46030</v>
      </c>
      <c r="E266" s="1" t="n">
        <v>46275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46275</v>
      </c>
      <c r="F267" t="inlineStr">
        <is>
          <t>DALARNAS LÄN</t>
        </is>
      </c>
      <c r="G267" t="inlineStr">
        <is>
          <t>SÄTER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46275</v>
      </c>
      <c r="F268" t="inlineStr">
        <is>
          <t>DALARNAS LÄN</t>
        </is>
      </c>
      <c r="G268" t="inlineStr">
        <is>
          <t>SÄTER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46275</v>
      </c>
      <c r="F269" t="inlineStr">
        <is>
          <t>DALARNAS LÄN</t>
        </is>
      </c>
      <c r="G269" t="inlineStr">
        <is>
          <t>SÄTER</t>
        </is>
      </c>
      <c r="H269" t="inlineStr">
        <is>
          <t>Kommuner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46275</v>
      </c>
      <c r="F270" t="inlineStr">
        <is>
          <t>DALARNAS LÄN</t>
        </is>
      </c>
      <c r="G270" t="inlineStr">
        <is>
          <t>SÄTER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46275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46275</v>
      </c>
      <c r="F272" t="inlineStr">
        <is>
          <t>DALARNAS LÄN</t>
        </is>
      </c>
      <c r="G272" t="inlineStr">
        <is>
          <t>SÄTER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46275</v>
      </c>
      <c r="F273" t="inlineStr">
        <is>
          <t>DALARNAS LÄN</t>
        </is>
      </c>
      <c r="G273" t="inlineStr">
        <is>
          <t>SÄTER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46275</v>
      </c>
      <c r="F274" t="inlineStr">
        <is>
          <t>DALARNAS LÄN</t>
        </is>
      </c>
      <c r="G274" t="inlineStr">
        <is>
          <t>SÄTER</t>
        </is>
      </c>
      <c r="I274" t="n">
        <v>10.9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46037</v>
      </c>
      <c r="E275" s="1" t="n">
        <v>46275</v>
      </c>
      <c r="F275" t="inlineStr">
        <is>
          <t>DALARNAS LÄN</t>
        </is>
      </c>
      <c r="G275" t="inlineStr">
        <is>
          <t>SÄTER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46275</v>
      </c>
      <c r="F276" t="inlineStr">
        <is>
          <t>DALARNAS LÄN</t>
        </is>
      </c>
      <c r="G276" t="inlineStr">
        <is>
          <t>SÄTER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46275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46275</v>
      </c>
      <c r="F278" t="inlineStr">
        <is>
          <t>DALARNAS LÄN</t>
        </is>
      </c>
      <c r="G278" t="inlineStr">
        <is>
          <t>SÄTER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46275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46275</v>
      </c>
      <c r="F280" t="inlineStr">
        <is>
          <t>DALARNAS LÄN</t>
        </is>
      </c>
      <c r="G280" t="inlineStr">
        <is>
          <t>SÄTER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46275</v>
      </c>
      <c r="F281" t="inlineStr">
        <is>
          <t>DALARNAS LÄN</t>
        </is>
      </c>
      <c r="G281" t="inlineStr">
        <is>
          <t>SÄTER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46275</v>
      </c>
      <c r="F282" t="inlineStr">
        <is>
          <t>DALARNAS LÄN</t>
        </is>
      </c>
      <c r="G282" t="inlineStr">
        <is>
          <t>SÄTER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46275</v>
      </c>
      <c r="F283" t="inlineStr">
        <is>
          <t>DALARNAS LÄN</t>
        </is>
      </c>
      <c r="G283" t="inlineStr">
        <is>
          <t>SÄTER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46275</v>
      </c>
      <c r="F284" t="inlineStr">
        <is>
          <t>DALARNAS LÄN</t>
        </is>
      </c>
      <c r="G284" t="inlineStr">
        <is>
          <t>SÄTER</t>
        </is>
      </c>
      <c r="I284" t="n">
        <v>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46275</v>
      </c>
      <c r="F285" t="inlineStr">
        <is>
          <t>DALARNAS LÄN</t>
        </is>
      </c>
      <c r="G285" t="inlineStr">
        <is>
          <t>SÄTER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46275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46275</v>
      </c>
      <c r="F287" t="inlineStr">
        <is>
          <t>DALARNAS LÄN</t>
        </is>
      </c>
      <c r="G287" t="inlineStr">
        <is>
          <t>SÄTER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46275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46077</v>
      </c>
      <c r="E289" s="1" t="n">
        <v>46275</v>
      </c>
      <c r="F289" t="inlineStr">
        <is>
          <t>DALARNAS LÄN</t>
        </is>
      </c>
      <c r="G289" t="inlineStr">
        <is>
          <t>SÄTER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46087</v>
      </c>
      <c r="E290" s="1" t="n">
        <v>46275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46275</v>
      </c>
      <c r="F291" t="inlineStr">
        <is>
          <t>DALARNAS LÄN</t>
        </is>
      </c>
      <c r="G291" t="inlineStr">
        <is>
          <t>SÄTER</t>
        </is>
      </c>
      <c r="H291" t="inlineStr">
        <is>
          <t>Kommuner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46275</v>
      </c>
      <c r="F292" t="inlineStr">
        <is>
          <t>DALARNAS LÄN</t>
        </is>
      </c>
      <c r="G292" t="inlineStr">
        <is>
          <t>SÄTER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46275</v>
      </c>
      <c r="F293" t="inlineStr">
        <is>
          <t>DALARNAS LÄN</t>
        </is>
      </c>
      <c r="G293" t="inlineStr">
        <is>
          <t>SÄTER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46275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46275</v>
      </c>
      <c r="F295" t="inlineStr">
        <is>
          <t>DALARNAS LÄN</t>
        </is>
      </c>
      <c r="G295" t="inlineStr">
        <is>
          <t>SÄTER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46275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46098</v>
      </c>
      <c r="E297" s="1" t="n">
        <v>46275</v>
      </c>
      <c r="F297" t="inlineStr">
        <is>
          <t>DALARNAS LÄN</t>
        </is>
      </c>
      <c r="G297" t="inlineStr">
        <is>
          <t>SÄTER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46275</v>
      </c>
      <c r="F298" t="inlineStr">
        <is>
          <t>DALARNAS LÄN</t>
        </is>
      </c>
      <c r="G298" t="inlineStr">
        <is>
          <t>SÄTER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46275</v>
      </c>
      <c r="F299" t="inlineStr">
        <is>
          <t>DALARNAS LÄN</t>
        </is>
      </c>
      <c r="G299" t="inlineStr">
        <is>
          <t>SÄTER</t>
        </is>
      </c>
      <c r="H299" t="inlineStr">
        <is>
          <t>Kommuner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46275</v>
      </c>
      <c r="F300" t="inlineStr">
        <is>
          <t>DALARNAS LÄN</t>
        </is>
      </c>
      <c r="G300" t="inlineStr">
        <is>
          <t>SÄTER</t>
        </is>
      </c>
      <c r="I300" t="n">
        <v>15.2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46275</v>
      </c>
      <c r="F301" t="inlineStr">
        <is>
          <t>DALARNAS LÄN</t>
        </is>
      </c>
      <c r="G301" t="inlineStr">
        <is>
          <t>SÄTER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46275</v>
      </c>
      <c r="F302" t="inlineStr">
        <is>
          <t>DALARNAS LÄN</t>
        </is>
      </c>
      <c r="G302" t="inlineStr">
        <is>
          <t>SÄTER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46275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46275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46275</v>
      </c>
      <c r="F305" t="inlineStr">
        <is>
          <t>DALARNAS LÄN</t>
        </is>
      </c>
      <c r="G305" t="inlineStr">
        <is>
          <t>SÄTER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46275</v>
      </c>
      <c r="F306" t="inlineStr">
        <is>
          <t>DALARNAS LÄN</t>
        </is>
      </c>
      <c r="G306" t="inlineStr">
        <is>
          <t>SÄTER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46275</v>
      </c>
      <c r="F307" t="inlineStr">
        <is>
          <t>DALARNAS LÄN</t>
        </is>
      </c>
      <c r="G307" t="inlineStr">
        <is>
          <t>SÄTER</t>
        </is>
      </c>
      <c r="H307" t="inlineStr">
        <is>
          <t>Kommuner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46275</v>
      </c>
      <c r="F308" t="inlineStr">
        <is>
          <t>DALARNAS LÄN</t>
        </is>
      </c>
      <c r="G308" t="inlineStr">
        <is>
          <t>SÄTER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46275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10.8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46275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46014</v>
      </c>
      <c r="E311" s="1" t="n">
        <v>46275</v>
      </c>
      <c r="F311" t="inlineStr">
        <is>
          <t>DALARNAS LÄN</t>
        </is>
      </c>
      <c r="G311" t="inlineStr">
        <is>
          <t>SÄTER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46275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46275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46275</v>
      </c>
      <c r="F314" t="inlineStr">
        <is>
          <t>DALARNAS LÄN</t>
        </is>
      </c>
      <c r="G314" t="inlineStr">
        <is>
          <t>SÄTER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46275</v>
      </c>
      <c r="F315" t="inlineStr">
        <is>
          <t>DALARNAS LÄN</t>
        </is>
      </c>
      <c r="G315" t="inlineStr">
        <is>
          <t>SÄTER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46275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46275</v>
      </c>
      <c r="F317" t="inlineStr">
        <is>
          <t>DALARNAS LÄN</t>
        </is>
      </c>
      <c r="G317" t="inlineStr">
        <is>
          <t>SÄTER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46275</v>
      </c>
      <c r="F318" t="inlineStr">
        <is>
          <t>DALARNAS LÄN</t>
        </is>
      </c>
      <c r="G318" t="inlineStr">
        <is>
          <t>SÄTER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46275</v>
      </c>
      <c r="F319" t="inlineStr">
        <is>
          <t>DALARNAS LÄN</t>
        </is>
      </c>
      <c r="G319" t="inlineStr">
        <is>
          <t>SÄTER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12330-2026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46087</v>
      </c>
      <c r="E320" s="1" t="n">
        <v>46275</v>
      </c>
      <c r="F320" t="inlineStr">
        <is>
          <t>DALARNAS LÄN</t>
        </is>
      </c>
      <c r="G320" t="inlineStr">
        <is>
          <t>SÄTER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46275</v>
      </c>
      <c r="F321" t="inlineStr">
        <is>
          <t>DALARNAS LÄN</t>
        </is>
      </c>
      <c r="G321" t="inlineStr">
        <is>
          <t>SÄTER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46275</v>
      </c>
      <c r="F322" t="inlineStr">
        <is>
          <t>DALARNAS LÄN</t>
        </is>
      </c>
      <c r="G322" t="inlineStr">
        <is>
          <t>SÄTER</t>
        </is>
      </c>
      <c r="H322" t="inlineStr">
        <is>
          <t>Kommuner</t>
        </is>
      </c>
      <c r="I322" t="n">
        <v>42.6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46275</v>
      </c>
      <c r="F323" t="inlineStr">
        <is>
          <t>DALARNAS LÄN</t>
        </is>
      </c>
      <c r="G323" t="inlineStr">
        <is>
          <t>SÄTER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46275</v>
      </c>
      <c r="F324" t="inlineStr">
        <is>
          <t>DALARNAS LÄN</t>
        </is>
      </c>
      <c r="G324" t="inlineStr">
        <is>
          <t>SÄTER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46275</v>
      </c>
      <c r="F325" t="inlineStr">
        <is>
          <t>DALARNAS LÄN</t>
        </is>
      </c>
      <c r="G325" t="inlineStr">
        <is>
          <t>SÄTER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46275</v>
      </c>
      <c r="F326" t="inlineStr">
        <is>
          <t>DALARNAS LÄN</t>
        </is>
      </c>
      <c r="G326" t="inlineStr">
        <is>
          <t>SÄTER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46275</v>
      </c>
      <c r="F327" t="inlineStr">
        <is>
          <t>DALARNAS LÄN</t>
        </is>
      </c>
      <c r="G327" t="inlineStr">
        <is>
          <t>SÄTER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46275</v>
      </c>
      <c r="F328" t="inlineStr">
        <is>
          <t>DALARNAS LÄN</t>
        </is>
      </c>
      <c r="G328" t="inlineStr">
        <is>
          <t>SÄTER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46275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46275</v>
      </c>
      <c r="F330" t="inlineStr">
        <is>
          <t>DALARNAS LÄN</t>
        </is>
      </c>
      <c r="G330" t="inlineStr">
        <is>
          <t>SÄTER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46275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46275</v>
      </c>
      <c r="F332" t="inlineStr">
        <is>
          <t>DALARNAS LÄN</t>
        </is>
      </c>
      <c r="G332" t="inlineStr">
        <is>
          <t>SÄTER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23679-2026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46275</v>
      </c>
      <c r="F333" t="inlineStr">
        <is>
          <t>DALARNAS LÄN</t>
        </is>
      </c>
      <c r="G333" t="inlineStr">
        <is>
          <t>SÄTER</t>
        </is>
      </c>
      <c r="I333" t="n">
        <v>10.1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46275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46275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46275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46275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46275</v>
      </c>
      <c r="F338" t="inlineStr">
        <is>
          <t>DALARNAS LÄN</t>
        </is>
      </c>
      <c r="G338" t="inlineStr">
        <is>
          <t>SÄTER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46275</v>
      </c>
      <c r="F339" t="inlineStr">
        <is>
          <t>DALARNAS LÄN</t>
        </is>
      </c>
      <c r="G339" t="inlineStr">
        <is>
          <t>SÄTER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44992</v>
      </c>
      <c r="E340" s="1" t="n">
        <v>46275</v>
      </c>
      <c r="F340" t="inlineStr">
        <is>
          <t>DALARNAS LÄN</t>
        </is>
      </c>
      <c r="G340" t="inlineStr">
        <is>
          <t>SÄTER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63377-2025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46275</v>
      </c>
      <c r="F341" t="inlineStr">
        <is>
          <t>DALARNAS LÄN</t>
        </is>
      </c>
      <c r="G341" t="inlineStr">
        <is>
          <t>SÄTER</t>
        </is>
      </c>
      <c r="H341" t="inlineStr">
        <is>
          <t>Övriga statliga verk och myndigheter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46275</v>
      </c>
      <c r="F342" t="inlineStr">
        <is>
          <t>DALARNAS LÄN</t>
        </is>
      </c>
      <c r="G342" t="inlineStr">
        <is>
          <t>SÄTER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45953</v>
      </c>
      <c r="E343" s="1" t="n">
        <v>46275</v>
      </c>
      <c r="F343" t="inlineStr">
        <is>
          <t>DALARNAS LÄN</t>
        </is>
      </c>
      <c r="G343" t="inlineStr">
        <is>
          <t>SÄTER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46275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46275</v>
      </c>
      <c r="F345" t="inlineStr">
        <is>
          <t>DALARNAS LÄN</t>
        </is>
      </c>
      <c r="G345" t="inlineStr">
        <is>
          <t>SÄTER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46275</v>
      </c>
      <c r="F346" t="inlineStr">
        <is>
          <t>DALARNAS LÄN</t>
        </is>
      </c>
      <c r="G346" t="inlineStr">
        <is>
          <t>SÄTER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46234</v>
      </c>
      <c r="E347" s="1" t="n">
        <v>46275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46275</v>
      </c>
      <c r="F348" t="inlineStr">
        <is>
          <t>DALARNAS LÄN</t>
        </is>
      </c>
      <c r="G348" t="inlineStr">
        <is>
          <t>SÄTER</t>
        </is>
      </c>
      <c r="H348" t="inlineStr">
        <is>
          <t>Sveaskog</t>
        </is>
      </c>
      <c r="I348" t="n">
        <v>19.8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46275</v>
      </c>
      <c r="F349" t="inlineStr">
        <is>
          <t>DALARNAS LÄN</t>
        </is>
      </c>
      <c r="G349" t="inlineStr">
        <is>
          <t>SÄTER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46275</v>
      </c>
      <c r="F350" t="inlineStr">
        <is>
          <t>DALARNAS LÄN</t>
        </is>
      </c>
      <c r="G350" t="inlineStr">
        <is>
          <t>SÄTER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46275</v>
      </c>
      <c r="F351" t="inlineStr">
        <is>
          <t>DALARNAS LÄN</t>
        </is>
      </c>
      <c r="G351" t="inlineStr">
        <is>
          <t>SÄTER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46211</v>
      </c>
      <c r="E352" s="1" t="n">
        <v>46275</v>
      </c>
      <c r="F352" t="inlineStr">
        <is>
          <t>DALARNAS LÄN</t>
        </is>
      </c>
      <c r="G352" t="inlineStr">
        <is>
          <t>SÄTER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35564-2026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46262</v>
      </c>
      <c r="E353" s="1" t="n">
        <v>46275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46261</v>
      </c>
      <c r="E354" s="1" t="n">
        <v>46275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25033-2026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46275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2585-2020</t>
        </is>
      </c>
      <c r="B356" t="inlineStr">
        <is>
          <t>samrådsanmälan</t>
        </is>
      </c>
      <c r="C356" t="n">
        <v/>
      </c>
      <c r="D356" s="1" t="n">
        <v>44155</v>
      </c>
      <c r="E356" s="1" t="n">
        <v>46275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1868-2020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44071</v>
      </c>
      <c r="E357" s="1" t="n">
        <v>46275</v>
      </c>
      <c r="F357" t="inlineStr">
        <is>
          <t>DALARNAS LÄN</t>
        </is>
      </c>
      <c r="G357" t="inlineStr">
        <is>
          <t>SÄTER</t>
        </is>
      </c>
      <c r="I357" t="n">
        <v>29.2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405-2022</t>
        </is>
      </c>
      <c r="B358" t="inlineStr">
        <is>
          <t>samrådsanmälan</t>
        </is>
      </c>
      <c r="C358" t="inlineStr">
        <is>
          <t>Skogsgödsling</t>
        </is>
      </c>
      <c r="D358" s="1" t="n">
        <v>44585</v>
      </c>
      <c r="E358" s="1" t="n">
        <v>46275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79.09999999999999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46275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1098-2024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45391</v>
      </c>
      <c r="E360" s="1" t="n">
        <v>46275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189.2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705-2025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45720</v>
      </c>
      <c r="E361" s="1" t="n">
        <v>46275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21.7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2964-2025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45952</v>
      </c>
      <c r="E362" s="1" t="n">
        <v>46275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46275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611-2026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46085</v>
      </c>
      <c r="E364" s="1" t="n">
        <v>46275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44.7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2026-09-10T02:10:39Z</dcterms:created>
  <dcterms:modified xmlns:dcterms="http://purl.org/dc/terms/" xmlns:xsi="http://www.w3.org/2001/XMLSchema-instance" xsi:type="dcterms:W3CDTF">2026-09-10T02:10:40Z</dcterms:modified>
</cp:coreProperties>
</file>