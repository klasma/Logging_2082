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45506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45506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45506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45506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45506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45506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193-2022</t>
        </is>
      </c>
      <c r="B8" s="1" t="n">
        <v>44564</v>
      </c>
      <c r="C8" s="1" t="n">
        <v>45506</v>
      </c>
      <c r="D8" t="inlineStr">
        <is>
          <t>DALARNAS LÄN</t>
        </is>
      </c>
      <c r="E8" t="inlineStr">
        <is>
          <t>SÄTER</t>
        </is>
      </c>
      <c r="G8" t="n">
        <v>1.9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Dropptaggsvamp</t>
        </is>
      </c>
      <c r="S8">
        <f>HYPERLINK("https://klasma.github.io/Logging_2082/artfynd/A 193-2022 artfynd.xlsx", "A 193-2022")</f>
        <v/>
      </c>
      <c r="T8">
        <f>HYPERLINK("https://klasma.github.io/Logging_2082/kartor/A 193-2022 karta.png", "A 193-2022")</f>
        <v/>
      </c>
      <c r="V8">
        <f>HYPERLINK("https://klasma.github.io/Logging_2082/klagomål/A 193-2022 FSC-klagomål.docx", "A 193-2022")</f>
        <v/>
      </c>
      <c r="W8">
        <f>HYPERLINK("https://klasma.github.io/Logging_2082/klagomålsmail/A 193-2022 FSC-klagomål mail.docx", "A 193-2022")</f>
        <v/>
      </c>
      <c r="X8">
        <f>HYPERLINK("https://klasma.github.io/Logging_2082/tillsyn/A 193-2022 tillsynsbegäran.docx", "A 193-2022")</f>
        <v/>
      </c>
      <c r="Y8">
        <f>HYPERLINK("https://klasma.github.io/Logging_2082/tillsynsmail/A 193-2022 tillsynsbegäran mail.docx", "A 193-2022")</f>
        <v/>
      </c>
      <c r="Z8">
        <f>HYPERLINK("https://klasma.github.io/Logging_2082/fåglar/A 193-2022 prioriterade fågelarter.docx", "A 193-2022")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45506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29296-2023</t>
        </is>
      </c>
      <c r="B10" s="1" t="n">
        <v>45105</v>
      </c>
      <c r="C10" s="1" t="n">
        <v>45506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Gullgröppa
Rödgul trumpetsvamp</t>
        </is>
      </c>
      <c r="S10">
        <f>HYPERLINK("https://klasma.github.io/Logging_2082/artfynd/A 29296-2023 artfynd.xlsx", "A 29296-2023")</f>
        <v/>
      </c>
      <c r="T10">
        <f>HYPERLINK("https://klasma.github.io/Logging_2082/kartor/A 29296-2023 karta.png", "A 29296-2023")</f>
        <v/>
      </c>
      <c r="V10">
        <f>HYPERLINK("https://klasma.github.io/Logging_2082/klagomål/A 29296-2023 FSC-klagomål.docx", "A 29296-2023")</f>
        <v/>
      </c>
      <c r="W10">
        <f>HYPERLINK("https://klasma.github.io/Logging_2082/klagomålsmail/A 29296-2023 FSC-klagomål mail.docx", "A 29296-2023")</f>
        <v/>
      </c>
      <c r="X10">
        <f>HYPERLINK("https://klasma.github.io/Logging_2082/tillsyn/A 29296-2023 tillsynsbegäran.docx", "A 29296-2023")</f>
        <v/>
      </c>
      <c r="Y10">
        <f>HYPERLINK("https://klasma.github.io/Logging_2082/tillsynsmail/A 29296-2023 tillsynsbegäran mail.docx", "A 29296-2023")</f>
        <v/>
      </c>
    </row>
    <row r="11" ht="15" customHeight="1">
      <c r="A11" t="inlineStr">
        <is>
          <t>A 21903-2024</t>
        </is>
      </c>
      <c r="B11" s="1" t="n">
        <v>45443</v>
      </c>
      <c r="C11" s="1" t="n">
        <v>45506</v>
      </c>
      <c r="D11" t="inlineStr">
        <is>
          <t>DALARNAS LÄN</t>
        </is>
      </c>
      <c r="E11" t="inlineStr">
        <is>
          <t>SÄTER</t>
        </is>
      </c>
      <c r="G11" t="n">
        <v>21.2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Granspira
Majviva</t>
        </is>
      </c>
      <c r="S11">
        <f>HYPERLINK("https://klasma.github.io/Logging_2082/artfynd/A 21903-2024 artfynd.xlsx", "A 21903-2024")</f>
        <v/>
      </c>
      <c r="T11">
        <f>HYPERLINK("https://klasma.github.io/Logging_2082/kartor/A 21903-2024 karta.png", "A 21903-2024")</f>
        <v/>
      </c>
      <c r="V11">
        <f>HYPERLINK("https://klasma.github.io/Logging_2082/klagomål/A 21903-2024 FSC-klagomål.docx", "A 21903-2024")</f>
        <v/>
      </c>
      <c r="W11">
        <f>HYPERLINK("https://klasma.github.io/Logging_2082/klagomålsmail/A 21903-2024 FSC-klagomål mail.docx", "A 21903-2024")</f>
        <v/>
      </c>
      <c r="X11">
        <f>HYPERLINK("https://klasma.github.io/Logging_2082/tillsyn/A 21903-2024 tillsynsbegäran.docx", "A 21903-2024")</f>
        <v/>
      </c>
      <c r="Y11">
        <f>HYPERLINK("https://klasma.github.io/Logging_2082/tillsynsmail/A 21903-2024 tillsynsbegäran mail.docx", "A 21903-2024")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45506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45506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45506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45506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45506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45506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45506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45506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45506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45506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45506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45506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45506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45506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45506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45506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45506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45506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45506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45506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45506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45506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45506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45506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45506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45506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45506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45506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45506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45506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45506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45506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45506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45506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45506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45506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45506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45506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45506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45506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45506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45506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45506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45506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45506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45506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45506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45506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45506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45506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45506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45506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45506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45506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45506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45506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45506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45506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45506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45506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45506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45506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45506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45506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45506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45506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45506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45506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45506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45506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45506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45506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45506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45506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45506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45506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45506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45506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45506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45506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45506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45506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45506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45506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45506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45506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45506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45506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45506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45506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45506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45506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45506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45506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45506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45506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45506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45506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45506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45506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45506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45506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45506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45506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45506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45506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45506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45506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45506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45506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45506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45506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45506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45506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45506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45506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45506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45506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45506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45506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45506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45506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45506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45506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45506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45506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45506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45506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45506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45506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45506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45506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45506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45506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45506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45506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45506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45506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45506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45506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45506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45506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45506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45506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45506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45506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45506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45506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45506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45506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45506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45506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45506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45506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45506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45506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45506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45506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45506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45506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45506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45506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45506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45506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45506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45506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45506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45506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45506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45506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45506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45506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45506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45506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45506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45506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45506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45506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45506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45506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45506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45506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45506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45506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45506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45506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45506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45506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45506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45506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45506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45506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45506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45506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45506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45506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45506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45506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45506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45506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45506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45506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45506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45506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45506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45506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45506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45506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45506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45506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45506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45506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45506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45506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45506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45506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45506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45506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45506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45506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45506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45506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45506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45506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45506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45506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45506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45506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45506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45506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45506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45506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45506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45506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45506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45506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45506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45506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45506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45506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45506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45506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45506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45506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45506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45506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45506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45506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45506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45506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45506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45506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45506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45506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45506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45506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45506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45506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45506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45506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45506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45506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45506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45506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45506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45506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45506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45506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45506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45506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45506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45506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45506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45506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45506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45506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45506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45506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45506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45506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45506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45506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45506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45506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45506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45506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45506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45506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45506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45506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45506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45506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45506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45506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45506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45506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45506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45506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45506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45506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45506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45506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45506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45506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45506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45506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45506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45506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45506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45506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45506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45506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45506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45506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45506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45506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45506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45506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45506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45506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45506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45506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45506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45506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45506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45506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45506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45506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45506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45506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45506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45506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45506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45506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45506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45506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45506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45506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45506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45506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45506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45506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45506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45506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45506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45506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45506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45506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45506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45506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45506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45506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45506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45506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45506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45506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45506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45506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45506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45506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45506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45506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45506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45506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45506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45506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45506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45506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45506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45506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45506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45506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45506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45506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45506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45506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45506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45506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45506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45506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45506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45506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45506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45506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45506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45506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45506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45506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45506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45506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45506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45506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45506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45506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45506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45506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45506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45506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45506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45506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45506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45506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45506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45506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45506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45506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45506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45506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45506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45506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45506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45506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45506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45506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45506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45506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45506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45506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45506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45506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45506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45506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45506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45506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45506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45506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45506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45506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45506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45506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45506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45506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45506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45506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45506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45506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45506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45506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45506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45506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45506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45506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45506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45506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45506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45506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45506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28294-2024</t>
        </is>
      </c>
      <c r="B459" s="1" t="n">
        <v>45477</v>
      </c>
      <c r="C459" s="1" t="n">
        <v>45506</v>
      </c>
      <c r="D459" t="inlineStr">
        <is>
          <t>DALARNAS LÄN</t>
        </is>
      </c>
      <c r="E459" t="inlineStr">
        <is>
          <t>SÄTER</t>
        </is>
      </c>
      <c r="F459" t="inlineStr">
        <is>
          <t>Övriga statliga verk och myndigheter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45506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45506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45506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31356-2024</t>
        </is>
      </c>
      <c r="B463" s="1" t="n">
        <v>45505</v>
      </c>
      <c r="C463" s="1" t="n">
        <v>45506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2024-08-02T13:40:58Z</dcterms:created>
  <dcterms:modified xmlns:dcterms="http://purl.org/dc/terms/" xmlns:xsi="http://www.w3.org/2001/XMLSchema-instance" xsi:type="dcterms:W3CDTF">2024-08-02T13:40:58Z</dcterms:modified>
</cp:coreProperties>
</file>