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46300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46300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46300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46300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46300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46300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46300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46300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46300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46300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46300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S 2072-2022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44672</v>
      </c>
      <c r="E15" s="1" t="n">
        <v>46300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125.6</v>
      </c>
      <c r="J15" t="n">
        <v>2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5</v>
      </c>
      <c r="U15" t="n">
        <v>5</v>
      </c>
      <c r="V15" s="2" t="inlineStr">
        <is>
          <t>Knärot
Säfferot
Grovticka
Fläcknycklar</t>
        </is>
      </c>
      <c r="W15">
        <f>HYPERLINK("https://klasma.github.io/Logging_2082/artfynd/S 2072-2022 artfynd.xlsx", "S 2072-2022")</f>
        <v/>
      </c>
      <c r="X15">
        <f>HYPERLINK("https://klasma.github.io/Logging_2082/kartor/S 2072-2022 karta.png", "S 2072-2022")</f>
        <v/>
      </c>
      <c r="Y15">
        <f>HYPERLINK("https://klasma.github.io/Logging_2082/kartor_geotiff/S 2072-2022 georefererad karta.tif", "S 2072-2022")</f>
        <v/>
      </c>
      <c r="Z15">
        <f>HYPERLINK("https://klasma.github.io/Logging_2082/knärot/S 2072-2022 karta knärot.png", "S 2072-2022")</f>
        <v/>
      </c>
      <c r="AA15">
        <f>HYPERLINK("https://klasma.github.io/Logging_2082/klagomål/S 2072-2022 FSC-klagomål.docx", "S 2072-2022")</f>
        <v/>
      </c>
      <c r="AB15">
        <f>HYPERLINK("https://klasma.github.io/Logging_2082/klagomålsmail/S 2072-2022 FSC-klagomål mail.docx", "S 2072-2022")</f>
        <v/>
      </c>
      <c r="AC15">
        <f>HYPERLINK("https://klasma.github.io/Logging_2082/tillsyn/S 2072-2022 tillsynsbegäran.docx", "S 2072-2022")</f>
        <v/>
      </c>
      <c r="AD15">
        <f>HYPERLINK("https://klasma.github.io/Logging_2082/tillsynsmail/S 2072-2022 tillsynsbegäran mail.docx", "S 2072-2022")</f>
        <v/>
      </c>
    </row>
    <row r="16" ht="15" customHeight="1">
      <c r="A16" t="inlineStr">
        <is>
          <t>A 64610-2023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45281</v>
      </c>
      <c r="E16" s="1" t="n">
        <v>46300</v>
      </c>
      <c r="F16" t="inlineStr">
        <is>
          <t>DALARNAS LÄN</t>
        </is>
      </c>
      <c r="G16" t="inlineStr">
        <is>
          <t>SÄTER</t>
        </is>
      </c>
      <c r="I16" t="n">
        <v>0.9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13</v>
      </c>
      <c r="U16" t="n">
        <v>13</v>
      </c>
      <c r="V16" s="2" t="inlineStr">
        <is>
          <t>Tvåblad
Brudborste
Fläcknycklar</t>
        </is>
      </c>
      <c r="W16">
        <f>HYPERLINK("https://klasma.github.io/Logging_2082/artfynd/A 64610-2023 artfynd.xlsx", "A 64610-2023")</f>
        <v/>
      </c>
      <c r="X16">
        <f>HYPERLINK("https://klasma.github.io/Logging_2082/kartor/A 64610-2023 karta.png", "A 64610-2023")</f>
        <v/>
      </c>
      <c r="Y16">
        <f>HYPERLINK("https://klasma.github.io/Logging_2082/kartor_geotiff/A 64610-2023 georefererad karta.tif", "A 64610-2023")</f>
        <v/>
      </c>
      <c r="AA16">
        <f>HYPERLINK("https://klasma.github.io/Logging_2082/klagomål/A 64610-2023 FSC-klagomål.docx", "A 64610-2023")</f>
        <v/>
      </c>
      <c r="AB16">
        <f>HYPERLINK("https://klasma.github.io/Logging_2082/klagomålsmail/A 64610-2023 FSC-klagomål mail.docx", "A 64610-2023")</f>
        <v/>
      </c>
      <c r="AC16">
        <f>HYPERLINK("https://klasma.github.io/Logging_2082/tillsyn/A 64610-2023 tillsynsbegäran.docx", "A 64610-2023")</f>
        <v/>
      </c>
      <c r="AD16">
        <f>HYPERLINK("https://klasma.github.io/Logging_2082/tillsynsmail/A 64610-2023 tillsynsbegäran mail.docx", "A 64610-2023")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46300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46300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38692-2026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46281</v>
      </c>
      <c r="E19" s="1" t="n">
        <v>46300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15.5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7</v>
      </c>
      <c r="U19" t="n">
        <v>6</v>
      </c>
      <c r="V19" s="2" t="inlineStr">
        <is>
          <t>Knärot
Blåmossa
Blåsippa</t>
        </is>
      </c>
      <c r="W19">
        <f>HYPERLINK("https://klasma.github.io/Logging_2082/artfynd/A 38692-2026 artfynd.xlsx", "A 38692-2026")</f>
        <v/>
      </c>
      <c r="X19">
        <f>HYPERLINK("https://klasma.github.io/Logging_2082/kartor/A 38692-2026 karta.png", "A 38692-2026")</f>
        <v/>
      </c>
      <c r="Y19">
        <f>HYPERLINK("https://klasma.github.io/Logging_2082/kartor_geotiff/A 38692-2026 georefererad karta.tif", "A 38692-2026")</f>
        <v/>
      </c>
      <c r="Z19">
        <f>HYPERLINK("https://klasma.github.io/Logging_2082/knärot/A 38692-2026 karta knärot.png", "A 38692-2026")</f>
        <v/>
      </c>
      <c r="AA19">
        <f>HYPERLINK("https://klasma.github.io/Logging_2082/klagomål/A 38692-2026 FSC-klagomål.docx", "A 38692-2026")</f>
        <v/>
      </c>
      <c r="AB19">
        <f>HYPERLINK("https://klasma.github.io/Logging_2082/klagomålsmail/A 38692-2026 FSC-klagomål mail.docx", "A 38692-2026")</f>
        <v/>
      </c>
      <c r="AC19">
        <f>HYPERLINK("https://klasma.github.io/Logging_2082/tillsyn/A 38692-2026 tillsynsbegäran.docx", "A 38692-2026")</f>
        <v/>
      </c>
      <c r="AD19">
        <f>HYPERLINK("https://klasma.github.io/Logging_2082/tillsynsmail/A 38692-2026 tillsynsbegäran mail.docx", "A 38692-2026")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46300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46300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46300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46300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46300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46300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46300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46300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46300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46300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46300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46300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46300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46300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46300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11533-2026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46083</v>
      </c>
      <c r="E35" s="1" t="n">
        <v>46300</v>
      </c>
      <c r="F35" t="inlineStr">
        <is>
          <t>DALARNAS LÄN</t>
        </is>
      </c>
      <c r="G35" t="inlineStr">
        <is>
          <t>SÄTER</t>
        </is>
      </c>
      <c r="H35" t="inlineStr">
        <is>
          <t>Kommuner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HYPERLINK("https://klasma.github.io/Logging_2082/artfynd/A 11533-2026 artfynd.xlsx", "A 11533-2026")</f>
        <v/>
      </c>
      <c r="X35">
        <f>HYPERLINK("https://klasma.github.io/Logging_2082/kartor/A 11533-2026 karta.png", "A 11533-2026")</f>
        <v/>
      </c>
      <c r="Y35">
        <f>HYPERLINK("https://klasma.github.io/Logging_2082/kartor_geotiff/A 11533-2026 georefererad karta.tif", "A 11533-2026")</f>
        <v/>
      </c>
      <c r="AA35">
        <f>HYPERLINK("https://klasma.github.io/Logging_2082/klagomål/A 11533-2026 FSC-klagomål.docx", "A 11533-2026")</f>
        <v/>
      </c>
      <c r="AB35">
        <f>HYPERLINK("https://klasma.github.io/Logging_2082/klagomålsmail/A 11533-2026 FSC-klagomål mail.docx", "A 11533-2026")</f>
        <v/>
      </c>
      <c r="AC35">
        <f>HYPERLINK("https://klasma.github.io/Logging_2082/tillsyn/A 11533-2026 tillsynsbegäran.docx", "A 11533-2026")</f>
        <v/>
      </c>
      <c r="AD35">
        <f>HYPERLINK("https://klasma.github.io/Logging_2082/tillsynsmail/A 11533-2026 tillsynsbegäran mail.docx", "A 11533-2026")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46300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46300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46300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46300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46300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46300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68448-2021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46300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68448-2021 artfynd.xlsx", "A 68448-2021")</f>
        <v/>
      </c>
      <c r="X42">
        <f>HYPERLINK("https://klasma.github.io/Logging_2082/kartor/A 68448-2021 karta.png", "A 68448-2021")</f>
        <v/>
      </c>
      <c r="Y42">
        <f>HYPERLINK("https://klasma.github.io/Logging_2082/kartor_geotiff/A 68448-2021 georefererad karta.tif", "A 68448-2021")</f>
        <v/>
      </c>
      <c r="Z42">
        <f>HYPERLINK("https://klasma.github.io/Logging_2082/knärot/A 68448-2021 karta knärot.png", "A 68448-2021")</f>
        <v/>
      </c>
      <c r="AA42">
        <f>HYPERLINK("https://klasma.github.io/Logging_2082/klagomål/A 68448-2021 FSC-klagomål.docx", "A 68448-2021")</f>
        <v/>
      </c>
      <c r="AB42">
        <f>HYPERLINK("https://klasma.github.io/Logging_2082/klagomålsmail/A 68448-2021 FSC-klagomål mail.docx", "A 68448-2021")</f>
        <v/>
      </c>
      <c r="AC42">
        <f>HYPERLINK("https://klasma.github.io/Logging_2082/tillsyn/A 68448-2021 tillsynsbegäran.docx", "A 68448-2021")</f>
        <v/>
      </c>
      <c r="AD42">
        <f>HYPERLINK("https://klasma.github.io/Logging_2082/tillsynsmail/A 68448-2021 tillsynsbegäran mail.docx", "A 68448-2021")</f>
        <v/>
      </c>
    </row>
    <row r="43" ht="15" customHeight="1">
      <c r="A43" t="inlineStr">
        <is>
          <t>A 32383-2022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46300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32383-2022 artfynd.xlsx", "A 32383-2022")</f>
        <v/>
      </c>
      <c r="X43">
        <f>HYPERLINK("https://klasma.github.io/Logging_2082/kartor/A 32383-2022 karta.png", "A 32383-2022")</f>
        <v/>
      </c>
      <c r="Y43">
        <f>HYPERLINK("https://klasma.github.io/Logging_2082/kartor_geotiff/A 32383-2022 georefererad karta.tif", "A 32383-2022")</f>
        <v/>
      </c>
      <c r="Z43">
        <f>HYPERLINK("https://klasma.github.io/Logging_2082/knärot/A 32383-2022 karta knärot.png", "A 32383-2022")</f>
        <v/>
      </c>
      <c r="AA43">
        <f>HYPERLINK("https://klasma.github.io/Logging_2082/klagomål/A 32383-2022 FSC-klagomål.docx", "A 32383-2022")</f>
        <v/>
      </c>
      <c r="AB43">
        <f>HYPERLINK("https://klasma.github.io/Logging_2082/klagomålsmail/A 32383-2022 FSC-klagomål mail.docx", "A 32383-2022")</f>
        <v/>
      </c>
      <c r="AC43">
        <f>HYPERLINK("https://klasma.github.io/Logging_2082/tillsyn/A 32383-2022 tillsynsbegäran.docx", "A 32383-2022")</f>
        <v/>
      </c>
      <c r="AD43">
        <f>HYPERLINK("https://klasma.github.io/Logging_2082/tillsynsmail/A 32383-2022 tillsynsbegäran mail.docx", "A 32383-2022")</f>
        <v/>
      </c>
    </row>
    <row r="44" ht="15" customHeight="1">
      <c r="A44" t="inlineStr">
        <is>
          <t>A 33605-2022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46300</v>
      </c>
      <c r="F44" t="inlineStr">
        <is>
          <t>DALARNAS LÄN</t>
        </is>
      </c>
      <c r="G44" t="inlineStr">
        <is>
          <t>SÄTER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HYPERLINK("https://klasma.github.io/Logging_2082/artfynd/A 33605-2022 artfynd.xlsx", "A 33605-2022")</f>
        <v/>
      </c>
      <c r="X44">
        <f>HYPERLINK("https://klasma.github.io/Logging_2082/kartor/A 33605-2022 karta.png", "A 33605-2022")</f>
        <v/>
      </c>
      <c r="Y44">
        <f>HYPERLINK("https://klasma.github.io/Logging_2082/kartor_geotiff/A 33605-2022 georefererad karta.tif", "A 33605-2022")</f>
        <v/>
      </c>
      <c r="AA44">
        <f>HYPERLINK("https://klasma.github.io/Logging_2082/klagomål/A 33605-2022 FSC-klagomål.docx", "A 33605-2022")</f>
        <v/>
      </c>
      <c r="AB44">
        <f>HYPERLINK("https://klasma.github.io/Logging_2082/klagomålsmail/A 33605-2022 FSC-klagomål mail.docx", "A 33605-2022")</f>
        <v/>
      </c>
      <c r="AC44">
        <f>HYPERLINK("https://klasma.github.io/Logging_2082/tillsyn/A 33605-2022 tillsynsbegäran.docx", "A 33605-2022")</f>
        <v/>
      </c>
      <c r="AD44">
        <f>HYPERLINK("https://klasma.github.io/Logging_2082/tillsynsmail/A 33605-2022 tillsynsbegäran mail.docx", "A 33605-2022")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46300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46300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5232-2022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46300</v>
      </c>
      <c r="F47" t="inlineStr">
        <is>
          <t>DALARNAS LÄN</t>
        </is>
      </c>
      <c r="G47" t="inlineStr">
        <is>
          <t>SÄTER</t>
        </is>
      </c>
      <c r="I47" t="n">
        <v>2.5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Tvåblad</t>
        </is>
      </c>
      <c r="W47">
        <f>HYPERLINK("https://klasma.github.io/Logging_2082/artfynd/A 5232-2022 artfynd.xlsx", "A 5232-2022")</f>
        <v/>
      </c>
      <c r="X47">
        <f>HYPERLINK("https://klasma.github.io/Logging_2082/kartor/A 5232-2022 karta.png", "A 5232-2022")</f>
        <v/>
      </c>
      <c r="Y47">
        <f>HYPERLINK("https://klasma.github.io/Logging_2082/kartor_geotiff/A 5232-2022 georefererad karta.tif", "A 5232-2022")</f>
        <v/>
      </c>
      <c r="AA47">
        <f>HYPERLINK("https://klasma.github.io/Logging_2082/klagomål/A 5232-2022 FSC-klagomål.docx", "A 5232-2022")</f>
        <v/>
      </c>
      <c r="AB47">
        <f>HYPERLINK("https://klasma.github.io/Logging_2082/klagomålsmail/A 5232-2022 FSC-klagomål mail.docx", "A 5232-2022")</f>
        <v/>
      </c>
      <c r="AC47">
        <f>HYPERLINK("https://klasma.github.io/Logging_2082/tillsyn/A 5232-2022 tillsynsbegäran.docx", "A 5232-2022")</f>
        <v/>
      </c>
      <c r="AD47">
        <f>HYPERLINK("https://klasma.github.io/Logging_2082/tillsynsmail/A 5232-2022 tillsynsbegäran mail.docx", "A 5232-2022")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46300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46300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46300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46300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46300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46300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46300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46300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46300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46300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46300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46300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46300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46300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46300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46300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46300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46300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46300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46300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46300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46300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46300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46300</v>
      </c>
      <c r="F71" t="inlineStr">
        <is>
          <t>DALARNAS LÄN</t>
        </is>
      </c>
      <c r="G71" t="inlineStr">
        <is>
          <t>SÄTER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46300</v>
      </c>
      <c r="F72" t="inlineStr">
        <is>
          <t>DALARNAS LÄN</t>
        </is>
      </c>
      <c r="G72" t="inlineStr">
        <is>
          <t>SÄTER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46300</v>
      </c>
      <c r="F73" t="inlineStr">
        <is>
          <t>DALARNAS LÄN</t>
        </is>
      </c>
      <c r="G73" t="inlineStr">
        <is>
          <t>SÄTER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46300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46300</v>
      </c>
      <c r="F75" t="inlineStr">
        <is>
          <t>DALARNAS LÄN</t>
        </is>
      </c>
      <c r="G75" t="inlineStr">
        <is>
          <t>SÄTER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51328-2024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45604</v>
      </c>
      <c r="E76" s="1" t="n">
        <v>46300</v>
      </c>
      <c r="F76" t="inlineStr">
        <is>
          <t>DALARNAS LÄN</t>
        </is>
      </c>
      <c r="G76" t="inlineStr">
        <is>
          <t>SÄTER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51339-2024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46300</v>
      </c>
      <c r="F77" t="inlineStr">
        <is>
          <t>DALARNAS LÄN</t>
        </is>
      </c>
      <c r="G77" t="inlineStr">
        <is>
          <t>SÄTER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44581</v>
      </c>
      <c r="E78" s="1" t="n">
        <v>46300</v>
      </c>
      <c r="F78" t="inlineStr">
        <is>
          <t>DALARNAS LÄN</t>
        </is>
      </c>
      <c r="G78" t="inlineStr">
        <is>
          <t>SÄTER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46300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46300</v>
      </c>
      <c r="F80" t="inlineStr">
        <is>
          <t>DALARNAS LÄN</t>
        </is>
      </c>
      <c r="G80" t="inlineStr">
        <is>
          <t>SÄTER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  <c r="Z80">
        <f>HYPERLINK("https://klasma.github.io/Logging_2082/knärot/A 498-2025 karta knärot.png", "A 498-2025")</f>
        <v/>
      </c>
      <c r="AA80">
        <f>HYPERLINK("https://klasma.github.io/Logging_2082/klagomål/A 498-2025 FSC-klagomål.docx", "A 498-2025")</f>
        <v/>
      </c>
      <c r="AB80">
        <f>HYPERLINK("https://klasma.github.io/Logging_2082/klagomålsmail/A 498-2025 FSC-klagomål mail.docx", "A 498-2025")</f>
        <v/>
      </c>
      <c r="AC80">
        <f>HYPERLINK("https://klasma.github.io/Logging_2082/tillsyn/A 498-2025 tillsynsbegäran.docx", "A 498-2025")</f>
        <v/>
      </c>
      <c r="AD80">
        <f>HYPERLINK("https://klasma.github.io/Logging_2082/tillsynsmail/A 498-2025 tillsynsbegäran mail.docx", "A 498-2025")</f>
        <v/>
      </c>
    </row>
    <row r="81" ht="15" customHeight="1">
      <c r="A81" t="inlineStr">
        <is>
          <t>A 8697-2023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44978</v>
      </c>
      <c r="E81" s="1" t="n">
        <v>46300</v>
      </c>
      <c r="F81" t="inlineStr">
        <is>
          <t>DALARNAS LÄN</t>
        </is>
      </c>
      <c r="G81" t="inlineStr">
        <is>
          <t>SÄTER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46300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46300</v>
      </c>
      <c r="F83" t="inlineStr">
        <is>
          <t>DALARNAS LÄN</t>
        </is>
      </c>
      <c r="G83" t="inlineStr">
        <is>
          <t>SÄTER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46300</v>
      </c>
      <c r="F84" t="inlineStr">
        <is>
          <t>DALARNAS LÄN</t>
        </is>
      </c>
      <c r="G84" t="inlineStr">
        <is>
          <t>SÄTER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44956</v>
      </c>
      <c r="E85" s="1" t="n">
        <v>46300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44924</v>
      </c>
      <c r="E86" s="1" t="n">
        <v>46300</v>
      </c>
      <c r="F86" t="inlineStr">
        <is>
          <t>DALARNAS LÄN</t>
        </is>
      </c>
      <c r="G86" t="inlineStr">
        <is>
          <t>SÄTER</t>
        </is>
      </c>
      <c r="H86" t="inlineStr">
        <is>
          <t>Kommuner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46300</v>
      </c>
      <c r="F87" t="inlineStr">
        <is>
          <t>DALARNAS LÄN</t>
        </is>
      </c>
      <c r="G87" t="inlineStr">
        <is>
          <t>SÄTER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22970-2025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45790</v>
      </c>
      <c r="E88" s="1" t="n">
        <v>46300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46300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46300</v>
      </c>
      <c r="F90" t="inlineStr">
        <is>
          <t>DALARNAS LÄN</t>
        </is>
      </c>
      <c r="G90" t="inlineStr">
        <is>
          <t>SÄTER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46300</v>
      </c>
      <c r="F91" t="inlineStr">
        <is>
          <t>DALARNAS LÄN</t>
        </is>
      </c>
      <c r="G91" t="inlineStr">
        <is>
          <t>SÄTER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46026</v>
      </c>
      <c r="E92" s="1" t="n">
        <v>46300</v>
      </c>
      <c r="F92" t="inlineStr">
        <is>
          <t>DALARNAS LÄN</t>
        </is>
      </c>
      <c r="G92" t="inlineStr">
        <is>
          <t>SÄTER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46027</v>
      </c>
      <c r="E93" s="1" t="n">
        <v>46300</v>
      </c>
      <c r="F93" t="inlineStr">
        <is>
          <t>DALARNAS LÄN</t>
        </is>
      </c>
      <c r="G93" t="inlineStr">
        <is>
          <t>SÄTER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46030</v>
      </c>
      <c r="E94" s="1" t="n">
        <v>46300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46300</v>
      </c>
      <c r="F95" t="inlineStr">
        <is>
          <t>DALARNAS LÄN</t>
        </is>
      </c>
      <c r="G95" t="inlineStr">
        <is>
          <t>SÄTER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46300</v>
      </c>
      <c r="F96" t="inlineStr">
        <is>
          <t>DALARNAS LÄN</t>
        </is>
      </c>
      <c r="G96" t="inlineStr">
        <is>
          <t>SÄTER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46300</v>
      </c>
      <c r="F97" t="inlineStr">
        <is>
          <t>DALARNAS LÄN</t>
        </is>
      </c>
      <c r="G97" t="inlineStr">
        <is>
          <t>SÄTER</t>
        </is>
      </c>
      <c r="H97" t="inlineStr">
        <is>
          <t>Kommuner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46300</v>
      </c>
      <c r="F98" t="inlineStr">
        <is>
          <t>DALARNAS LÄN</t>
        </is>
      </c>
      <c r="G98" t="inlineStr">
        <is>
          <t>SÄTER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46300</v>
      </c>
      <c r="F99" t="inlineStr">
        <is>
          <t>DALARNAS LÄN</t>
        </is>
      </c>
      <c r="G99" t="inlineStr">
        <is>
          <t>SÄTER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46300</v>
      </c>
      <c r="F100" t="inlineStr">
        <is>
          <t>DALARNAS LÄN</t>
        </is>
      </c>
      <c r="G100" t="inlineStr">
        <is>
          <t>SÄTER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46300</v>
      </c>
      <c r="F101" t="inlineStr">
        <is>
          <t>DALARNAS LÄN</t>
        </is>
      </c>
      <c r="G101" t="inlineStr">
        <is>
          <t>SÄTER</t>
        </is>
      </c>
      <c r="I101" t="n">
        <v>10.9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46300</v>
      </c>
      <c r="F102" t="inlineStr">
        <is>
          <t>DALARNAS LÄN</t>
        </is>
      </c>
      <c r="G102" t="inlineStr">
        <is>
          <t>SÄTER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46300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46300</v>
      </c>
      <c r="F104" t="inlineStr">
        <is>
          <t>DALARNAS LÄN</t>
        </is>
      </c>
      <c r="G104" t="inlineStr">
        <is>
          <t>SÄTER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46300</v>
      </c>
      <c r="F105" t="inlineStr">
        <is>
          <t>DALARNAS LÄN</t>
        </is>
      </c>
      <c r="G105" t="inlineStr">
        <is>
          <t>SÄTER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46300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44690</v>
      </c>
      <c r="E107" s="1" t="n">
        <v>46300</v>
      </c>
      <c r="F107" t="inlineStr">
        <is>
          <t>DALARNAS LÄN</t>
        </is>
      </c>
      <c r="G107" t="inlineStr">
        <is>
          <t>SÄTER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46300</v>
      </c>
      <c r="F108" t="inlineStr">
        <is>
          <t>DALARNAS LÄN</t>
        </is>
      </c>
      <c r="G108" t="inlineStr">
        <is>
          <t>SÄTER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46300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45365</v>
      </c>
      <c r="E110" s="1" t="n">
        <v>46300</v>
      </c>
      <c r="F110" t="inlineStr">
        <is>
          <t>DALARNAS LÄN</t>
        </is>
      </c>
      <c r="G110" t="inlineStr">
        <is>
          <t>SÄTER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46300</v>
      </c>
      <c r="F111" t="inlineStr">
        <is>
          <t>DALARNAS LÄN</t>
        </is>
      </c>
      <c r="G111" t="inlineStr">
        <is>
          <t>SÄTER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46300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46300</v>
      </c>
      <c r="F113" t="inlineStr">
        <is>
          <t>DALARNAS LÄN</t>
        </is>
      </c>
      <c r="G113" t="inlineStr">
        <is>
          <t>SÄTER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46300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46300</v>
      </c>
      <c r="F115" t="inlineStr">
        <is>
          <t>DALARNAS LÄN</t>
        </is>
      </c>
      <c r="G115" t="inlineStr">
        <is>
          <t>SÄTER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46300</v>
      </c>
      <c r="F116" t="inlineStr">
        <is>
          <t>DALARNAS LÄN</t>
        </is>
      </c>
      <c r="G116" t="inlineStr">
        <is>
          <t>SÄTER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46300</v>
      </c>
      <c r="F117" t="inlineStr">
        <is>
          <t>DALARNAS LÄN</t>
        </is>
      </c>
      <c r="G117" t="inlineStr">
        <is>
          <t>SÄTER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46300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45804</v>
      </c>
      <c r="E119" s="1" t="n">
        <v>46300</v>
      </c>
      <c r="F119" t="inlineStr">
        <is>
          <t>DALARNAS LÄN</t>
        </is>
      </c>
      <c r="G119" t="inlineStr">
        <is>
          <t>SÄTER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45240</v>
      </c>
      <c r="E120" s="1" t="n">
        <v>46300</v>
      </c>
      <c r="F120" t="inlineStr">
        <is>
          <t>DALARNAS LÄN</t>
        </is>
      </c>
      <c r="G120" t="inlineStr">
        <is>
          <t>SÄTER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46300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46300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46300</v>
      </c>
      <c r="F123" t="inlineStr">
        <is>
          <t>DALARNAS LÄN</t>
        </is>
      </c>
      <c r="G123" t="inlineStr">
        <is>
          <t>SÄTER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46300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46300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41.4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46057</v>
      </c>
      <c r="E126" s="1" t="n">
        <v>46300</v>
      </c>
      <c r="F126" t="inlineStr">
        <is>
          <t>DALARNAS LÄN</t>
        </is>
      </c>
      <c r="G126" t="inlineStr">
        <is>
          <t>SÄTER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46300</v>
      </c>
      <c r="F127" t="inlineStr">
        <is>
          <t>DALARNAS LÄN</t>
        </is>
      </c>
      <c r="G127" t="inlineStr">
        <is>
          <t>SÄTER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6856-2026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46057</v>
      </c>
      <c r="E128" s="1" t="n">
        <v>46300</v>
      </c>
      <c r="F128" t="inlineStr">
        <is>
          <t>DALARNAS LÄN</t>
        </is>
      </c>
      <c r="G128" t="inlineStr">
        <is>
          <t>SÄTER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46300</v>
      </c>
      <c r="F129" t="inlineStr">
        <is>
          <t>DALARNAS LÄN</t>
        </is>
      </c>
      <c r="G129" t="inlineStr">
        <is>
          <t>SÄTER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46300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46300</v>
      </c>
      <c r="F131" t="inlineStr">
        <is>
          <t>DALARNAS LÄN</t>
        </is>
      </c>
      <c r="G131" t="inlineStr">
        <is>
          <t>SÄTER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45455</v>
      </c>
      <c r="E132" s="1" t="n">
        <v>46300</v>
      </c>
      <c r="F132" t="inlineStr">
        <is>
          <t>DALARNAS LÄN</t>
        </is>
      </c>
      <c r="G132" t="inlineStr">
        <is>
          <t>SÄTER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46065</v>
      </c>
      <c r="E133" s="1" t="n">
        <v>46300</v>
      </c>
      <c r="F133" t="inlineStr">
        <is>
          <t>DALARNAS LÄN</t>
        </is>
      </c>
      <c r="G133" t="inlineStr">
        <is>
          <t>SÄTER</t>
        </is>
      </c>
      <c r="I133" t="n">
        <v>9.9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46300</v>
      </c>
      <c r="F134" t="inlineStr">
        <is>
          <t>DALARNAS LÄN</t>
        </is>
      </c>
      <c r="G134" t="inlineStr">
        <is>
          <t>SÄTER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46300</v>
      </c>
      <c r="F135" t="inlineStr">
        <is>
          <t>DALARNAS LÄN</t>
        </is>
      </c>
      <c r="G135" t="inlineStr">
        <is>
          <t>SÄTER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46300</v>
      </c>
      <c r="F136" t="inlineStr">
        <is>
          <t>DALARNAS LÄN</t>
        </is>
      </c>
      <c r="G136" t="inlineStr">
        <is>
          <t>SÄTER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45939</v>
      </c>
      <c r="E137" s="1" t="n">
        <v>46300</v>
      </c>
      <c r="F137" t="inlineStr">
        <is>
          <t>DALARNAS LÄN</t>
        </is>
      </c>
      <c r="G137" t="inlineStr">
        <is>
          <t>SÄTER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46300</v>
      </c>
      <c r="F138" t="inlineStr">
        <is>
          <t>DALARNAS LÄN</t>
        </is>
      </c>
      <c r="G138" t="inlineStr">
        <is>
          <t>SÄTER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46300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46076</v>
      </c>
      <c r="E140" s="1" t="n">
        <v>46300</v>
      </c>
      <c r="F140" t="inlineStr">
        <is>
          <t>DALARNAS LÄN</t>
        </is>
      </c>
      <c r="G140" t="inlineStr">
        <is>
          <t>SÄTER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44727</v>
      </c>
      <c r="E141" s="1" t="n">
        <v>46300</v>
      </c>
      <c r="F141" t="inlineStr">
        <is>
          <t>DALARNAS LÄN</t>
        </is>
      </c>
      <c r="G141" t="inlineStr">
        <is>
          <t>SÄTER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46300</v>
      </c>
      <c r="F142" t="inlineStr">
        <is>
          <t>DALARNAS LÄN</t>
        </is>
      </c>
      <c r="G142" t="inlineStr">
        <is>
          <t>SÄTER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46300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46300</v>
      </c>
      <c r="F144" t="inlineStr">
        <is>
          <t>DALARNAS LÄN</t>
        </is>
      </c>
      <c r="G144" t="inlineStr">
        <is>
          <t>SÄTER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46300</v>
      </c>
      <c r="F145" t="inlineStr">
        <is>
          <t>DALARNAS LÄN</t>
        </is>
      </c>
      <c r="G145" t="inlineStr">
        <is>
          <t>SÄTER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46300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46300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46300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46300</v>
      </c>
      <c r="F149" t="inlineStr">
        <is>
          <t>DALARNAS LÄN</t>
        </is>
      </c>
      <c r="G149" t="inlineStr">
        <is>
          <t>SÄTER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46083</v>
      </c>
      <c r="E150" s="1" t="n">
        <v>46300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45552</v>
      </c>
      <c r="E151" s="1" t="n">
        <v>46300</v>
      </c>
      <c r="F151" t="inlineStr">
        <is>
          <t>DALARNAS LÄN</t>
        </is>
      </c>
      <c r="G151" t="inlineStr">
        <is>
          <t>SÄTER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52422-2025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46300</v>
      </c>
      <c r="F152" t="inlineStr">
        <is>
          <t>DALARNAS LÄN</t>
        </is>
      </c>
      <c r="G152" t="inlineStr">
        <is>
          <t>SÄTER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46300</v>
      </c>
      <c r="F153" t="inlineStr">
        <is>
          <t>DALARNAS LÄN</t>
        </is>
      </c>
      <c r="G153" t="inlineStr">
        <is>
          <t>SÄTER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46300</v>
      </c>
      <c r="F154" t="inlineStr">
        <is>
          <t>DALARNAS LÄN</t>
        </is>
      </c>
      <c r="G154" t="inlineStr">
        <is>
          <t>SÄTER</t>
        </is>
      </c>
      <c r="I154" t="n">
        <v>10.9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12322-2026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46300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46300</v>
      </c>
      <c r="F156" t="inlineStr">
        <is>
          <t>DALARNAS LÄN</t>
        </is>
      </c>
      <c r="G156" t="inlineStr">
        <is>
          <t>SÄTER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46300</v>
      </c>
      <c r="F157" t="inlineStr">
        <is>
          <t>DALARNAS LÄN</t>
        </is>
      </c>
      <c r="G157" t="inlineStr">
        <is>
          <t>SÄTER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45961</v>
      </c>
      <c r="E158" s="1" t="n">
        <v>46300</v>
      </c>
      <c r="F158" t="inlineStr">
        <is>
          <t>DALARNAS LÄN</t>
        </is>
      </c>
      <c r="G158" t="inlineStr">
        <is>
          <t>SÄTER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53559-2025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45960</v>
      </c>
      <c r="E159" s="1" t="n">
        <v>46300</v>
      </c>
      <c r="F159" t="inlineStr">
        <is>
          <t>DALARNAS LÄN</t>
        </is>
      </c>
      <c r="G159" t="inlineStr">
        <is>
          <t>SÄTER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46300</v>
      </c>
      <c r="F160" t="inlineStr">
        <is>
          <t>DALARNAS LÄN</t>
        </is>
      </c>
      <c r="G160" t="inlineStr">
        <is>
          <t>SÄTER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46300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46300</v>
      </c>
      <c r="F162" t="inlineStr">
        <is>
          <t>DALARNAS LÄN</t>
        </is>
      </c>
      <c r="G162" t="inlineStr">
        <is>
          <t>SÄTER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46300</v>
      </c>
      <c r="F163" t="inlineStr">
        <is>
          <t>DALARNAS LÄN</t>
        </is>
      </c>
      <c r="G163" t="inlineStr">
        <is>
          <t>SÄTER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46300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46098</v>
      </c>
      <c r="E165" s="1" t="n">
        <v>46300</v>
      </c>
      <c r="F165" t="inlineStr">
        <is>
          <t>DALARNAS LÄN</t>
        </is>
      </c>
      <c r="G165" t="inlineStr">
        <is>
          <t>SÄTER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46300</v>
      </c>
      <c r="F166" t="inlineStr">
        <is>
          <t>DALARNAS LÄN</t>
        </is>
      </c>
      <c r="G166" t="inlineStr">
        <is>
          <t>SÄTER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46300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46300</v>
      </c>
      <c r="F168" t="inlineStr">
        <is>
          <t>DALARNAS LÄN</t>
        </is>
      </c>
      <c r="G168" t="inlineStr">
        <is>
          <t>SÄTER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46300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44572</v>
      </c>
      <c r="E170" s="1" t="n">
        <v>46300</v>
      </c>
      <c r="F170" t="inlineStr">
        <is>
          <t>DALARNAS LÄN</t>
        </is>
      </c>
      <c r="G170" t="inlineStr">
        <is>
          <t>SÄTER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46300</v>
      </c>
      <c r="F171" t="inlineStr">
        <is>
          <t>DALARNAS LÄN</t>
        </is>
      </c>
      <c r="G171" t="inlineStr">
        <is>
          <t>SÄTER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46300</v>
      </c>
      <c r="F172" t="inlineStr">
        <is>
          <t>DALARNAS LÄN</t>
        </is>
      </c>
      <c r="G172" t="inlineStr">
        <is>
          <t>SÄTER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46300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45599</v>
      </c>
      <c r="E174" s="1" t="n">
        <v>46300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46300</v>
      </c>
      <c r="F175" t="inlineStr">
        <is>
          <t>DALARNAS LÄN</t>
        </is>
      </c>
      <c r="G175" t="inlineStr">
        <is>
          <t>SÄTER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46300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46300</v>
      </c>
      <c r="F177" t="inlineStr">
        <is>
          <t>DALARNAS LÄN</t>
        </is>
      </c>
      <c r="G177" t="inlineStr">
        <is>
          <t>SÄTER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46300</v>
      </c>
      <c r="F178" t="inlineStr">
        <is>
          <t>DALARNAS LÄN</t>
        </is>
      </c>
      <c r="G178" t="inlineStr">
        <is>
          <t>SÄTER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46300</v>
      </c>
      <c r="F179" t="inlineStr">
        <is>
          <t>DALARNAS LÄN</t>
        </is>
      </c>
      <c r="G179" t="inlineStr">
        <is>
          <t>SÄTER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45992</v>
      </c>
      <c r="E180" s="1" t="n">
        <v>46300</v>
      </c>
      <c r="F180" t="inlineStr">
        <is>
          <t>DALARNAS LÄN</t>
        </is>
      </c>
      <c r="G180" t="inlineStr">
        <is>
          <t>SÄTER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46300</v>
      </c>
      <c r="F181" t="inlineStr">
        <is>
          <t>DALARNAS LÄN</t>
        </is>
      </c>
      <c r="G181" t="inlineStr">
        <is>
          <t>SÄTER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46300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46300</v>
      </c>
      <c r="F183" t="inlineStr">
        <is>
          <t>DALARNAS LÄN</t>
        </is>
      </c>
      <c r="G183" t="inlineStr">
        <is>
          <t>SÄTER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46300</v>
      </c>
      <c r="F184" t="inlineStr">
        <is>
          <t>DALARNAS LÄN</t>
        </is>
      </c>
      <c r="G184" t="inlineStr">
        <is>
          <t>SÄTER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46300</v>
      </c>
      <c r="F185" t="inlineStr">
        <is>
          <t>DALARNAS LÄN</t>
        </is>
      </c>
      <c r="G185" t="inlineStr">
        <is>
          <t>SÄTER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46300</v>
      </c>
      <c r="F186" t="inlineStr">
        <is>
          <t>DALARNAS LÄN</t>
        </is>
      </c>
      <c r="G186" t="inlineStr">
        <is>
          <t>SÄTER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46300</v>
      </c>
      <c r="F187" t="inlineStr">
        <is>
          <t>DALARNAS LÄN</t>
        </is>
      </c>
      <c r="G187" t="inlineStr">
        <is>
          <t>SÄTER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46092</v>
      </c>
      <c r="E188" s="1" t="n">
        <v>46300</v>
      </c>
      <c r="F188" t="inlineStr">
        <is>
          <t>DALARNAS LÄN</t>
        </is>
      </c>
      <c r="G188" t="inlineStr">
        <is>
          <t>SÄTER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46300</v>
      </c>
      <c r="F189" t="inlineStr">
        <is>
          <t>DALARNAS LÄN</t>
        </is>
      </c>
      <c r="G189" t="inlineStr">
        <is>
          <t>SÄTER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46300</v>
      </c>
      <c r="F190" t="inlineStr">
        <is>
          <t>DALARNAS LÄN</t>
        </is>
      </c>
      <c r="G190" t="inlineStr">
        <is>
          <t>SÄTER</t>
        </is>
      </c>
      <c r="H190" t="inlineStr">
        <is>
          <t>Kommuner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44960</v>
      </c>
      <c r="E191" s="1" t="n">
        <v>46300</v>
      </c>
      <c r="F191" t="inlineStr">
        <is>
          <t>DALARNAS LÄN</t>
        </is>
      </c>
      <c r="G191" t="inlineStr">
        <is>
          <t>SÄTER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46300</v>
      </c>
      <c r="F192" t="inlineStr">
        <is>
          <t>DALARNAS LÄN</t>
        </is>
      </c>
      <c r="G192" t="inlineStr">
        <is>
          <t>SÄTER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46300</v>
      </c>
      <c r="F193" t="inlineStr">
        <is>
          <t>DALARNAS LÄN</t>
        </is>
      </c>
      <c r="G193" t="inlineStr">
        <is>
          <t>SÄTER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46300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46300</v>
      </c>
      <c r="F195" t="inlineStr">
        <is>
          <t>DALARNAS LÄN</t>
        </is>
      </c>
      <c r="G195" t="inlineStr">
        <is>
          <t>SÄTER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46300</v>
      </c>
      <c r="F196" t="inlineStr">
        <is>
          <t>DALARNAS LÄN</t>
        </is>
      </c>
      <c r="G196" t="inlineStr">
        <is>
          <t>SÄTER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46300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46300</v>
      </c>
      <c r="F198" t="inlineStr">
        <is>
          <t>DALARNAS LÄN</t>
        </is>
      </c>
      <c r="G198" t="inlineStr">
        <is>
          <t>SÄTER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46300</v>
      </c>
      <c r="F199" t="inlineStr">
        <is>
          <t>DALARNAS LÄN</t>
        </is>
      </c>
      <c r="G199" t="inlineStr">
        <is>
          <t>SÄTER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46300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46300</v>
      </c>
      <c r="F201" t="inlineStr">
        <is>
          <t>DALARNAS LÄN</t>
        </is>
      </c>
      <c r="G201" t="inlineStr">
        <is>
          <t>SÄTER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46300</v>
      </c>
      <c r="F202" t="inlineStr">
        <is>
          <t>DALARNAS LÄN</t>
        </is>
      </c>
      <c r="G202" t="inlineStr">
        <is>
          <t>SÄTER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46014</v>
      </c>
      <c r="E203" s="1" t="n">
        <v>46300</v>
      </c>
      <c r="F203" t="inlineStr">
        <is>
          <t>DALARNAS LÄN</t>
        </is>
      </c>
      <c r="G203" t="inlineStr">
        <is>
          <t>SÄTER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7562-2023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46300</v>
      </c>
      <c r="F204" t="inlineStr">
        <is>
          <t>DALARNAS LÄN</t>
        </is>
      </c>
      <c r="G204" t="inlineStr">
        <is>
          <t>SÄTER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45855</v>
      </c>
      <c r="E205" s="1" t="n">
        <v>46300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46300</v>
      </c>
      <c r="F206" t="inlineStr">
        <is>
          <t>DALARNAS LÄN</t>
        </is>
      </c>
      <c r="G206" t="inlineStr">
        <is>
          <t>SÄTER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46300</v>
      </c>
      <c r="F207" t="inlineStr">
        <is>
          <t>DALARNAS LÄN</t>
        </is>
      </c>
      <c r="G207" t="inlineStr">
        <is>
          <t>SÄTER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46300</v>
      </c>
      <c r="F208" t="inlineStr">
        <is>
          <t>DALARNAS LÄN</t>
        </is>
      </c>
      <c r="G208" t="inlineStr">
        <is>
          <t>SÄTER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46300</v>
      </c>
      <c r="F209" t="inlineStr">
        <is>
          <t>DALARNAS LÄN</t>
        </is>
      </c>
      <c r="G209" t="inlineStr">
        <is>
          <t>SÄTER</t>
        </is>
      </c>
      <c r="I209" t="n">
        <v>13.2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45567</v>
      </c>
      <c r="E210" s="1" t="n">
        <v>46300</v>
      </c>
      <c r="F210" t="inlineStr">
        <is>
          <t>DALARNAS LÄN</t>
        </is>
      </c>
      <c r="G210" t="inlineStr">
        <is>
          <t>SÄTER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44732</v>
      </c>
      <c r="E211" s="1" t="n">
        <v>46300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46136</v>
      </c>
      <c r="E212" s="1" t="n">
        <v>46300</v>
      </c>
      <c r="F212" t="inlineStr">
        <is>
          <t>DALARNAS LÄN</t>
        </is>
      </c>
      <c r="G212" t="inlineStr">
        <is>
          <t>SÄTER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46300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44982</v>
      </c>
      <c r="E214" s="1" t="n">
        <v>46300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46300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46300</v>
      </c>
      <c r="F216" t="inlineStr">
        <is>
          <t>DALARNAS LÄN</t>
        </is>
      </c>
      <c r="G216" t="inlineStr">
        <is>
          <t>SÄTER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46300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46300</v>
      </c>
      <c r="F218" t="inlineStr">
        <is>
          <t>DALARNAS LÄN</t>
        </is>
      </c>
      <c r="G218" t="inlineStr">
        <is>
          <t>SÄTER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46300</v>
      </c>
      <c r="F219" t="inlineStr">
        <is>
          <t>DALARNAS LÄN</t>
        </is>
      </c>
      <c r="G219" t="inlineStr">
        <is>
          <t>SÄTER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  <c r="Z219">
        <f>HYPERLINK("https://klasma.github.io/Logging_2082/knärot/A 57416-2022 karta knärot.png", "A 57416-2022")</f>
        <v/>
      </c>
      <c r="AA219">
        <f>HYPERLINK("https://klasma.github.io/Logging_2082/klagomål/A 57416-2022 FSC-klagomål.docx", "A 57416-2022")</f>
        <v/>
      </c>
      <c r="AB219">
        <f>HYPERLINK("https://klasma.github.io/Logging_2082/klagomålsmail/A 57416-2022 FSC-klagomål mail.docx", "A 57416-2022")</f>
        <v/>
      </c>
      <c r="AC219">
        <f>HYPERLINK("https://klasma.github.io/Logging_2082/tillsyn/A 57416-2022 tillsynsbegäran.docx", "A 57416-2022")</f>
        <v/>
      </c>
      <c r="AD219">
        <f>HYPERLINK("https://klasma.github.io/Logging_2082/tillsynsmail/A 57416-2022 tillsynsbegäran mail.docx", "A 57416-2022")</f>
        <v/>
      </c>
    </row>
    <row r="220" ht="15" customHeight="1">
      <c r="A220" t="inlineStr">
        <is>
          <t>A 9408-2026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46300</v>
      </c>
      <c r="F220" t="inlineStr">
        <is>
          <t>DALARNAS LÄN</t>
        </is>
      </c>
      <c r="G220" t="inlineStr">
        <is>
          <t>SÄTER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46300</v>
      </c>
      <c r="F221" t="inlineStr">
        <is>
          <t>DALARNAS LÄN</t>
        </is>
      </c>
      <c r="G221" t="inlineStr">
        <is>
          <t>SÄTER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46300</v>
      </c>
      <c r="F222" t="inlineStr">
        <is>
          <t>DALARNAS LÄN</t>
        </is>
      </c>
      <c r="G222" t="inlineStr">
        <is>
          <t>SÄTER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46300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46300</v>
      </c>
      <c r="F224" t="inlineStr">
        <is>
          <t>DALARNAS LÄN</t>
        </is>
      </c>
      <c r="G224" t="inlineStr">
        <is>
          <t>SÄTER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46300</v>
      </c>
      <c r="F225" t="inlineStr">
        <is>
          <t>DALARNAS LÄN</t>
        </is>
      </c>
      <c r="G225" t="inlineStr">
        <is>
          <t>SÄTER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46300</v>
      </c>
      <c r="F226" t="inlineStr">
        <is>
          <t>DALARNAS LÄN</t>
        </is>
      </c>
      <c r="G226" t="inlineStr">
        <is>
          <t>SÄTER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46300</v>
      </c>
      <c r="F227" t="inlineStr">
        <is>
          <t>DALARNAS LÄN</t>
        </is>
      </c>
      <c r="G227" t="inlineStr">
        <is>
          <t>SÄTER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45870</v>
      </c>
      <c r="E228" s="1" t="n">
        <v>46300</v>
      </c>
      <c r="F228" t="inlineStr">
        <is>
          <t>DALARNAS LÄN</t>
        </is>
      </c>
      <c r="G228" t="inlineStr">
        <is>
          <t>SÄTER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46300</v>
      </c>
      <c r="F229" t="inlineStr">
        <is>
          <t>DALARNAS LÄN</t>
        </is>
      </c>
      <c r="G229" t="inlineStr">
        <is>
          <t>SÄTER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46300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42.6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44711</v>
      </c>
      <c r="E231" s="1" t="n">
        <v>46300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46300</v>
      </c>
      <c r="F232" t="inlineStr">
        <is>
          <t>DALARNAS LÄN</t>
        </is>
      </c>
      <c r="G232" t="inlineStr">
        <is>
          <t>SÄTER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44830</v>
      </c>
      <c r="E233" s="1" t="n">
        <v>46300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46300</v>
      </c>
      <c r="F234" t="inlineStr">
        <is>
          <t>DALARNAS LÄN</t>
        </is>
      </c>
      <c r="G234" t="inlineStr">
        <is>
          <t>SÄTER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44935</v>
      </c>
      <c r="E235" s="1" t="n">
        <v>46300</v>
      </c>
      <c r="F235" t="inlineStr">
        <is>
          <t>DALARNAS LÄN</t>
        </is>
      </c>
      <c r="G235" t="inlineStr">
        <is>
          <t>SÄTER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46300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46300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46300</v>
      </c>
      <c r="F238" t="inlineStr">
        <is>
          <t>DALARNAS LÄN</t>
        </is>
      </c>
      <c r="G238" t="inlineStr">
        <is>
          <t>SÄTER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46300</v>
      </c>
      <c r="F239" t="inlineStr">
        <is>
          <t>DALARNAS LÄN</t>
        </is>
      </c>
      <c r="G239" t="inlineStr">
        <is>
          <t>SÄTER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44869</v>
      </c>
      <c r="E240" s="1" t="n">
        <v>46300</v>
      </c>
      <c r="F240" t="inlineStr">
        <is>
          <t>DALARNAS LÄN</t>
        </is>
      </c>
      <c r="G240" t="inlineStr">
        <is>
          <t>SÄTER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46300</v>
      </c>
      <c r="F241" t="inlineStr">
        <is>
          <t>DALARNAS LÄN</t>
        </is>
      </c>
      <c r="G241" t="inlineStr">
        <is>
          <t>SÄTER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46300</v>
      </c>
      <c r="F242" t="inlineStr">
        <is>
          <t>DALARNAS LÄN</t>
        </is>
      </c>
      <c r="G242" t="inlineStr">
        <is>
          <t>SÄTER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45321</v>
      </c>
      <c r="E243" s="1" t="n">
        <v>46300</v>
      </c>
      <c r="F243" t="inlineStr">
        <is>
          <t>DALARNAS LÄN</t>
        </is>
      </c>
      <c r="G243" t="inlineStr">
        <is>
          <t>SÄTER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46300</v>
      </c>
      <c r="F244" t="inlineStr">
        <is>
          <t>DALARNAS LÄN</t>
        </is>
      </c>
      <c r="G244" t="inlineStr">
        <is>
          <t>SÄTER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46300</v>
      </c>
      <c r="F245" t="inlineStr">
        <is>
          <t>DALARNAS LÄN</t>
        </is>
      </c>
      <c r="G245" t="inlineStr">
        <is>
          <t>SÄTER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46300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51320-2024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45604</v>
      </c>
      <c r="E247" s="1" t="n">
        <v>46300</v>
      </c>
      <c r="F247" t="inlineStr">
        <is>
          <t>DALARNAS LÄN</t>
        </is>
      </c>
      <c r="G247" t="inlineStr">
        <is>
          <t>SÄTER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51324-2024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45604</v>
      </c>
      <c r="E248" s="1" t="n">
        <v>46300</v>
      </c>
      <c r="F248" t="inlineStr">
        <is>
          <t>DALARNAS LÄN</t>
        </is>
      </c>
      <c r="G248" t="inlineStr">
        <is>
          <t>SÄTER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46300</v>
      </c>
      <c r="F249" t="inlineStr">
        <is>
          <t>DALARNAS LÄN</t>
        </is>
      </c>
      <c r="G249" t="inlineStr">
        <is>
          <t>SÄTER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46300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46300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46300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46300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46300</v>
      </c>
      <c r="F254" t="inlineStr">
        <is>
          <t>DALARNAS LÄN</t>
        </is>
      </c>
      <c r="G254" t="inlineStr">
        <is>
          <t>SÄTER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46300</v>
      </c>
      <c r="F255" t="inlineStr">
        <is>
          <t>DALARNAS LÄN</t>
        </is>
      </c>
      <c r="G255" t="inlineStr">
        <is>
          <t>SÄTER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46300</v>
      </c>
      <c r="F256" t="inlineStr">
        <is>
          <t>DALARNAS LÄN</t>
        </is>
      </c>
      <c r="G256" t="inlineStr">
        <is>
          <t>SÄTER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51323-2024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45604</v>
      </c>
      <c r="E257" s="1" t="n">
        <v>46300</v>
      </c>
      <c r="F257" t="inlineStr">
        <is>
          <t>DALARNAS LÄN</t>
        </is>
      </c>
      <c r="G257" t="inlineStr">
        <is>
          <t>SÄTER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45527</v>
      </c>
      <c r="E258" s="1" t="n">
        <v>46300</v>
      </c>
      <c r="F258" t="inlineStr">
        <is>
          <t>DALARNAS LÄN</t>
        </is>
      </c>
      <c r="G258" t="inlineStr">
        <is>
          <t>SÄTER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46300</v>
      </c>
      <c r="F259" t="inlineStr">
        <is>
          <t>DALARNAS LÄN</t>
        </is>
      </c>
      <c r="G259" t="inlineStr">
        <is>
          <t>SÄTER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46300</v>
      </c>
      <c r="F260" t="inlineStr">
        <is>
          <t>DALARNAS LÄN</t>
        </is>
      </c>
      <c r="G260" t="inlineStr">
        <is>
          <t>SÄTER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46300</v>
      </c>
      <c r="F261" t="inlineStr">
        <is>
          <t>DALARNAS LÄN</t>
        </is>
      </c>
      <c r="G261" t="inlineStr">
        <is>
          <t>SÄTER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45604</v>
      </c>
      <c r="E262" s="1" t="n">
        <v>46300</v>
      </c>
      <c r="F262" t="inlineStr">
        <is>
          <t>DALARNAS LÄN</t>
        </is>
      </c>
      <c r="G262" t="inlineStr">
        <is>
          <t>SÄTER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46300</v>
      </c>
      <c r="F263" t="inlineStr">
        <is>
          <t>DALARNAS LÄN</t>
        </is>
      </c>
      <c r="G263" t="inlineStr">
        <is>
          <t>SÄTER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45342</v>
      </c>
      <c r="E264" s="1" t="n">
        <v>46300</v>
      </c>
      <c r="F264" t="inlineStr">
        <is>
          <t>DALARNAS LÄN</t>
        </is>
      </c>
      <c r="G264" t="inlineStr">
        <is>
          <t>SÄTER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46300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46300</v>
      </c>
      <c r="F266" t="inlineStr">
        <is>
          <t>DALARNAS LÄN</t>
        </is>
      </c>
      <c r="G266" t="inlineStr">
        <is>
          <t>SÄTER</t>
        </is>
      </c>
      <c r="I266" t="n">
        <v>10.8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46300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46300</v>
      </c>
      <c r="F268" t="inlineStr">
        <is>
          <t>DALARNAS LÄN</t>
        </is>
      </c>
      <c r="G268" t="inlineStr">
        <is>
          <t>SÄTER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46300</v>
      </c>
      <c r="F269" t="inlineStr">
        <is>
          <t>DALARNAS LÄN</t>
        </is>
      </c>
      <c r="G269" t="inlineStr">
        <is>
          <t>SÄTER</t>
        </is>
      </c>
      <c r="H269" t="inlineStr">
        <is>
          <t>Övriga statliga verk och myndigheter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46300</v>
      </c>
      <c r="F270" t="inlineStr">
        <is>
          <t>DALARNAS LÄN</t>
        </is>
      </c>
      <c r="G270" t="inlineStr">
        <is>
          <t>SÄTER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46300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46300</v>
      </c>
      <c r="F272" t="inlineStr">
        <is>
          <t>DALARNAS LÄN</t>
        </is>
      </c>
      <c r="G272" t="inlineStr">
        <is>
          <t>SÄTER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46300</v>
      </c>
      <c r="F273" t="inlineStr">
        <is>
          <t>DALARNAS LÄN</t>
        </is>
      </c>
      <c r="G273" t="inlineStr">
        <is>
          <t>SÄTER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46300</v>
      </c>
      <c r="F274" t="inlineStr">
        <is>
          <t>DALARNAS LÄN</t>
        </is>
      </c>
      <c r="G274" t="inlineStr">
        <is>
          <t>SÄTER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46300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44840</v>
      </c>
      <c r="E276" s="1" t="n">
        <v>46300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46300</v>
      </c>
      <c r="F277" t="inlineStr">
        <is>
          <t>DALARNAS LÄN</t>
        </is>
      </c>
      <c r="G277" t="inlineStr">
        <is>
          <t>SÄTER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45411</v>
      </c>
      <c r="E278" s="1" t="n">
        <v>46300</v>
      </c>
      <c r="F278" t="inlineStr">
        <is>
          <t>DALARNAS LÄN</t>
        </is>
      </c>
      <c r="G278" t="inlineStr">
        <is>
          <t>SÄTER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46300</v>
      </c>
      <c r="F279" t="inlineStr">
        <is>
          <t>DALARNAS LÄN</t>
        </is>
      </c>
      <c r="G279" t="inlineStr">
        <is>
          <t>SÄTER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46300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46300</v>
      </c>
      <c r="F281" t="inlineStr">
        <is>
          <t>DALARNAS LÄN</t>
        </is>
      </c>
      <c r="G281" t="inlineStr">
        <is>
          <t>SÄTER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46300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46300</v>
      </c>
      <c r="F283" t="inlineStr">
        <is>
          <t>DALARNAS LÄN</t>
        </is>
      </c>
      <c r="G283" t="inlineStr">
        <is>
          <t>SÄTER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46300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46300</v>
      </c>
      <c r="F285" t="inlineStr">
        <is>
          <t>DALARNAS LÄN</t>
        </is>
      </c>
      <c r="G285" t="inlineStr">
        <is>
          <t>SÄTER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46300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46300</v>
      </c>
      <c r="F287" t="inlineStr">
        <is>
          <t>DALARNAS LÄN</t>
        </is>
      </c>
      <c r="G287" t="inlineStr">
        <is>
          <t>SÄTER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45427</v>
      </c>
      <c r="E288" s="1" t="n">
        <v>46300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46300</v>
      </c>
      <c r="F289" t="inlineStr">
        <is>
          <t>DALARNAS LÄN</t>
        </is>
      </c>
      <c r="G289" t="inlineStr">
        <is>
          <t>SÄTER</t>
        </is>
      </c>
      <c r="H289" t="inlineStr">
        <is>
          <t>Kommuner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46300</v>
      </c>
      <c r="F290" t="inlineStr">
        <is>
          <t>DALARNAS LÄN</t>
        </is>
      </c>
      <c r="G290" t="inlineStr">
        <is>
          <t>SÄTER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46300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46300</v>
      </c>
      <c r="F292" t="inlineStr">
        <is>
          <t>DALARNAS LÄN</t>
        </is>
      </c>
      <c r="G292" t="inlineStr">
        <is>
          <t>SÄTER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45455</v>
      </c>
      <c r="E293" s="1" t="n">
        <v>46300</v>
      </c>
      <c r="F293" t="inlineStr">
        <is>
          <t>DALARNAS LÄN</t>
        </is>
      </c>
      <c r="G293" t="inlineStr">
        <is>
          <t>SÄTER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46211</v>
      </c>
      <c r="E294" s="1" t="n">
        <v>46300</v>
      </c>
      <c r="F294" t="inlineStr">
        <is>
          <t>DALARNAS LÄN</t>
        </is>
      </c>
      <c r="G294" t="inlineStr">
        <is>
          <t>SÄTER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46300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46261</v>
      </c>
      <c r="E296" s="1" t="n">
        <v>46300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45366</v>
      </c>
      <c r="E297" s="1" t="n">
        <v>46300</v>
      </c>
      <c r="F297" t="inlineStr">
        <is>
          <t>DALARNAS LÄN</t>
        </is>
      </c>
      <c r="G297" t="inlineStr">
        <is>
          <t>SÄTER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46300</v>
      </c>
      <c r="F298" t="inlineStr">
        <is>
          <t>DALARNAS LÄN</t>
        </is>
      </c>
      <c r="G298" t="inlineStr">
        <is>
          <t>SÄTER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44691</v>
      </c>
      <c r="E299" s="1" t="n">
        <v>46300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35564-2026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46262</v>
      </c>
      <c r="E300" s="1" t="n">
        <v>46300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46300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59707-2022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46300</v>
      </c>
      <c r="F302" t="inlineStr">
        <is>
          <t>DALARNAS LÄN</t>
        </is>
      </c>
      <c r="G302" t="inlineStr">
        <is>
          <t>SÄTER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45005</v>
      </c>
      <c r="E303" s="1" t="n">
        <v>46300</v>
      </c>
      <c r="F303" t="inlineStr">
        <is>
          <t>DALARNAS LÄN</t>
        </is>
      </c>
      <c r="G303" t="inlineStr">
        <is>
          <t>SÄTER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69744-2021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44532</v>
      </c>
      <c r="E304" s="1" t="n">
        <v>46300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46300</v>
      </c>
      <c r="F305" t="inlineStr">
        <is>
          <t>DALARNAS LÄN</t>
        </is>
      </c>
      <c r="G305" t="inlineStr">
        <is>
          <t>SÄTER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46300</v>
      </c>
      <c r="F306" t="inlineStr">
        <is>
          <t>DALARNAS LÄN</t>
        </is>
      </c>
      <c r="G306" t="inlineStr">
        <is>
          <t>SÄTER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44595</v>
      </c>
      <c r="E307" s="1" t="n">
        <v>46300</v>
      </c>
      <c r="F307" t="inlineStr">
        <is>
          <t>DALARNAS LÄN</t>
        </is>
      </c>
      <c r="G307" t="inlineStr">
        <is>
          <t>SÄTER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46300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36969-2026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46273</v>
      </c>
      <c r="E309" s="1" t="n">
        <v>46300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46275</v>
      </c>
      <c r="E310" s="1" t="n">
        <v>46300</v>
      </c>
      <c r="F310" t="inlineStr">
        <is>
          <t>DALARNAS LÄN</t>
        </is>
      </c>
      <c r="G310" t="inlineStr">
        <is>
          <t>SÄTER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46234</v>
      </c>
      <c r="E311" s="1" t="n">
        <v>46300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46275</v>
      </c>
      <c r="E312" s="1" t="n">
        <v>46300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46300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46300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46300</v>
      </c>
      <c r="F315" t="inlineStr">
        <is>
          <t>DALARNAS LÄN</t>
        </is>
      </c>
      <c r="G315" t="inlineStr">
        <is>
          <t>SÄTER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46300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46300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46300</v>
      </c>
      <c r="F318" t="inlineStr">
        <is>
          <t>DALARNAS LÄN</t>
        </is>
      </c>
      <c r="G318" t="inlineStr">
        <is>
          <t>SÄTER</t>
        </is>
      </c>
      <c r="H318" t="inlineStr">
        <is>
          <t>Kommuner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44739</v>
      </c>
      <c r="E319" s="1" t="n">
        <v>46300</v>
      </c>
      <c r="F319" t="inlineStr">
        <is>
          <t>DALARNAS LÄN</t>
        </is>
      </c>
      <c r="G319" t="inlineStr">
        <is>
          <t>SÄTER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46300</v>
      </c>
      <c r="F320" t="inlineStr">
        <is>
          <t>DALARNAS LÄN</t>
        </is>
      </c>
      <c r="G320" t="inlineStr">
        <is>
          <t>SÄTER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44809</v>
      </c>
      <c r="E321" s="1" t="n">
        <v>46300</v>
      </c>
      <c r="F321" t="inlineStr">
        <is>
          <t>DALARNAS LÄN</t>
        </is>
      </c>
      <c r="G321" t="inlineStr">
        <is>
          <t>SÄTER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46300</v>
      </c>
      <c r="F322" t="inlineStr">
        <is>
          <t>DALARNAS LÄN</t>
        </is>
      </c>
      <c r="G322" t="inlineStr">
        <is>
          <t>SÄTER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46300</v>
      </c>
      <c r="F323" t="inlineStr">
        <is>
          <t>DALARNAS LÄN</t>
        </is>
      </c>
      <c r="G323" t="inlineStr">
        <is>
          <t>SÄTER</t>
        </is>
      </c>
      <c r="H323" t="inlineStr">
        <is>
          <t>Bergvik skog väst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46300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9.199999999999999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46300</v>
      </c>
      <c r="F325" t="inlineStr">
        <is>
          <t>DALARNAS LÄN</t>
        </is>
      </c>
      <c r="G325" t="inlineStr">
        <is>
          <t>SÄTER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46300</v>
      </c>
      <c r="F326" t="inlineStr">
        <is>
          <t>DALARNAS LÄN</t>
        </is>
      </c>
      <c r="G326" t="inlineStr">
        <is>
          <t>SÄTER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46300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46300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46293</v>
      </c>
      <c r="E329" s="1" t="n">
        <v>46300</v>
      </c>
      <c r="F329" t="inlineStr">
        <is>
          <t>DALARNAS LÄN</t>
        </is>
      </c>
      <c r="G329" t="inlineStr">
        <is>
          <t>SÄTER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46196</v>
      </c>
      <c r="E330" s="1" t="n">
        <v>46300</v>
      </c>
      <c r="F330" t="inlineStr">
        <is>
          <t>DALARNAS LÄN</t>
        </is>
      </c>
      <c r="G330" t="inlineStr">
        <is>
          <t>SÄTER</t>
        </is>
      </c>
      <c r="H330" t="inlineStr">
        <is>
          <t>Sveaskog</t>
        </is>
      </c>
      <c r="I330" t="n">
        <v>19.8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51333-2024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45604</v>
      </c>
      <c r="E331" s="1" t="n">
        <v>46300</v>
      </c>
      <c r="F331" t="inlineStr">
        <is>
          <t>DALARNAS LÄN</t>
        </is>
      </c>
      <c r="G331" t="inlineStr">
        <is>
          <t>SÄTER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45771</v>
      </c>
      <c r="E332" s="1" t="n">
        <v>46300</v>
      </c>
      <c r="F332" t="inlineStr">
        <is>
          <t>DALARNAS LÄN</t>
        </is>
      </c>
      <c r="G332" t="inlineStr">
        <is>
          <t>SÄTER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46293</v>
      </c>
      <c r="E333" s="1" t="n">
        <v>46300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46300</v>
      </c>
      <c r="F334" t="inlineStr">
        <is>
          <t>DALARNAS LÄN</t>
        </is>
      </c>
      <c r="G334" t="inlineStr">
        <is>
          <t>SÄTER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46300</v>
      </c>
      <c r="F335" t="inlineStr">
        <is>
          <t>DALARNAS LÄN</t>
        </is>
      </c>
      <c r="G335" t="inlineStr">
        <is>
          <t>SÄTER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46300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46300</v>
      </c>
      <c r="F337" t="inlineStr">
        <is>
          <t>DALARNAS LÄN</t>
        </is>
      </c>
      <c r="G337" t="inlineStr">
        <is>
          <t>SÄTER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44811</v>
      </c>
      <c r="E338" s="1" t="n">
        <v>46300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46300</v>
      </c>
      <c r="F339" t="inlineStr">
        <is>
          <t>DALARNAS LÄN</t>
        </is>
      </c>
      <c r="G339" t="inlineStr">
        <is>
          <t>SÄTER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45527</v>
      </c>
      <c r="E340" s="1" t="n">
        <v>46300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45442</v>
      </c>
      <c r="E341" s="1" t="n">
        <v>46300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44643</v>
      </c>
      <c r="E342" s="1" t="n">
        <v>46300</v>
      </c>
      <c r="F342" t="inlineStr">
        <is>
          <t>DALARNAS LÄN</t>
        </is>
      </c>
      <c r="G342" t="inlineStr">
        <is>
          <t>SÄTER</t>
        </is>
      </c>
      <c r="I342" t="n">
        <v>8.1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46300</v>
      </c>
      <c r="F343" t="inlineStr">
        <is>
          <t>DALARNAS LÄN</t>
        </is>
      </c>
      <c r="G343" t="inlineStr">
        <is>
          <t>SÄTER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46300</v>
      </c>
      <c r="F344" t="inlineStr">
        <is>
          <t>DALARNAS LÄN</t>
        </is>
      </c>
      <c r="G344" t="inlineStr">
        <is>
          <t>SÄTER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44953</v>
      </c>
      <c r="E345" s="1" t="n">
        <v>46300</v>
      </c>
      <c r="F345" t="inlineStr">
        <is>
          <t>DALARNAS LÄN</t>
        </is>
      </c>
      <c r="G345" t="inlineStr">
        <is>
          <t>SÄTER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46300</v>
      </c>
      <c r="F346" t="inlineStr">
        <is>
          <t>DALARNAS LÄN</t>
        </is>
      </c>
      <c r="G346" t="inlineStr">
        <is>
          <t>SÄTER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46300</v>
      </c>
      <c r="F347" t="inlineStr">
        <is>
          <t>DALARNAS LÄN</t>
        </is>
      </c>
      <c r="G347" t="inlineStr">
        <is>
          <t>SÄTER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42998-2023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45182</v>
      </c>
      <c r="E348" s="1" t="n">
        <v>46300</v>
      </c>
      <c r="F348" t="inlineStr">
        <is>
          <t>DALARNAS LÄN</t>
        </is>
      </c>
      <c r="G348" t="inlineStr">
        <is>
          <t>SÄTER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46300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46300</v>
      </c>
      <c r="F350" t="inlineStr">
        <is>
          <t>DALARNAS LÄN</t>
        </is>
      </c>
      <c r="G350" t="inlineStr">
        <is>
          <t>SÄTER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44788</v>
      </c>
      <c r="E351" s="1" t="n">
        <v>46300</v>
      </c>
      <c r="F351" t="inlineStr">
        <is>
          <t>DALARNAS LÄN</t>
        </is>
      </c>
      <c r="G351" t="inlineStr">
        <is>
          <t>SÄTER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28549-2022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44748</v>
      </c>
      <c r="E352" s="1" t="n">
        <v>46300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45171</v>
      </c>
      <c r="E353" s="1" t="n">
        <v>46300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46300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46300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46300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46300</v>
      </c>
      <c r="F357" t="inlineStr">
        <is>
          <t>DALARNAS LÄN</t>
        </is>
      </c>
      <c r="G357" t="inlineStr">
        <is>
          <t>SÄTER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46300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46300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46300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46300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46300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46300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46300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46300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46300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2026-10-05T01:53:35Z</dcterms:created>
  <dcterms:modified xmlns:dcterms="http://purl.org/dc/terms/" xmlns:xsi="http://www.w3.org/2001/XMLSchema-instance" xsi:type="dcterms:W3CDTF">2026-10-05T01:53:35Z</dcterms:modified>
</cp:coreProperties>
</file>