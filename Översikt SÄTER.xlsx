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46237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46237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46237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46237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46237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46237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46237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46237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46237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46237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46237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46237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46237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46237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46237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46237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46237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46237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46237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46237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46237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46237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46237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46237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46237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46237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46237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46237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21111-2026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46237</v>
      </c>
      <c r="F35" t="inlineStr">
        <is>
          <t>DALARNAS LÄN</t>
        </is>
      </c>
      <c r="G35" t="inlineStr">
        <is>
          <t>SÄTER</t>
        </is>
      </c>
      <c r="I35" t="n">
        <v>4.6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Fjällig taggsvamp s.str.</t>
        </is>
      </c>
      <c r="W35">
        <f>HYPERLINK("https://klasma.github.io/Logging_2082/artfynd/A 21111-2026 artfynd.xlsx", "A 21111-2026")</f>
        <v/>
      </c>
      <c r="X35">
        <f>HYPERLINK("https://klasma.github.io/Logging_2082/kartor/A 21111-2026 karta.png", "A 21111-2026")</f>
        <v/>
      </c>
      <c r="Y35">
        <f>HYPERLINK("https://klasma.github.io/Logging_2082/kartor_geotiff/A 21111-2026 georefererad karta.tif", "A 21111-2026")</f>
        <v/>
      </c>
      <c r="AA35">
        <f>HYPERLINK("https://klasma.github.io/Logging_2082/klagomål/A 21111-2026 FSC-klagomål.docx", "A 21111-2026")</f>
        <v/>
      </c>
      <c r="AB35">
        <f>HYPERLINK("https://klasma.github.io/Logging_2082/klagomålsmail/A 21111-2026 FSC-klagomål mail.docx", "A 21111-2026")</f>
        <v/>
      </c>
      <c r="AC35">
        <f>HYPERLINK("https://klasma.github.io/Logging_2082/tillsyn/A 21111-2026 tillsynsbegäran.docx", "A 21111-2026")</f>
        <v/>
      </c>
      <c r="AD35">
        <f>HYPERLINK("https://klasma.github.io/Logging_2082/tillsynsmail/A 21111-2026 tillsynsbegäran mail.docx", "A 21111-2026")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46237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68448-2021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46237</v>
      </c>
      <c r="F37" t="inlineStr">
        <is>
          <t>DALARNAS LÄN</t>
        </is>
      </c>
      <c r="G37" t="inlineStr">
        <is>
          <t>SÄTER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68448-2021 artfynd.xlsx", "A 68448-2021")</f>
        <v/>
      </c>
      <c r="X37">
        <f>HYPERLINK("https://klasma.github.io/Logging_2082/kartor/A 68448-2021 karta.png", "A 68448-2021")</f>
        <v/>
      </c>
      <c r="Y37">
        <f>HYPERLINK("https://klasma.github.io/Logging_2082/kartor_geotiff/A 68448-2021 georefererad karta.tif", "A 68448-2021")</f>
        <v/>
      </c>
      <c r="Z37">
        <f>HYPERLINK("https://klasma.github.io/Logging_2082/knärot/A 68448-2021 karta knärot.png", "A 68448-2021")</f>
        <v/>
      </c>
      <c r="AA37">
        <f>HYPERLINK("https://klasma.github.io/Logging_2082/klagomål/A 68448-2021 FSC-klagomål.docx", "A 68448-2021")</f>
        <v/>
      </c>
      <c r="AB37">
        <f>HYPERLINK("https://klasma.github.io/Logging_2082/klagomålsmail/A 68448-2021 FSC-klagomål mail.docx", "A 68448-2021")</f>
        <v/>
      </c>
      <c r="AC37">
        <f>HYPERLINK("https://klasma.github.io/Logging_2082/tillsyn/A 68448-2021 tillsynsbegäran.docx", "A 68448-2021")</f>
        <v/>
      </c>
      <c r="AD37">
        <f>HYPERLINK("https://klasma.github.io/Logging_2082/tillsynsmail/A 68448-2021 tillsynsbegäran mail.docx", "A 68448-2021")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46237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46237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46237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46237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46237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46237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46237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46237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46237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46237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46237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46237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46237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46237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46237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46237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46237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46237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46237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46237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46237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46237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46237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46237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46237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46494-2021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46237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46237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46237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46237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44956</v>
      </c>
      <c r="E68" s="1" t="n">
        <v>46237</v>
      </c>
      <c r="F68" t="inlineStr">
        <is>
          <t>DALARNAS LÄN</t>
        </is>
      </c>
      <c r="G68" t="inlineStr">
        <is>
          <t>SÄTER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46237</v>
      </c>
      <c r="F69" t="inlineStr">
        <is>
          <t>DALARNAS LÄN</t>
        </is>
      </c>
      <c r="G69" t="inlineStr">
        <is>
          <t>SÄTER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46237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46237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46237</v>
      </c>
      <c r="F72" t="inlineStr">
        <is>
          <t>DALARNAS LÄN</t>
        </is>
      </c>
      <c r="G72" t="inlineStr">
        <is>
          <t>SÄTER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46237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46237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44500</v>
      </c>
      <c r="E75" s="1" t="n">
        <v>46237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46237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46237</v>
      </c>
      <c r="F77" t="inlineStr">
        <is>
          <t>DALARNAS LÄN</t>
        </is>
      </c>
      <c r="G77" t="inlineStr">
        <is>
          <t>SÄTER</t>
        </is>
      </c>
      <c r="H77" t="inlineStr">
        <is>
          <t>Kommuner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44725</v>
      </c>
      <c r="E78" s="1" t="n">
        <v>46237</v>
      </c>
      <c r="F78" t="inlineStr">
        <is>
          <t>DALARNAS LÄN</t>
        </is>
      </c>
      <c r="G78" t="inlineStr">
        <is>
          <t>SÄTER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46237</v>
      </c>
      <c r="F79" t="inlineStr">
        <is>
          <t>DALARNAS LÄN</t>
        </is>
      </c>
      <c r="G79" t="inlineStr">
        <is>
          <t>SÄTER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46237</v>
      </c>
      <c r="F80" t="inlineStr">
        <is>
          <t>DALARNAS LÄN</t>
        </is>
      </c>
      <c r="G80" t="inlineStr">
        <is>
          <t>SÄTER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45432</v>
      </c>
      <c r="E81" s="1" t="n">
        <v>46237</v>
      </c>
      <c r="F81" t="inlineStr">
        <is>
          <t>DALARNAS LÄN</t>
        </is>
      </c>
      <c r="G81" t="inlineStr">
        <is>
          <t>SÄTER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46237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46237</v>
      </c>
      <c r="F83" t="inlineStr">
        <is>
          <t>DALARNAS LÄN</t>
        </is>
      </c>
      <c r="G83" t="inlineStr">
        <is>
          <t>SÄTER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46237</v>
      </c>
      <c r="F84" t="inlineStr">
        <is>
          <t>DALARNAS LÄN</t>
        </is>
      </c>
      <c r="G84" t="inlineStr">
        <is>
          <t>SÄTER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46237</v>
      </c>
      <c r="F85" t="inlineStr">
        <is>
          <t>DALARNAS LÄN</t>
        </is>
      </c>
      <c r="G85" t="inlineStr">
        <is>
          <t>SÄTER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46237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46237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44953</v>
      </c>
      <c r="E88" s="1" t="n">
        <v>46237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46237</v>
      </c>
      <c r="F89" t="inlineStr">
        <is>
          <t>DALARNAS LÄN</t>
        </is>
      </c>
      <c r="G89" t="inlineStr">
        <is>
          <t>SÄTER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44595</v>
      </c>
      <c r="E90" s="1" t="n">
        <v>46237</v>
      </c>
      <c r="F90" t="inlineStr">
        <is>
          <t>DALARNAS LÄN</t>
        </is>
      </c>
      <c r="G90" t="inlineStr">
        <is>
          <t>SÄTER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46237</v>
      </c>
      <c r="F91" t="inlineStr">
        <is>
          <t>DALARNAS LÄN</t>
        </is>
      </c>
      <c r="G91" t="inlineStr">
        <is>
          <t>SÄTER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46237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44425</v>
      </c>
      <c r="E93" s="1" t="n">
        <v>46237</v>
      </c>
      <c r="F93" t="inlineStr">
        <is>
          <t>DALARNAS LÄN</t>
        </is>
      </c>
      <c r="G93" t="inlineStr">
        <is>
          <t>SÄTER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46237</v>
      </c>
      <c r="F94" t="inlineStr">
        <is>
          <t>DALARNAS LÄN</t>
        </is>
      </c>
      <c r="G94" t="inlineStr">
        <is>
          <t>SÄTER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46237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46559-2021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44445</v>
      </c>
      <c r="E96" s="1" t="n">
        <v>46237</v>
      </c>
      <c r="F96" t="inlineStr">
        <is>
          <t>DALARNAS LÄN</t>
        </is>
      </c>
      <c r="G96" t="inlineStr">
        <is>
          <t>SÄTER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46237</v>
      </c>
      <c r="F97" t="inlineStr">
        <is>
          <t>DALARNAS LÄN</t>
        </is>
      </c>
      <c r="G97" t="inlineStr">
        <is>
          <t>SÄTER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46237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46237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46237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51328-2024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45604</v>
      </c>
      <c r="E101" s="1" t="n">
        <v>46237</v>
      </c>
      <c r="F101" t="inlineStr">
        <is>
          <t>DALARNAS LÄN</t>
        </is>
      </c>
      <c r="G101" t="inlineStr">
        <is>
          <t>SÄTER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51339-2024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45604</v>
      </c>
      <c r="E102" s="1" t="n">
        <v>46237</v>
      </c>
      <c r="F102" t="inlineStr">
        <is>
          <t>DALARNAS LÄN</t>
        </is>
      </c>
      <c r="G102" t="inlineStr">
        <is>
          <t>SÄTER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46237</v>
      </c>
      <c r="F103" t="inlineStr">
        <is>
          <t>DALARNAS LÄN</t>
        </is>
      </c>
      <c r="G103" t="inlineStr">
        <is>
          <t>SÄTER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44869</v>
      </c>
      <c r="E104" s="1" t="n">
        <v>46237</v>
      </c>
      <c r="F104" t="inlineStr">
        <is>
          <t>DALARNAS LÄN</t>
        </is>
      </c>
      <c r="G104" t="inlineStr">
        <is>
          <t>SÄTER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44413</v>
      </c>
      <c r="E105" s="1" t="n">
        <v>46237</v>
      </c>
      <c r="F105" t="inlineStr">
        <is>
          <t>DALARNAS LÄN</t>
        </is>
      </c>
      <c r="G105" t="inlineStr">
        <is>
          <t>SÄTER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37440-2022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46237</v>
      </c>
      <c r="F106" t="inlineStr">
        <is>
          <t>DALARNAS LÄN</t>
        </is>
      </c>
      <c r="G106" t="inlineStr">
        <is>
          <t>SÄTER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46237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46237</v>
      </c>
      <c r="F108" t="inlineStr">
        <is>
          <t>DALARNAS LÄN</t>
        </is>
      </c>
      <c r="G108" t="inlineStr">
        <is>
          <t>SÄTER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46237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46237</v>
      </c>
      <c r="F110" t="inlineStr">
        <is>
          <t>DALARNAS LÄN</t>
        </is>
      </c>
      <c r="G110" t="inlineStr">
        <is>
          <t>SÄTER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46237</v>
      </c>
      <c r="F111" t="inlineStr">
        <is>
          <t>DALARNAS LÄN</t>
        </is>
      </c>
      <c r="G111" t="inlineStr">
        <is>
          <t>SÄTER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46237</v>
      </c>
      <c r="F112" t="inlineStr">
        <is>
          <t>DALARNAS LÄN</t>
        </is>
      </c>
      <c r="G112" t="inlineStr">
        <is>
          <t>SÄTER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45455</v>
      </c>
      <c r="E113" s="1" t="n">
        <v>46237</v>
      </c>
      <c r="F113" t="inlineStr">
        <is>
          <t>DALARNAS LÄN</t>
        </is>
      </c>
      <c r="G113" t="inlineStr">
        <is>
          <t>SÄTER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46237</v>
      </c>
      <c r="F114" t="inlineStr">
        <is>
          <t>DALARNAS LÄN</t>
        </is>
      </c>
      <c r="G114" t="inlineStr">
        <is>
          <t>SÄTER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45281</v>
      </c>
      <c r="E115" s="1" t="n">
        <v>46237</v>
      </c>
      <c r="F115" t="inlineStr">
        <is>
          <t>DALARNAS LÄN</t>
        </is>
      </c>
      <c r="G115" t="inlineStr">
        <is>
          <t>SÄTER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46237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46237</v>
      </c>
      <c r="F117" t="inlineStr">
        <is>
          <t>DALARNAS LÄN</t>
        </is>
      </c>
      <c r="G117" t="inlineStr">
        <is>
          <t>SÄTER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46237</v>
      </c>
      <c r="F118" t="inlineStr">
        <is>
          <t>DALARNAS LÄN</t>
        </is>
      </c>
      <c r="G118" t="inlineStr">
        <is>
          <t>SÄTER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45604</v>
      </c>
      <c r="E119" s="1" t="n">
        <v>46237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46237</v>
      </c>
      <c r="F120" t="inlineStr">
        <is>
          <t>DALARNAS LÄN</t>
        </is>
      </c>
      <c r="G120" t="inlineStr">
        <is>
          <t>SÄTER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46237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45561</v>
      </c>
      <c r="E122" s="1" t="n">
        <v>46237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46237</v>
      </c>
      <c r="F123" t="inlineStr">
        <is>
          <t>DALARNAS LÄN</t>
        </is>
      </c>
      <c r="G123" t="inlineStr">
        <is>
          <t>SÄTER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46014</v>
      </c>
      <c r="E124" s="1" t="n">
        <v>46237</v>
      </c>
      <c r="F124" t="inlineStr">
        <is>
          <t>DALARNAS LÄN</t>
        </is>
      </c>
      <c r="G124" t="inlineStr">
        <is>
          <t>SÄTER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46237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46237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46237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45574</v>
      </c>
      <c r="E128" s="1" t="n">
        <v>46237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45567</v>
      </c>
      <c r="E129" s="1" t="n">
        <v>46237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46237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46237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46237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46237</v>
      </c>
      <c r="F133" t="inlineStr">
        <is>
          <t>DALARNAS LÄN</t>
        </is>
      </c>
      <c r="G133" t="inlineStr">
        <is>
          <t>SÄTER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46237</v>
      </c>
      <c r="F134" t="inlineStr">
        <is>
          <t>DALARNAS LÄN</t>
        </is>
      </c>
      <c r="G134" t="inlineStr">
        <is>
          <t>SÄTER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45398</v>
      </c>
      <c r="E135" s="1" t="n">
        <v>46237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46237</v>
      </c>
      <c r="F136" t="inlineStr">
        <is>
          <t>DALARNAS LÄN</t>
        </is>
      </c>
      <c r="G136" t="inlineStr">
        <is>
          <t>SÄTER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46237</v>
      </c>
      <c r="F137" t="inlineStr">
        <is>
          <t>DALARNAS LÄN</t>
        </is>
      </c>
      <c r="G137" t="inlineStr">
        <is>
          <t>SÄTER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42998-2023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45182</v>
      </c>
      <c r="E138" s="1" t="n">
        <v>46237</v>
      </c>
      <c r="F138" t="inlineStr">
        <is>
          <t>DALARNAS LÄN</t>
        </is>
      </c>
      <c r="G138" t="inlineStr">
        <is>
          <t>SÄTER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46237</v>
      </c>
      <c r="F139" t="inlineStr">
        <is>
          <t>DALARNAS LÄN</t>
        </is>
      </c>
      <c r="G139" t="inlineStr">
        <is>
          <t>SÄTER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51320-2024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45604</v>
      </c>
      <c r="E140" s="1" t="n">
        <v>46237</v>
      </c>
      <c r="F140" t="inlineStr">
        <is>
          <t>DALARNAS LÄN</t>
        </is>
      </c>
      <c r="G140" t="inlineStr">
        <is>
          <t>SÄTER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51324-2024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45604</v>
      </c>
      <c r="E141" s="1" t="n">
        <v>46237</v>
      </c>
      <c r="F141" t="inlineStr">
        <is>
          <t>DALARNAS LÄN</t>
        </is>
      </c>
      <c r="G141" t="inlineStr">
        <is>
          <t>SÄTER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46237</v>
      </c>
      <c r="F142" t="inlineStr">
        <is>
          <t>DALARNAS LÄN</t>
        </is>
      </c>
      <c r="G142" t="inlineStr">
        <is>
          <t>SÄTER</t>
        </is>
      </c>
      <c r="H142" t="inlineStr">
        <is>
          <t>Kommuner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46237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46237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46237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41.4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46237</v>
      </c>
      <c r="F146" t="inlineStr">
        <is>
          <t>DALARNAS LÄN</t>
        </is>
      </c>
      <c r="G146" t="inlineStr">
        <is>
          <t>SÄTER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46237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46237</v>
      </c>
      <c r="F148" t="inlineStr">
        <is>
          <t>DALARNAS LÄN</t>
        </is>
      </c>
      <c r="G148" t="inlineStr">
        <is>
          <t>SÄTER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46237</v>
      </c>
      <c r="F149" t="inlineStr">
        <is>
          <t>DALARNAS LÄN</t>
        </is>
      </c>
      <c r="G149" t="inlineStr">
        <is>
          <t>SÄTER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46237</v>
      </c>
      <c r="F150" t="inlineStr">
        <is>
          <t>DALARNAS LÄN</t>
        </is>
      </c>
      <c r="G150" t="inlineStr">
        <is>
          <t>SÄTER</t>
        </is>
      </c>
      <c r="H150" t="inlineStr">
        <is>
          <t>Kommuner</t>
        </is>
      </c>
      <c r="I150" t="n">
        <v>42.6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46071</v>
      </c>
      <c r="E151" s="1" t="n">
        <v>46237</v>
      </c>
      <c r="F151" t="inlineStr">
        <is>
          <t>DALARNAS LÄN</t>
        </is>
      </c>
      <c r="G151" t="inlineStr">
        <is>
          <t>SÄTER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46237</v>
      </c>
      <c r="F152" t="inlineStr">
        <is>
          <t>DALARNAS LÄN</t>
        </is>
      </c>
      <c r="G152" t="inlineStr">
        <is>
          <t>SÄTER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46237</v>
      </c>
      <c r="F153" t="inlineStr">
        <is>
          <t>DALARNAS LÄN</t>
        </is>
      </c>
      <c r="G153" t="inlineStr">
        <is>
          <t>SÄTER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46237</v>
      </c>
      <c r="F154" t="inlineStr">
        <is>
          <t>DALARNAS LÄN</t>
        </is>
      </c>
      <c r="G154" t="inlineStr">
        <is>
          <t>SÄTER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44643</v>
      </c>
      <c r="E155" s="1" t="n">
        <v>46237</v>
      </c>
      <c r="F155" t="inlineStr">
        <is>
          <t>DALARNAS LÄN</t>
        </is>
      </c>
      <c r="G155" t="inlineStr">
        <is>
          <t>SÄTER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46237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46237</v>
      </c>
      <c r="F157" t="inlineStr">
        <is>
          <t>DALARNAS LÄN</t>
        </is>
      </c>
      <c r="G157" t="inlineStr">
        <is>
          <t>SÄTER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46237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46237</v>
      </c>
      <c r="F159" t="inlineStr">
        <is>
          <t>DALARNAS LÄN</t>
        </is>
      </c>
      <c r="G159" t="inlineStr">
        <is>
          <t>SÄTER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45636</v>
      </c>
      <c r="E160" s="1" t="n">
        <v>46237</v>
      </c>
      <c r="F160" t="inlineStr">
        <is>
          <t>DALARNAS LÄN</t>
        </is>
      </c>
      <c r="G160" t="inlineStr">
        <is>
          <t>SÄTER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46237</v>
      </c>
      <c r="F161" t="inlineStr">
        <is>
          <t>DALARNAS LÄN</t>
        </is>
      </c>
      <c r="G161" t="inlineStr">
        <is>
          <t>SÄTER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46237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46237</v>
      </c>
      <c r="F163" t="inlineStr">
        <is>
          <t>DALARNAS LÄN</t>
        </is>
      </c>
      <c r="G163" t="inlineStr">
        <is>
          <t>SÄTER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45604</v>
      </c>
      <c r="E164" s="1" t="n">
        <v>46237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46237</v>
      </c>
      <c r="F165" t="inlineStr">
        <is>
          <t>DALARNAS LÄN</t>
        </is>
      </c>
      <c r="G165" t="inlineStr">
        <is>
          <t>SÄTER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46237</v>
      </c>
      <c r="F166" t="inlineStr">
        <is>
          <t>DALARNAS LÄN</t>
        </is>
      </c>
      <c r="G166" t="inlineStr">
        <is>
          <t>SÄTER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46237</v>
      </c>
      <c r="F167" t="inlineStr">
        <is>
          <t>DALARNAS LÄN</t>
        </is>
      </c>
      <c r="G167" t="inlineStr">
        <is>
          <t>SÄTER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46237</v>
      </c>
      <c r="F168" t="inlineStr">
        <is>
          <t>DALARNAS LÄN</t>
        </is>
      </c>
      <c r="G168" t="inlineStr">
        <is>
          <t>SÄTER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46237</v>
      </c>
      <c r="F169" t="inlineStr">
        <is>
          <t>DALARNAS LÄN</t>
        </is>
      </c>
      <c r="G169" t="inlineStr">
        <is>
          <t>SÄTER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46237</v>
      </c>
      <c r="F170" t="inlineStr">
        <is>
          <t>DALARNAS LÄN</t>
        </is>
      </c>
      <c r="G170" t="inlineStr">
        <is>
          <t>SÄTER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46237</v>
      </c>
      <c r="F171" t="inlineStr">
        <is>
          <t>DALARNAS LÄN</t>
        </is>
      </c>
      <c r="G171" t="inlineStr">
        <is>
          <t>SÄTER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46237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46237</v>
      </c>
      <c r="F173" t="inlineStr">
        <is>
          <t>DALARNAS LÄN</t>
        </is>
      </c>
      <c r="G173" t="inlineStr">
        <is>
          <t>SÄTER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46237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46237</v>
      </c>
      <c r="F175" t="inlineStr">
        <is>
          <t>DALARNAS LÄN</t>
        </is>
      </c>
      <c r="G175" t="inlineStr">
        <is>
          <t>SÄTER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46237</v>
      </c>
      <c r="F176" t="inlineStr">
        <is>
          <t>DALARNAS LÄN</t>
        </is>
      </c>
      <c r="G176" t="inlineStr">
        <is>
          <t>SÄTER</t>
        </is>
      </c>
      <c r="H176" t="inlineStr">
        <is>
          <t>Sveaskog</t>
        </is>
      </c>
      <c r="I176" t="n">
        <v>19.8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46237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46237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46237</v>
      </c>
      <c r="F179" t="inlineStr">
        <is>
          <t>DALARNAS LÄN</t>
        </is>
      </c>
      <c r="G179" t="inlineStr">
        <is>
          <t>SÄTER</t>
        </is>
      </c>
      <c r="I179" t="n">
        <v>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46237</v>
      </c>
      <c r="F180" t="inlineStr">
        <is>
          <t>DALARNAS LÄN</t>
        </is>
      </c>
      <c r="G180" t="inlineStr">
        <is>
          <t>SÄTER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44748</v>
      </c>
      <c r="E181" s="1" t="n">
        <v>46237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46237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46237</v>
      </c>
      <c r="F183" t="inlineStr">
        <is>
          <t>DALARNAS LÄN</t>
        </is>
      </c>
      <c r="G183" t="inlineStr">
        <is>
          <t>SÄTER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53559-2025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45960</v>
      </c>
      <c r="E184" s="1" t="n">
        <v>46237</v>
      </c>
      <c r="F184" t="inlineStr">
        <is>
          <t>DALARNAS LÄN</t>
        </is>
      </c>
      <c r="G184" t="inlineStr">
        <is>
          <t>SÄTER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46237</v>
      </c>
      <c r="F185" t="inlineStr">
        <is>
          <t>DALARNAS LÄN</t>
        </is>
      </c>
      <c r="G185" t="inlineStr">
        <is>
          <t>SÄTER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46237</v>
      </c>
      <c r="F186" t="inlineStr">
        <is>
          <t>DALARNAS LÄN</t>
        </is>
      </c>
      <c r="G186" t="inlineStr">
        <is>
          <t>SÄTER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46237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46237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46237</v>
      </c>
      <c r="F189" t="inlineStr">
        <is>
          <t>DALARNAS LÄN</t>
        </is>
      </c>
      <c r="G189" t="inlineStr">
        <is>
          <t>SÄTER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  <c r="Z189">
        <f>HYPERLINK("https://klasma.github.io/Logging_2082/knärot/A 57416-2022 karta knärot.png", "A 57416-2022")</f>
        <v/>
      </c>
      <c r="AA189">
        <f>HYPERLINK("https://klasma.github.io/Logging_2082/klagomål/A 57416-2022 FSC-klagomål.docx", "A 57416-2022")</f>
        <v/>
      </c>
      <c r="AB189">
        <f>HYPERLINK("https://klasma.github.io/Logging_2082/klagomålsmail/A 57416-2022 FSC-klagomål mail.docx", "A 57416-2022")</f>
        <v/>
      </c>
      <c r="AC189">
        <f>HYPERLINK("https://klasma.github.io/Logging_2082/tillsyn/A 57416-2022 tillsynsbegäran.docx", "A 57416-2022")</f>
        <v/>
      </c>
      <c r="AD189">
        <f>HYPERLINK("https://klasma.github.io/Logging_2082/tillsynsmail/A 57416-2022 tillsynsbegäran mail.docx", "A 57416-2022")</f>
        <v/>
      </c>
    </row>
    <row r="190" ht="15" customHeight="1">
      <c r="A190" t="inlineStr">
        <is>
          <t>A 27910-2023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46237</v>
      </c>
      <c r="F190" t="inlineStr">
        <is>
          <t>DALARNAS LÄN</t>
        </is>
      </c>
      <c r="G190" t="inlineStr">
        <is>
          <t>SÄTER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46237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46237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44788</v>
      </c>
      <c r="E193" s="1" t="n">
        <v>46237</v>
      </c>
      <c r="F193" t="inlineStr">
        <is>
          <t>DALARNAS LÄN</t>
        </is>
      </c>
      <c r="G193" t="inlineStr">
        <is>
          <t>SÄTER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46237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46237</v>
      </c>
      <c r="F195" t="inlineStr">
        <is>
          <t>DALARNAS LÄN</t>
        </is>
      </c>
      <c r="G195" t="inlineStr">
        <is>
          <t>SÄTER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46237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46237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46237</v>
      </c>
      <c r="F198" t="inlineStr">
        <is>
          <t>DALARNAS LÄN</t>
        </is>
      </c>
      <c r="G198" t="inlineStr">
        <is>
          <t>SÄTER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46164</v>
      </c>
      <c r="E199" s="1" t="n">
        <v>46237</v>
      </c>
      <c r="F199" t="inlineStr">
        <is>
          <t>DALARNAS LÄN</t>
        </is>
      </c>
      <c r="G199" t="inlineStr">
        <is>
          <t>SÄTER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46237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46237</v>
      </c>
      <c r="F201" t="inlineStr">
        <is>
          <t>DALARNAS LÄN</t>
        </is>
      </c>
      <c r="G201" t="inlineStr">
        <is>
          <t>SÄTER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45527</v>
      </c>
      <c r="E202" s="1" t="n">
        <v>46237</v>
      </c>
      <c r="F202" t="inlineStr">
        <is>
          <t>DALARNAS LÄN</t>
        </is>
      </c>
      <c r="G202" t="inlineStr">
        <is>
          <t>SÄTER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46237</v>
      </c>
      <c r="F203" t="inlineStr">
        <is>
          <t>DALARNAS LÄN</t>
        </is>
      </c>
      <c r="G203" t="inlineStr">
        <is>
          <t>SÄTER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46237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46237</v>
      </c>
      <c r="F205" t="inlineStr">
        <is>
          <t>DALARNAS LÄN</t>
        </is>
      </c>
      <c r="G205" t="inlineStr">
        <is>
          <t>SÄTER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44439</v>
      </c>
      <c r="E206" s="1" t="n">
        <v>46237</v>
      </c>
      <c r="F206" t="inlineStr">
        <is>
          <t>DALARNAS LÄN</t>
        </is>
      </c>
      <c r="G206" t="inlineStr">
        <is>
          <t>SÄTER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46237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46237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46237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46237</v>
      </c>
      <c r="F210" t="inlineStr">
        <is>
          <t>DALARNAS LÄN</t>
        </is>
      </c>
      <c r="G210" t="inlineStr">
        <is>
          <t>SÄTER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46204</v>
      </c>
      <c r="E211" s="1" t="n">
        <v>46237</v>
      </c>
      <c r="F211" t="inlineStr">
        <is>
          <t>DALARNAS LÄN</t>
        </is>
      </c>
      <c r="G211" t="inlineStr">
        <is>
          <t>SÄTER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46237</v>
      </c>
      <c r="F212" t="inlineStr">
        <is>
          <t>DALARNAS LÄN</t>
        </is>
      </c>
      <c r="G212" t="inlineStr">
        <is>
          <t>SÄTER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46237</v>
      </c>
      <c r="F213" t="inlineStr">
        <is>
          <t>DALARNAS LÄN</t>
        </is>
      </c>
      <c r="G213" t="inlineStr">
        <is>
          <t>SÄTER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46237</v>
      </c>
      <c r="F214" t="inlineStr">
        <is>
          <t>DALARNAS LÄN</t>
        </is>
      </c>
      <c r="G214" t="inlineStr">
        <is>
          <t>SÄTER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46237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45599</v>
      </c>
      <c r="E216" s="1" t="n">
        <v>46237</v>
      </c>
      <c r="F216" t="inlineStr">
        <is>
          <t>DALARNAS LÄN</t>
        </is>
      </c>
      <c r="G216" t="inlineStr">
        <is>
          <t>SÄTER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46211</v>
      </c>
      <c r="E217" s="1" t="n">
        <v>46237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46237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46237</v>
      </c>
      <c r="F219" t="inlineStr">
        <is>
          <t>DALARNAS LÄN</t>
        </is>
      </c>
      <c r="G219" t="inlineStr">
        <is>
          <t>SÄTER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46237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44425</v>
      </c>
      <c r="E221" s="1" t="n">
        <v>46237</v>
      </c>
      <c r="F221" t="inlineStr">
        <is>
          <t>DALARNAS LÄN</t>
        </is>
      </c>
      <c r="G221" t="inlineStr">
        <is>
          <t>SÄTER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45628</v>
      </c>
      <c r="E222" s="1" t="n">
        <v>46237</v>
      </c>
      <c r="F222" t="inlineStr">
        <is>
          <t>DALARNAS LÄN</t>
        </is>
      </c>
      <c r="G222" t="inlineStr">
        <is>
          <t>SÄTER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46237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46237</v>
      </c>
      <c r="F224" t="inlineStr">
        <is>
          <t>DALARNAS LÄN</t>
        </is>
      </c>
      <c r="G224" t="inlineStr">
        <is>
          <t>SÄTER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46237</v>
      </c>
      <c r="F225" t="inlineStr">
        <is>
          <t>DALARNAS LÄN</t>
        </is>
      </c>
      <c r="G225" t="inlineStr">
        <is>
          <t>SÄTER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44982</v>
      </c>
      <c r="E226" s="1" t="n">
        <v>46237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46237</v>
      </c>
      <c r="F227" t="inlineStr">
        <is>
          <t>DALARNAS LÄN</t>
        </is>
      </c>
      <c r="G227" t="inlineStr">
        <is>
          <t>SÄTER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46237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39487-2022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46237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46237</v>
      </c>
      <c r="F230" t="inlineStr">
        <is>
          <t>DALARNAS LÄN</t>
        </is>
      </c>
      <c r="G230" t="inlineStr">
        <is>
          <t>SÄTER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46237</v>
      </c>
      <c r="F231" t="inlineStr">
        <is>
          <t>DALARNAS LÄN</t>
        </is>
      </c>
      <c r="G231" t="inlineStr">
        <is>
          <t>SÄTER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45140</v>
      </c>
      <c r="E232" s="1" t="n">
        <v>46237</v>
      </c>
      <c r="F232" t="inlineStr">
        <is>
          <t>DALARNAS LÄN</t>
        </is>
      </c>
      <c r="G232" t="inlineStr">
        <is>
          <t>SÄTER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46237</v>
      </c>
      <c r="F233" t="inlineStr">
        <is>
          <t>DALARNAS LÄN</t>
        </is>
      </c>
      <c r="G233" t="inlineStr">
        <is>
          <t>SÄTER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52220-2021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44462</v>
      </c>
      <c r="E234" s="1" t="n">
        <v>46237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46237</v>
      </c>
      <c r="F235" t="inlineStr">
        <is>
          <t>DALARNAS LÄN</t>
        </is>
      </c>
      <c r="G235" t="inlineStr">
        <is>
          <t>SÄTER</t>
        </is>
      </c>
      <c r="I235" t="n">
        <v>12.1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46237</v>
      </c>
      <c r="F236" t="inlineStr">
        <is>
          <t>DALARNAS LÄN</t>
        </is>
      </c>
      <c r="G236" t="inlineStr">
        <is>
          <t>SÄTER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46237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46030</v>
      </c>
      <c r="E238" s="1" t="n">
        <v>46237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46237</v>
      </c>
      <c r="F239" t="inlineStr">
        <is>
          <t>DALARNAS LÄN</t>
        </is>
      </c>
      <c r="G239" t="inlineStr">
        <is>
          <t>SÄTER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46237</v>
      </c>
      <c r="F240" t="inlineStr">
        <is>
          <t>DALARNAS LÄN</t>
        </is>
      </c>
      <c r="G240" t="inlineStr">
        <is>
          <t>SÄTER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46237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46237</v>
      </c>
      <c r="F242" t="inlineStr">
        <is>
          <t>DALARNAS LÄN</t>
        </is>
      </c>
      <c r="G242" t="inlineStr">
        <is>
          <t>SÄTER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32892-2022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44784</v>
      </c>
      <c r="E243" s="1" t="n">
        <v>46237</v>
      </c>
      <c r="F243" t="inlineStr">
        <is>
          <t>DALARNAS LÄN</t>
        </is>
      </c>
      <c r="G243" t="inlineStr">
        <is>
          <t>SÄTER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46237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46237</v>
      </c>
      <c r="F245" t="inlineStr">
        <is>
          <t>DALARNAS LÄN</t>
        </is>
      </c>
      <c r="G245" t="inlineStr">
        <is>
          <t>SÄTER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46237</v>
      </c>
      <c r="F246" t="inlineStr">
        <is>
          <t>DALARNAS LÄN</t>
        </is>
      </c>
      <c r="G246" t="inlineStr">
        <is>
          <t>SÄTER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46237</v>
      </c>
      <c r="F247" t="inlineStr">
        <is>
          <t>DALARNAS LÄN</t>
        </is>
      </c>
      <c r="G247" t="inlineStr">
        <is>
          <t>SÄTER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46237</v>
      </c>
      <c r="F248" t="inlineStr">
        <is>
          <t>DALARNAS LÄN</t>
        </is>
      </c>
      <c r="G248" t="inlineStr">
        <is>
          <t>SÄTER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46237</v>
      </c>
      <c r="F249" t="inlineStr">
        <is>
          <t>DALARNAS LÄN</t>
        </is>
      </c>
      <c r="G249" t="inlineStr">
        <is>
          <t>SÄTER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46237</v>
      </c>
      <c r="F250" t="inlineStr">
        <is>
          <t>DALARNAS LÄN</t>
        </is>
      </c>
      <c r="G250" t="inlineStr">
        <is>
          <t>SÄTER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46237</v>
      </c>
      <c r="F251" t="inlineStr">
        <is>
          <t>DALARNAS LÄN</t>
        </is>
      </c>
      <c r="G251" t="inlineStr">
        <is>
          <t>SÄTER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44572</v>
      </c>
      <c r="E252" s="1" t="n">
        <v>46237</v>
      </c>
      <c r="F252" t="inlineStr">
        <is>
          <t>DALARNAS LÄN</t>
        </is>
      </c>
      <c r="G252" t="inlineStr">
        <is>
          <t>SÄTER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46237</v>
      </c>
      <c r="F253" t="inlineStr">
        <is>
          <t>DALARNAS LÄN</t>
        </is>
      </c>
      <c r="G253" t="inlineStr">
        <is>
          <t>SÄTER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46237</v>
      </c>
      <c r="F254" t="inlineStr">
        <is>
          <t>DALARNAS LÄN</t>
        </is>
      </c>
      <c r="G254" t="inlineStr">
        <is>
          <t>SÄTER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46237</v>
      </c>
      <c r="F255" t="inlineStr">
        <is>
          <t>DALARNAS LÄN</t>
        </is>
      </c>
      <c r="G255" t="inlineStr">
        <is>
          <t>SÄTER</t>
        </is>
      </c>
      <c r="H255" t="inlineStr">
        <is>
          <t>Övriga statliga verk och myndigheter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46237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46237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46237</v>
      </c>
      <c r="F258" t="inlineStr">
        <is>
          <t>DALARNAS LÄN</t>
        </is>
      </c>
      <c r="G258" t="inlineStr">
        <is>
          <t>SÄTER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46237</v>
      </c>
      <c r="F259" t="inlineStr">
        <is>
          <t>DALARNAS LÄN</t>
        </is>
      </c>
      <c r="G259" t="inlineStr">
        <is>
          <t>SÄTER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46237</v>
      </c>
      <c r="F260" t="inlineStr">
        <is>
          <t>DALARNAS LÄN</t>
        </is>
      </c>
      <c r="G260" t="inlineStr">
        <is>
          <t>SÄTER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46237</v>
      </c>
      <c r="F261" t="inlineStr">
        <is>
          <t>DALARNAS LÄN</t>
        </is>
      </c>
      <c r="G261" t="inlineStr">
        <is>
          <t>SÄTER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46237</v>
      </c>
      <c r="F262" t="inlineStr">
        <is>
          <t>DALARNAS LÄN</t>
        </is>
      </c>
      <c r="G262" t="inlineStr">
        <is>
          <t>SÄTER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46237</v>
      </c>
      <c r="F263" t="inlineStr">
        <is>
          <t>DALARNAS LÄN</t>
        </is>
      </c>
      <c r="G263" t="inlineStr">
        <is>
          <t>SÄTER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46237</v>
      </c>
      <c r="F264" t="inlineStr">
        <is>
          <t>DALARNAS LÄN</t>
        </is>
      </c>
      <c r="G264" t="inlineStr">
        <is>
          <t>SÄTER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46237</v>
      </c>
      <c r="F265" t="inlineStr">
        <is>
          <t>DALARNAS LÄN</t>
        </is>
      </c>
      <c r="G265" t="inlineStr">
        <is>
          <t>SÄTER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44630</v>
      </c>
      <c r="E266" s="1" t="n">
        <v>46237</v>
      </c>
      <c r="F266" t="inlineStr">
        <is>
          <t>DALARNAS LÄN</t>
        </is>
      </c>
      <c r="G266" t="inlineStr">
        <is>
          <t>SÄTER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46237</v>
      </c>
      <c r="F267" t="inlineStr">
        <is>
          <t>DALARNAS LÄN</t>
        </is>
      </c>
      <c r="G267" t="inlineStr">
        <is>
          <t>SÄTER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46237</v>
      </c>
      <c r="F268" t="inlineStr">
        <is>
          <t>DALARNAS LÄN</t>
        </is>
      </c>
      <c r="G268" t="inlineStr">
        <is>
          <t>SÄTER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46065</v>
      </c>
      <c r="E269" s="1" t="n">
        <v>46237</v>
      </c>
      <c r="F269" t="inlineStr">
        <is>
          <t>DALARNAS LÄN</t>
        </is>
      </c>
      <c r="G269" t="inlineStr">
        <is>
          <t>SÄTER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46237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46237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45526</v>
      </c>
      <c r="E272" s="1" t="n">
        <v>46237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46237</v>
      </c>
      <c r="F273" t="inlineStr">
        <is>
          <t>DALARNAS LÄN</t>
        </is>
      </c>
      <c r="G273" t="inlineStr">
        <is>
          <t>SÄTER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44811</v>
      </c>
      <c r="E274" s="1" t="n">
        <v>46237</v>
      </c>
      <c r="F274" t="inlineStr">
        <is>
          <t>DALARNAS LÄN</t>
        </is>
      </c>
      <c r="G274" t="inlineStr">
        <is>
          <t>SÄTER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46237</v>
      </c>
      <c r="F275" t="inlineStr">
        <is>
          <t>DALARNAS LÄN</t>
        </is>
      </c>
      <c r="G275" t="inlineStr">
        <is>
          <t>SÄTER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46237</v>
      </c>
      <c r="F276" t="inlineStr">
        <is>
          <t>DALARNAS LÄN</t>
        </is>
      </c>
      <c r="G276" t="inlineStr">
        <is>
          <t>SÄTER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46237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46237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46237</v>
      </c>
      <c r="F279" t="inlineStr">
        <is>
          <t>DALARNAS LÄN</t>
        </is>
      </c>
      <c r="G279" t="inlineStr">
        <is>
          <t>SÄTER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46237</v>
      </c>
      <c r="F280" t="inlineStr">
        <is>
          <t>DALARNAS LÄN</t>
        </is>
      </c>
      <c r="G280" t="inlineStr">
        <is>
          <t>SÄTER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46234</v>
      </c>
      <c r="E281" s="1" t="n">
        <v>46237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46237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46237</v>
      </c>
      <c r="F283" t="inlineStr">
        <is>
          <t>DALARNAS LÄN</t>
        </is>
      </c>
      <c r="G283" t="inlineStr">
        <is>
          <t>SÄTER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45190</v>
      </c>
      <c r="E284" s="1" t="n">
        <v>46237</v>
      </c>
      <c r="F284" t="inlineStr">
        <is>
          <t>DALARNAS LÄN</t>
        </is>
      </c>
      <c r="G284" t="inlineStr">
        <is>
          <t>SÄTER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46237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46237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45063</v>
      </c>
      <c r="E287" s="1" t="n">
        <v>46237</v>
      </c>
      <c r="F287" t="inlineStr">
        <is>
          <t>DALARNAS LÄN</t>
        </is>
      </c>
      <c r="G287" t="inlineStr">
        <is>
          <t>SÄTER</t>
        </is>
      </c>
      <c r="H287" t="inlineStr">
        <is>
          <t>Kommuner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46237</v>
      </c>
      <c r="F288" t="inlineStr">
        <is>
          <t>DALARNAS LÄN</t>
        </is>
      </c>
      <c r="G288" t="inlineStr">
        <is>
          <t>SÄTER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46087</v>
      </c>
      <c r="E289" s="1" t="n">
        <v>46237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44691</v>
      </c>
      <c r="E290" s="1" t="n">
        <v>46237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46237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46237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46237</v>
      </c>
      <c r="F293" t="inlineStr">
        <is>
          <t>DALARNAS LÄN</t>
        </is>
      </c>
      <c r="G293" t="inlineStr">
        <is>
          <t>SÄTER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46237</v>
      </c>
      <c r="F294" t="inlineStr">
        <is>
          <t>DALARNAS LÄN</t>
        </is>
      </c>
      <c r="G294" t="inlineStr">
        <is>
          <t>SÄTER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42225-2022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46237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46237</v>
      </c>
      <c r="F296" t="inlineStr">
        <is>
          <t>DALARNAS LÄN</t>
        </is>
      </c>
      <c r="G296" t="inlineStr">
        <is>
          <t>SÄTER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46237</v>
      </c>
      <c r="F297" t="inlineStr">
        <is>
          <t>DALARNAS LÄN</t>
        </is>
      </c>
      <c r="G297" t="inlineStr">
        <is>
          <t>SÄTER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46237</v>
      </c>
      <c r="F298" t="inlineStr">
        <is>
          <t>DALARNAS LÄN</t>
        </is>
      </c>
      <c r="G298" t="inlineStr">
        <is>
          <t>SÄTER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46237</v>
      </c>
      <c r="F299" t="inlineStr">
        <is>
          <t>DALARNAS LÄN</t>
        </is>
      </c>
      <c r="G299" t="inlineStr">
        <is>
          <t>SÄTER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46098</v>
      </c>
      <c r="E300" s="1" t="n">
        <v>46237</v>
      </c>
      <c r="F300" t="inlineStr">
        <is>
          <t>DALARNAS LÄN</t>
        </is>
      </c>
      <c r="G300" t="inlineStr">
        <is>
          <t>SÄTER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46237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46237</v>
      </c>
      <c r="F302" t="inlineStr">
        <is>
          <t>DALARNAS LÄN</t>
        </is>
      </c>
      <c r="G302" t="inlineStr">
        <is>
          <t>SÄTER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45240</v>
      </c>
      <c r="E303" s="1" t="n">
        <v>46237</v>
      </c>
      <c r="F303" t="inlineStr">
        <is>
          <t>DALARNAS LÄN</t>
        </is>
      </c>
      <c r="G303" t="inlineStr">
        <is>
          <t>SÄTER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51333-2024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45604</v>
      </c>
      <c r="E304" s="1" t="n">
        <v>46237</v>
      </c>
      <c r="F304" t="inlineStr">
        <is>
          <t>DALARNAS LÄN</t>
        </is>
      </c>
      <c r="G304" t="inlineStr">
        <is>
          <t>SÄTER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46237</v>
      </c>
      <c r="F305" t="inlineStr">
        <is>
          <t>DALARNAS LÄN</t>
        </is>
      </c>
      <c r="G305" t="inlineStr">
        <is>
          <t>SÄTER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46237</v>
      </c>
      <c r="F306" t="inlineStr">
        <is>
          <t>DALARNAS LÄN</t>
        </is>
      </c>
      <c r="G306" t="inlineStr">
        <is>
          <t>SÄTER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46237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46237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46237</v>
      </c>
      <c r="F309" t="inlineStr">
        <is>
          <t>DALARNAS LÄN</t>
        </is>
      </c>
      <c r="G309" t="inlineStr">
        <is>
          <t>SÄTER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HYPERLINK("https://klasma.github.io/Logging_2082/knärot/A 498-2025 karta knärot.png", "A 498-2025")</f>
        <v/>
      </c>
      <c r="AA309">
        <f>HYPERLINK("https://klasma.github.io/Logging_2082/klagomål/A 498-2025 FSC-klagomål.docx", "A 498-2025")</f>
        <v/>
      </c>
      <c r="AB309">
        <f>HYPERLINK("https://klasma.github.io/Logging_2082/klagomålsmail/A 498-2025 FSC-klagomål mail.docx", "A 498-2025")</f>
        <v/>
      </c>
      <c r="AC309">
        <f>HYPERLINK("https://klasma.github.io/Logging_2082/tillsyn/A 498-2025 tillsynsbegäran.docx", "A 498-2025")</f>
        <v/>
      </c>
      <c r="AD309">
        <f>HYPERLINK("https://klasma.github.io/Logging_2082/tillsynsmail/A 498-2025 tillsynsbegäran mail.docx", "A 498-2025")</f>
        <v/>
      </c>
    </row>
    <row r="310" ht="15" customHeight="1">
      <c r="A310" t="inlineStr">
        <is>
          <t>A 1594-2025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46237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46237</v>
      </c>
      <c r="F311" t="inlineStr">
        <is>
          <t>DALARNAS LÄN</t>
        </is>
      </c>
      <c r="G311" t="inlineStr">
        <is>
          <t>SÄTER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46237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44690</v>
      </c>
      <c r="E313" s="1" t="n">
        <v>46237</v>
      </c>
      <c r="F313" t="inlineStr">
        <is>
          <t>DALARNAS LÄN</t>
        </is>
      </c>
      <c r="G313" t="inlineStr">
        <is>
          <t>SÄTER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46237</v>
      </c>
      <c r="F314" t="inlineStr">
        <is>
          <t>DALARNAS LÄN</t>
        </is>
      </c>
      <c r="G314" t="inlineStr">
        <is>
          <t>SÄTER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46237</v>
      </c>
      <c r="F315" t="inlineStr">
        <is>
          <t>DALARNAS LÄN</t>
        </is>
      </c>
      <c r="G315" t="inlineStr">
        <is>
          <t>SÄTER</t>
        </is>
      </c>
      <c r="H315" t="inlineStr">
        <is>
          <t>Kommuner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46237</v>
      </c>
      <c r="F316" t="inlineStr">
        <is>
          <t>DALARNAS LÄN</t>
        </is>
      </c>
      <c r="G316" t="inlineStr">
        <is>
          <t>SÄTER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44727</v>
      </c>
      <c r="E317" s="1" t="n">
        <v>46237</v>
      </c>
      <c r="F317" t="inlineStr">
        <is>
          <t>DALARNAS LÄN</t>
        </is>
      </c>
      <c r="G317" t="inlineStr">
        <is>
          <t>SÄTER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46237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45171</v>
      </c>
      <c r="E319" s="1" t="n">
        <v>46237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46237</v>
      </c>
      <c r="F320" t="inlineStr">
        <is>
          <t>DALARNAS LÄN</t>
        </is>
      </c>
      <c r="G320" t="inlineStr">
        <is>
          <t>SÄTER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45783</v>
      </c>
      <c r="E321" s="1" t="n">
        <v>46237</v>
      </c>
      <c r="F321" t="inlineStr">
        <is>
          <t>DALARNAS LÄN</t>
        </is>
      </c>
      <c r="G321" t="inlineStr">
        <is>
          <t>SÄTER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46237</v>
      </c>
      <c r="F322" t="inlineStr">
        <is>
          <t>DALARNAS LÄN</t>
        </is>
      </c>
      <c r="G322" t="inlineStr">
        <is>
          <t>SÄTER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46237</v>
      </c>
      <c r="F323" t="inlineStr">
        <is>
          <t>DALARNAS LÄN</t>
        </is>
      </c>
      <c r="G323" t="inlineStr">
        <is>
          <t>SÄTER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46237</v>
      </c>
      <c r="F324" t="inlineStr">
        <is>
          <t>DALARNAS LÄN</t>
        </is>
      </c>
      <c r="G324" t="inlineStr">
        <is>
          <t>SÄTER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46237</v>
      </c>
      <c r="F325" t="inlineStr">
        <is>
          <t>DALARNAS LÄN</t>
        </is>
      </c>
      <c r="G325" t="inlineStr">
        <is>
          <t>SÄTER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46237</v>
      </c>
      <c r="F326" t="inlineStr">
        <is>
          <t>DALARNAS LÄN</t>
        </is>
      </c>
      <c r="G326" t="inlineStr">
        <is>
          <t>SÄTER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25690-2022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46237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52193-2021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46237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45432</v>
      </c>
      <c r="E329" s="1" t="n">
        <v>46237</v>
      </c>
      <c r="F329" t="inlineStr">
        <is>
          <t>DALARNAS LÄN</t>
        </is>
      </c>
      <c r="G329" t="inlineStr">
        <is>
          <t>SÄTER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46237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45366</v>
      </c>
      <c r="E331" s="1" t="n">
        <v>46237</v>
      </c>
      <c r="F331" t="inlineStr">
        <is>
          <t>DALARNAS LÄN</t>
        </is>
      </c>
      <c r="G331" t="inlineStr">
        <is>
          <t>SÄTER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46237</v>
      </c>
      <c r="F332" t="inlineStr">
        <is>
          <t>DALARNAS LÄN</t>
        </is>
      </c>
      <c r="G332" t="inlineStr">
        <is>
          <t>SÄTER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46237</v>
      </c>
      <c r="F333" t="inlineStr">
        <is>
          <t>DALARNAS LÄN</t>
        </is>
      </c>
      <c r="G333" t="inlineStr">
        <is>
          <t>SÄTER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46237</v>
      </c>
      <c r="F334" t="inlineStr">
        <is>
          <t>DALARNAS LÄN</t>
        </is>
      </c>
      <c r="G334" t="inlineStr">
        <is>
          <t>SÄTER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46237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46237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46237</v>
      </c>
      <c r="F337" t="inlineStr">
        <is>
          <t>DALARNAS LÄN</t>
        </is>
      </c>
      <c r="G337" t="inlineStr">
        <is>
          <t>SÄTER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46237</v>
      </c>
      <c r="F338" t="inlineStr">
        <is>
          <t>DALARNAS LÄN</t>
        </is>
      </c>
      <c r="G338" t="inlineStr">
        <is>
          <t>SÄTER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46237</v>
      </c>
      <c r="F339" t="inlineStr">
        <is>
          <t>DALARNAS LÄN</t>
        </is>
      </c>
      <c r="G339" t="inlineStr">
        <is>
          <t>SÄTER</t>
        </is>
      </c>
      <c r="H339" t="inlineStr">
        <is>
          <t>Kommuner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46237</v>
      </c>
      <c r="F340" t="inlineStr">
        <is>
          <t>DALARNAS LÄN</t>
        </is>
      </c>
      <c r="G340" t="inlineStr">
        <is>
          <t>SÄTER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46237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46237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46237</v>
      </c>
      <c r="F343" t="inlineStr">
        <is>
          <t>DALARNAS LÄN</t>
        </is>
      </c>
      <c r="G343" t="inlineStr">
        <is>
          <t>SÄTER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46237</v>
      </c>
      <c r="F344" t="inlineStr">
        <is>
          <t>DALARNAS LÄN</t>
        </is>
      </c>
      <c r="G344" t="inlineStr">
        <is>
          <t>SÄTER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46237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46237</v>
      </c>
      <c r="F346" t="inlineStr">
        <is>
          <t>DALARNAS LÄN</t>
        </is>
      </c>
      <c r="G346" t="inlineStr">
        <is>
          <t>SÄTER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46237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46237</v>
      </c>
      <c r="F348" t="inlineStr">
        <is>
          <t>DALARNAS LÄN</t>
        </is>
      </c>
      <c r="G348" t="inlineStr">
        <is>
          <t>SÄTER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46237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46237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44581</v>
      </c>
      <c r="E351" s="1" t="n">
        <v>46237</v>
      </c>
      <c r="F351" t="inlineStr">
        <is>
          <t>DALARNAS LÄN</t>
        </is>
      </c>
      <c r="G351" t="inlineStr">
        <is>
          <t>SÄTER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46237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46237</v>
      </c>
      <c r="F353" t="inlineStr">
        <is>
          <t>DALARNAS LÄN</t>
        </is>
      </c>
      <c r="G353" t="inlineStr">
        <is>
          <t>SÄTER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46237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44784</v>
      </c>
      <c r="E355" s="1" t="n">
        <v>46237</v>
      </c>
      <c r="F355" t="inlineStr">
        <is>
          <t>DALARNAS LÄN</t>
        </is>
      </c>
      <c r="G355" t="inlineStr">
        <is>
          <t>SÄTER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46237</v>
      </c>
      <c r="F356" t="inlineStr">
        <is>
          <t>DALARNAS LÄN</t>
        </is>
      </c>
      <c r="G356" t="inlineStr">
        <is>
          <t>SÄTER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45552</v>
      </c>
      <c r="E357" s="1" t="n">
        <v>46237</v>
      </c>
      <c r="F357" t="inlineStr">
        <is>
          <t>DALARNAS LÄN</t>
        </is>
      </c>
      <c r="G357" t="inlineStr">
        <is>
          <t>SÄTER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46237</v>
      </c>
      <c r="F358" t="inlineStr">
        <is>
          <t>DALARNAS LÄN</t>
        </is>
      </c>
      <c r="G358" t="inlineStr">
        <is>
          <t>SÄTER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46237</v>
      </c>
      <c r="F359" t="inlineStr">
        <is>
          <t>DALARNAS LÄN</t>
        </is>
      </c>
      <c r="G359" t="inlineStr">
        <is>
          <t>SÄTER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46237</v>
      </c>
      <c r="F360" t="inlineStr">
        <is>
          <t>DALARNAS LÄN</t>
        </is>
      </c>
      <c r="G360" t="inlineStr">
        <is>
          <t>SÄTER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45825</v>
      </c>
      <c r="E361" s="1" t="n">
        <v>46237</v>
      </c>
      <c r="F361" t="inlineStr">
        <is>
          <t>DALARNAS LÄN</t>
        </is>
      </c>
      <c r="G361" t="inlineStr">
        <is>
          <t>SÄTER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46237</v>
      </c>
      <c r="F362" t="inlineStr">
        <is>
          <t>DALARNAS LÄN</t>
        </is>
      </c>
      <c r="G362" t="inlineStr">
        <is>
          <t>SÄTER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46237</v>
      </c>
      <c r="F363" t="inlineStr">
        <is>
          <t>DALARNAS LÄN</t>
        </is>
      </c>
      <c r="G363" t="inlineStr">
        <is>
          <t>SÄTER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36549-2025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45870</v>
      </c>
      <c r="E364" s="1" t="n">
        <v>46237</v>
      </c>
      <c r="F364" t="inlineStr">
        <is>
          <t>DALARNAS LÄN</t>
        </is>
      </c>
      <c r="G364" t="inlineStr">
        <is>
          <t>SÄTER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45875</v>
      </c>
      <c r="E365" s="1" t="n">
        <v>46237</v>
      </c>
      <c r="F365" t="inlineStr">
        <is>
          <t>DALARNAS LÄN</t>
        </is>
      </c>
      <c r="G365" t="inlineStr">
        <is>
          <t>SÄTER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46237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46237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46237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46237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46237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46237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46237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46237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2026-08-03T01:56:03Z</dcterms:created>
  <dcterms:modified xmlns:dcterms="http://purl.org/dc/terms/" xmlns:xsi="http://www.w3.org/2001/XMLSchema-instance" xsi:type="dcterms:W3CDTF">2026-08-03T01:56:04Z</dcterms:modified>
</cp:coreProperties>
</file>