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46091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46091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46091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46091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46091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 agg.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46091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51825-2025</t>
        </is>
      </c>
      <c r="B8" s="1" t="n">
        <v>45951</v>
      </c>
      <c r="C8" s="1" t="n">
        <v>46091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12.8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Gultoppig fingersvamp
Mörk husmossa</t>
        </is>
      </c>
      <c r="S8">
        <f>HYPERLINK("https://klasma.github.io/Logging_2082/artfynd/A 51825-2025 artfynd.xlsx", "A 51825-2025")</f>
        <v/>
      </c>
      <c r="T8">
        <f>HYPERLINK("https://klasma.github.io/Logging_2082/kartor/A 51825-2025 karta.png", "A 51825-2025")</f>
        <v/>
      </c>
      <c r="V8">
        <f>HYPERLINK("https://klasma.github.io/Logging_2082/klagomål/A 51825-2025 FSC-klagomål.docx", "A 51825-2025")</f>
        <v/>
      </c>
      <c r="W8">
        <f>HYPERLINK("https://klasma.github.io/Logging_2082/klagomålsmail/A 51825-2025 FSC-klagomål mail.docx", "A 51825-2025")</f>
        <v/>
      </c>
      <c r="X8">
        <f>HYPERLINK("https://klasma.github.io/Logging_2082/tillsyn/A 51825-2025 tillsynsbegäran.docx", "A 51825-2025")</f>
        <v/>
      </c>
      <c r="Y8">
        <f>HYPERLINK("https://klasma.github.io/Logging_2082/tillsynsmail/A 51825-2025 tillsynsbegäran mail.docx", "A 51825-2025")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46091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35916-2022</t>
        </is>
      </c>
      <c r="B10" s="1" t="n">
        <v>44802</v>
      </c>
      <c r="C10" s="1" t="n">
        <v>46091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2.6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Slåttergubbe
Slåtterfibbla
Huggorm</t>
        </is>
      </c>
      <c r="S10">
        <f>HYPERLINK("https://klasma.github.io/Logging_2082/artfynd/A 35916-2022 artfynd.xlsx", "A 35916-2022")</f>
        <v/>
      </c>
      <c r="T10">
        <f>HYPERLINK("https://klasma.github.io/Logging_2082/kartor/A 35916-2022 karta.png", "A 35916-2022")</f>
        <v/>
      </c>
      <c r="V10">
        <f>HYPERLINK("https://klasma.github.io/Logging_2082/klagomål/A 35916-2022 FSC-klagomål.docx", "A 35916-2022")</f>
        <v/>
      </c>
      <c r="W10">
        <f>HYPERLINK("https://klasma.github.io/Logging_2082/klagomålsmail/A 35916-2022 FSC-klagomål mail.docx", "A 35916-2022")</f>
        <v/>
      </c>
      <c r="X10">
        <f>HYPERLINK("https://klasma.github.io/Logging_2082/tillsyn/A 35916-2022 tillsynsbegäran.docx", "A 35916-2022")</f>
        <v/>
      </c>
      <c r="Y10">
        <f>HYPERLINK("https://klasma.github.io/Logging_2082/tillsynsmail/A 35916-2022 tillsynsbegäran mail.docx", "A 35916-2022")</f>
        <v/>
      </c>
    </row>
    <row r="11" ht="15" customHeight="1">
      <c r="A11" t="inlineStr">
        <is>
          <t>A 8533-2026</t>
        </is>
      </c>
      <c r="B11" s="1" t="n">
        <v>46065.60184027778</v>
      </c>
      <c r="C11" s="1" t="n">
        <v>46091</v>
      </c>
      <c r="D11" t="inlineStr">
        <is>
          <t>DALARNAS LÄN</t>
        </is>
      </c>
      <c r="E11" t="inlineStr">
        <is>
          <t>SÄTER</t>
        </is>
      </c>
      <c r="G11" t="n">
        <v>9.9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Vedskivlav
Dropptaggsvamp</t>
        </is>
      </c>
      <c r="S11">
        <f>HYPERLINK("https://klasma.github.io/Logging_2082/artfynd/A 8533-2026 artfynd.xlsx", "A 8533-2026")</f>
        <v/>
      </c>
      <c r="T11">
        <f>HYPERLINK("https://klasma.github.io/Logging_2082/kartor/A 8533-2026 karta.png", "A 8533-2026")</f>
        <v/>
      </c>
      <c r="V11">
        <f>HYPERLINK("https://klasma.github.io/Logging_2082/klagomål/A 8533-2026 FSC-klagomål.docx", "A 8533-2026")</f>
        <v/>
      </c>
      <c r="W11">
        <f>HYPERLINK("https://klasma.github.io/Logging_2082/klagomålsmail/A 8533-2026 FSC-klagomål mail.docx", "A 8533-2026")</f>
        <v/>
      </c>
      <c r="X11">
        <f>HYPERLINK("https://klasma.github.io/Logging_2082/tillsyn/A 8533-2026 tillsynsbegäran.docx", "A 8533-2026")</f>
        <v/>
      </c>
      <c r="Y11">
        <f>HYPERLINK("https://klasma.github.io/Logging_2082/tillsynsmail/A 8533-2026 tillsynsbegäran mail.docx", "A 8533-2026")</f>
        <v/>
      </c>
      <c r="Z11">
        <f>HYPERLINK("https://klasma.github.io/Logging_2082/fåglar/A 8533-2026 prioriterade fågelarter.docx", "A 8533-2026")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46091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34009-2021</t>
        </is>
      </c>
      <c r="B13" s="1" t="n">
        <v>44378</v>
      </c>
      <c r="C13" s="1" t="n">
        <v>46091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22.5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Vedticka</t>
        </is>
      </c>
      <c r="S13">
        <f>HYPERLINK("https://klasma.github.io/Logging_2082/artfynd/A 34009-2021 artfynd.xlsx", "A 34009-2021")</f>
        <v/>
      </c>
      <c r="T13">
        <f>HYPERLINK("https://klasma.github.io/Logging_2082/kartor/A 34009-2021 karta.png", "A 34009-2021")</f>
        <v/>
      </c>
      <c r="V13">
        <f>HYPERLINK("https://klasma.github.io/Logging_2082/klagomål/A 34009-2021 FSC-klagomål.docx", "A 34009-2021")</f>
        <v/>
      </c>
      <c r="W13">
        <f>HYPERLINK("https://klasma.github.io/Logging_2082/klagomålsmail/A 34009-2021 FSC-klagomål mail.docx", "A 34009-2021")</f>
        <v/>
      </c>
      <c r="X13">
        <f>HYPERLINK("https://klasma.github.io/Logging_2082/tillsyn/A 34009-2021 tillsynsbegäran.docx", "A 34009-2021")</f>
        <v/>
      </c>
      <c r="Y13">
        <f>HYPERLINK("https://klasma.github.io/Logging_2082/tillsynsmail/A 34009-2021 tillsynsbegäran mail.docx", "A 34009-2021")</f>
        <v/>
      </c>
    </row>
    <row r="14" ht="15" customHeight="1">
      <c r="A14" t="inlineStr">
        <is>
          <t>A 16845-2024</t>
        </is>
      </c>
      <c r="B14" s="1" t="n">
        <v>45411.49836805555</v>
      </c>
      <c r="C14" s="1" t="n">
        <v>46091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193-2022</t>
        </is>
      </c>
      <c r="B15" s="1" t="n">
        <v>44564.67122685185</v>
      </c>
      <c r="C15" s="1" t="n">
        <v>46091</v>
      </c>
      <c r="D15" t="inlineStr">
        <is>
          <t>DALARNAS LÄN</t>
        </is>
      </c>
      <c r="E15" t="inlineStr">
        <is>
          <t>SÄTER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HYPERLINK("https://klasma.github.io/Logging_2082/artfynd/A 193-2022 artfynd.xlsx", "A 193-2022")</f>
        <v/>
      </c>
      <c r="T15">
        <f>HYPERLINK("https://klasma.github.io/Logging_2082/kartor/A 193-2022 karta.png", "A 193-2022")</f>
        <v/>
      </c>
      <c r="V15">
        <f>HYPERLINK("https://klasma.github.io/Logging_2082/klagomål/A 193-2022 FSC-klagomål.docx", "A 193-2022")</f>
        <v/>
      </c>
      <c r="W15">
        <f>HYPERLINK("https://klasma.github.io/Logging_2082/klagomålsmail/A 193-2022 FSC-klagomål mail.docx", "A 193-2022")</f>
        <v/>
      </c>
      <c r="X15">
        <f>HYPERLINK("https://klasma.github.io/Logging_2082/tillsyn/A 193-2022 tillsynsbegäran.docx", "A 193-2022")</f>
        <v/>
      </c>
      <c r="Y15">
        <f>HYPERLINK("https://klasma.github.io/Logging_2082/tillsynsmail/A 193-2022 tillsynsbegäran mail.docx", "A 193-2022")</f>
        <v/>
      </c>
      <c r="Z15">
        <f>HYPERLINK("https://klasma.github.io/Logging_2082/fåglar/A 193-2022 prioriterade fågelarter.docx", "A 193-2022")</f>
        <v/>
      </c>
    </row>
    <row r="16" ht="15" customHeight="1">
      <c r="A16" t="inlineStr">
        <is>
          <t>A 27374-2022</t>
        </is>
      </c>
      <c r="B16" s="1" t="n">
        <v>44742</v>
      </c>
      <c r="C16" s="1" t="n">
        <v>46091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4.3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Garnlav</t>
        </is>
      </c>
      <c r="S16">
        <f>HYPERLINK("https://klasma.github.io/Logging_2082/artfynd/A 27374-2022 artfynd.xlsx", "A 27374-2022")</f>
        <v/>
      </c>
      <c r="T16">
        <f>HYPERLINK("https://klasma.github.io/Logging_2082/kartor/A 27374-2022 karta.png", "A 27374-2022")</f>
        <v/>
      </c>
      <c r="U16">
        <f>HYPERLINK("https://klasma.github.io/Logging_2082/knärot/A 27374-2022 karta knärot.png", "A 27374-2022")</f>
        <v/>
      </c>
      <c r="V16">
        <f>HYPERLINK("https://klasma.github.io/Logging_2082/klagomål/A 27374-2022 FSC-klagomål.docx", "A 27374-2022")</f>
        <v/>
      </c>
      <c r="W16">
        <f>HYPERLINK("https://klasma.github.io/Logging_2082/klagomålsmail/A 27374-2022 FSC-klagomål mail.docx", "A 27374-2022")</f>
        <v/>
      </c>
      <c r="X16">
        <f>HYPERLINK("https://klasma.github.io/Logging_2082/tillsyn/A 27374-2022 tillsynsbegäran.docx", "A 27374-2022")</f>
        <v/>
      </c>
      <c r="Y16">
        <f>HYPERLINK("https://klasma.github.io/Logging_2082/tillsynsmail/A 27374-2022 tillsynsbegäran mail.docx", "A 27374-2022")</f>
        <v/>
      </c>
    </row>
    <row r="17" ht="15" customHeight="1">
      <c r="A17" t="inlineStr">
        <is>
          <t>A 25675-2022</t>
        </is>
      </c>
      <c r="B17" s="1" t="n">
        <v>44732</v>
      </c>
      <c r="C17" s="1" t="n">
        <v>46091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4.7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Orange taggsvamp</t>
        </is>
      </c>
      <c r="S17">
        <f>HYPERLINK("https://klasma.github.io/Logging_2082/artfynd/A 25675-2022 artfynd.xlsx", "A 25675-2022")</f>
        <v/>
      </c>
      <c r="T17">
        <f>HYPERLINK("https://klasma.github.io/Logging_2082/kartor/A 25675-2022 karta.png", "A 25675-2022")</f>
        <v/>
      </c>
      <c r="V17">
        <f>HYPERLINK("https://klasma.github.io/Logging_2082/klagomål/A 25675-2022 FSC-klagomål.docx", "A 25675-2022")</f>
        <v/>
      </c>
      <c r="W17">
        <f>HYPERLINK("https://klasma.github.io/Logging_2082/klagomålsmail/A 25675-2022 FSC-klagomål mail.docx", "A 25675-2022")</f>
        <v/>
      </c>
      <c r="X17">
        <f>HYPERLINK("https://klasma.github.io/Logging_2082/tillsyn/A 25675-2022 tillsynsbegäran.docx", "A 25675-2022")</f>
        <v/>
      </c>
      <c r="Y17">
        <f>HYPERLINK("https://klasma.github.io/Logging_2082/tillsynsmail/A 25675-2022 tillsynsbegäran mail.docx", "A 25675-2022")</f>
        <v/>
      </c>
    </row>
    <row r="18" ht="15" customHeight="1">
      <c r="A18" t="inlineStr">
        <is>
          <t>A 42492-2025</t>
        </is>
      </c>
      <c r="B18" s="1" t="n">
        <v>45904</v>
      </c>
      <c r="C18" s="1" t="n">
        <v>46091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14.9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HYPERLINK("https://klasma.github.io/Logging_2082/artfynd/A 42492-2025 artfynd.xlsx", "A 42492-2025")</f>
        <v/>
      </c>
      <c r="T18">
        <f>HYPERLINK("https://klasma.github.io/Logging_2082/kartor/A 42492-2025 karta.png", "A 42492-2025")</f>
        <v/>
      </c>
      <c r="V18">
        <f>HYPERLINK("https://klasma.github.io/Logging_2082/klagomål/A 42492-2025 FSC-klagomål.docx", "A 42492-2025")</f>
        <v/>
      </c>
      <c r="W18">
        <f>HYPERLINK("https://klasma.github.io/Logging_2082/klagomålsmail/A 42492-2025 FSC-klagomål mail.docx", "A 42492-2025")</f>
        <v/>
      </c>
      <c r="X18">
        <f>HYPERLINK("https://klasma.github.io/Logging_2082/tillsyn/A 42492-2025 tillsynsbegäran.docx", "A 42492-2025")</f>
        <v/>
      </c>
      <c r="Y18">
        <f>HYPERLINK("https://klasma.github.io/Logging_2082/tillsynsmail/A 42492-2025 tillsynsbegäran mail.docx", "A 42492-2025")</f>
        <v/>
      </c>
      <c r="Z18">
        <f>HYPERLINK("https://klasma.github.io/Logging_2082/fåglar/A 42492-2025 prioriterade fågelarter.docx", "A 42492-2025")</f>
        <v/>
      </c>
    </row>
    <row r="19" ht="15" customHeight="1">
      <c r="A19" t="inlineStr">
        <is>
          <t>A 570-2024</t>
        </is>
      </c>
      <c r="B19" s="1" t="n">
        <v>45299</v>
      </c>
      <c r="C19" s="1" t="n">
        <v>46091</v>
      </c>
      <c r="D19" t="inlineStr">
        <is>
          <t>DALARNAS LÄN</t>
        </is>
      </c>
      <c r="E19" t="inlineStr">
        <is>
          <t>SÄTER</t>
        </is>
      </c>
      <c r="F19" t="inlineStr">
        <is>
          <t>Kommuner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Svavelriska</t>
        </is>
      </c>
      <c r="S19">
        <f>HYPERLINK("https://klasma.github.io/Logging_2082/artfynd/A 570-2024 artfynd.xlsx", "A 570-2024")</f>
        <v/>
      </c>
      <c r="T19">
        <f>HYPERLINK("https://klasma.github.io/Logging_2082/kartor/A 570-2024 karta.png", "A 570-2024")</f>
        <v/>
      </c>
      <c r="V19">
        <f>HYPERLINK("https://klasma.github.io/Logging_2082/klagomål/A 570-2024 FSC-klagomål.docx", "A 570-2024")</f>
        <v/>
      </c>
      <c r="W19">
        <f>HYPERLINK("https://klasma.github.io/Logging_2082/klagomålsmail/A 570-2024 FSC-klagomål mail.docx", "A 570-2024")</f>
        <v/>
      </c>
      <c r="X19">
        <f>HYPERLINK("https://klasma.github.io/Logging_2082/tillsyn/A 570-2024 tillsynsbegäran.docx", "A 570-2024")</f>
        <v/>
      </c>
      <c r="Y19">
        <f>HYPERLINK("https://klasma.github.io/Logging_2082/tillsynsmail/A 570-2024 tillsynsbegäran mail.docx", "A 570-2024")</f>
        <v/>
      </c>
    </row>
    <row r="20" ht="15" customHeight="1">
      <c r="A20" t="inlineStr">
        <is>
          <t>A 35221-2025</t>
        </is>
      </c>
      <c r="B20" s="1" t="n">
        <v>45853</v>
      </c>
      <c r="C20" s="1" t="n">
        <v>46091</v>
      </c>
      <c r="D20" t="inlineStr">
        <is>
          <t>DALARNAS LÄN</t>
        </is>
      </c>
      <c r="E20" t="inlineStr">
        <is>
          <t>SÄTER</t>
        </is>
      </c>
      <c r="G20" t="n">
        <v>9.5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Vedskivlav</t>
        </is>
      </c>
      <c r="S20">
        <f>HYPERLINK("https://klasma.github.io/Logging_2082/artfynd/A 35221-2025 artfynd.xlsx", "A 35221-2025")</f>
        <v/>
      </c>
      <c r="T20">
        <f>HYPERLINK("https://klasma.github.io/Logging_2082/kartor/A 35221-2025 karta.png", "A 35221-2025")</f>
        <v/>
      </c>
      <c r="V20">
        <f>HYPERLINK("https://klasma.github.io/Logging_2082/klagomål/A 35221-2025 FSC-klagomål.docx", "A 35221-2025")</f>
        <v/>
      </c>
      <c r="W20">
        <f>HYPERLINK("https://klasma.github.io/Logging_2082/klagomålsmail/A 35221-2025 FSC-klagomål mail.docx", "A 35221-2025")</f>
        <v/>
      </c>
      <c r="X20">
        <f>HYPERLINK("https://klasma.github.io/Logging_2082/tillsyn/A 35221-2025 tillsynsbegäran.docx", "A 35221-2025")</f>
        <v/>
      </c>
      <c r="Y20">
        <f>HYPERLINK("https://klasma.github.io/Logging_2082/tillsynsmail/A 35221-2025 tillsynsbegäran mail.docx", "A 35221-2025")</f>
        <v/>
      </c>
    </row>
    <row r="21" ht="15" customHeight="1">
      <c r="A21" t="inlineStr">
        <is>
          <t>A 9682-2025</t>
        </is>
      </c>
      <c r="B21" s="1" t="n">
        <v>45716.34917824074</v>
      </c>
      <c r="C21" s="1" t="n">
        <v>46091</v>
      </c>
      <c r="D21" t="inlineStr">
        <is>
          <t>DALARNAS LÄN</t>
        </is>
      </c>
      <c r="E21" t="inlineStr">
        <is>
          <t>SÄTER</t>
        </is>
      </c>
      <c r="G21" t="n">
        <v>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Ögonpyrola</t>
        </is>
      </c>
      <c r="S21">
        <f>HYPERLINK("https://klasma.github.io/Logging_2082/artfynd/A 9682-2025 artfynd.xlsx", "A 9682-2025")</f>
        <v/>
      </c>
      <c r="T21">
        <f>HYPERLINK("https://klasma.github.io/Logging_2082/kartor/A 9682-2025 karta.png", "A 9682-2025")</f>
        <v/>
      </c>
      <c r="V21">
        <f>HYPERLINK("https://klasma.github.io/Logging_2082/klagomål/A 9682-2025 FSC-klagomål.docx", "A 9682-2025")</f>
        <v/>
      </c>
      <c r="W21">
        <f>HYPERLINK("https://klasma.github.io/Logging_2082/klagomålsmail/A 9682-2025 FSC-klagomål mail.docx", "A 9682-2025")</f>
        <v/>
      </c>
      <c r="X21">
        <f>HYPERLINK("https://klasma.github.io/Logging_2082/tillsyn/A 9682-2025 tillsynsbegäran.docx", "A 9682-2025")</f>
        <v/>
      </c>
      <c r="Y21">
        <f>HYPERLINK("https://klasma.github.io/Logging_2082/tillsynsmail/A 9682-2025 tillsynsbegäran mail.docx", "A 9682-2025")</f>
        <v/>
      </c>
    </row>
    <row r="22" ht="15" customHeight="1">
      <c r="A22" t="inlineStr">
        <is>
          <t>A 61197-2025</t>
        </is>
      </c>
      <c r="B22" s="1" t="n">
        <v>46000.60429398148</v>
      </c>
      <c r="C22" s="1" t="n">
        <v>46091</v>
      </c>
      <c r="D22" t="inlineStr">
        <is>
          <t>DALARNAS LÄN</t>
        </is>
      </c>
      <c r="E22" t="inlineStr">
        <is>
          <t>SÄTER</t>
        </is>
      </c>
      <c r="G22" t="n">
        <v>4.1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HYPERLINK("https://klasma.github.io/Logging_2082/artfynd/A 61197-2025 artfynd.xlsx", "A 61197-2025")</f>
        <v/>
      </c>
      <c r="T22">
        <f>HYPERLINK("https://klasma.github.io/Logging_2082/kartor/A 61197-2025 karta.png", "A 61197-2025")</f>
        <v/>
      </c>
      <c r="U22">
        <f>HYPERLINK("https://klasma.github.io/Logging_2082/knärot/A 61197-2025 karta knärot.png", "A 61197-2025")</f>
        <v/>
      </c>
      <c r="V22">
        <f>HYPERLINK("https://klasma.github.io/Logging_2082/klagomål/A 61197-2025 FSC-klagomål.docx", "A 61197-2025")</f>
        <v/>
      </c>
      <c r="W22">
        <f>HYPERLINK("https://klasma.github.io/Logging_2082/klagomålsmail/A 61197-2025 FSC-klagomål mail.docx", "A 61197-2025")</f>
        <v/>
      </c>
      <c r="X22">
        <f>HYPERLINK("https://klasma.github.io/Logging_2082/tillsyn/A 61197-2025 tillsynsbegäran.docx", "A 61197-2025")</f>
        <v/>
      </c>
      <c r="Y22">
        <f>HYPERLINK("https://klasma.github.io/Logging_2082/tillsynsmail/A 61197-2025 tillsynsbegäran mail.docx", "A 61197-2025")</f>
        <v/>
      </c>
    </row>
    <row r="23" ht="15" customHeight="1">
      <c r="A23" t="inlineStr">
        <is>
          <t>A 49656-2025</t>
        </is>
      </c>
      <c r="B23" s="1" t="n">
        <v>45939</v>
      </c>
      <c r="C23" s="1" t="n">
        <v>46091</v>
      </c>
      <c r="D23" t="inlineStr">
        <is>
          <t>DALARNAS LÄN</t>
        </is>
      </c>
      <c r="E23" t="inlineStr">
        <is>
          <t>SÄTER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HYPERLINK("https://klasma.github.io/Logging_2082/artfynd/A 49656-2025 artfynd.xlsx", "A 49656-2025")</f>
        <v/>
      </c>
      <c r="T23">
        <f>HYPERLINK("https://klasma.github.io/Logging_2082/kartor/A 49656-2025 karta.png", "A 49656-2025")</f>
        <v/>
      </c>
      <c r="U23">
        <f>HYPERLINK("https://klasma.github.io/Logging_2082/knärot/A 49656-2025 karta knärot.png", "A 49656-2025")</f>
        <v/>
      </c>
      <c r="V23">
        <f>HYPERLINK("https://klasma.github.io/Logging_2082/klagomål/A 49656-2025 FSC-klagomål.docx", "A 49656-2025")</f>
        <v/>
      </c>
      <c r="W23">
        <f>HYPERLINK("https://klasma.github.io/Logging_2082/klagomålsmail/A 49656-2025 FSC-klagomål mail.docx", "A 49656-2025")</f>
        <v/>
      </c>
      <c r="X23">
        <f>HYPERLINK("https://klasma.github.io/Logging_2082/tillsyn/A 49656-2025 tillsynsbegäran.docx", "A 49656-2025")</f>
        <v/>
      </c>
      <c r="Y23">
        <f>HYPERLINK("https://klasma.github.io/Logging_2082/tillsynsmail/A 49656-2025 tillsynsbegäran mail.docx", "A 49656-2025")</f>
        <v/>
      </c>
    </row>
    <row r="24" ht="15" customHeight="1">
      <c r="A24" t="inlineStr">
        <is>
          <t>A 68448-2021</t>
        </is>
      </c>
      <c r="B24" s="1" t="n">
        <v>44529</v>
      </c>
      <c r="C24" s="1" t="n">
        <v>46091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HYPERLINK("https://klasma.github.io/Logging_2082/artfynd/A 68448-2021 artfynd.xlsx", "A 68448-2021")</f>
        <v/>
      </c>
      <c r="T24">
        <f>HYPERLINK("https://klasma.github.io/Logging_2082/kartor/A 68448-2021 karta.png", "A 68448-2021")</f>
        <v/>
      </c>
      <c r="U24">
        <f>HYPERLINK("https://klasma.github.io/Logging_2082/knärot/A 68448-2021 karta knärot.png", "A 68448-2021")</f>
        <v/>
      </c>
      <c r="V24">
        <f>HYPERLINK("https://klasma.github.io/Logging_2082/klagomål/A 68448-2021 FSC-klagomål.docx", "A 68448-2021")</f>
        <v/>
      </c>
      <c r="W24">
        <f>HYPERLINK("https://klasma.github.io/Logging_2082/klagomålsmail/A 68448-2021 FSC-klagomål mail.docx", "A 68448-2021")</f>
        <v/>
      </c>
      <c r="X24">
        <f>HYPERLINK("https://klasma.github.io/Logging_2082/tillsyn/A 68448-2021 tillsynsbegäran.docx", "A 68448-2021")</f>
        <v/>
      </c>
      <c r="Y24">
        <f>HYPERLINK("https://klasma.github.io/Logging_2082/tillsynsmail/A 68448-2021 tillsynsbegäran mail.docx", "A 68448-2021")</f>
        <v/>
      </c>
    </row>
    <row r="25" ht="15" customHeight="1">
      <c r="A25" t="inlineStr">
        <is>
          <t>A 835-2026</t>
        </is>
      </c>
      <c r="B25" s="1" t="n">
        <v>46030</v>
      </c>
      <c r="C25" s="1" t="n">
        <v>46091</v>
      </c>
      <c r="D25" t="inlineStr">
        <is>
          <t>DALARNAS LÄN</t>
        </is>
      </c>
      <c r="E25" t="inlineStr">
        <is>
          <t>SÄTER</t>
        </is>
      </c>
      <c r="G25" t="n">
        <v>9.4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HYPERLINK("https://klasma.github.io/Logging_2082/artfynd/A 835-2026 artfynd.xlsx", "A 835-2026")</f>
        <v/>
      </c>
      <c r="T25">
        <f>HYPERLINK("https://klasma.github.io/Logging_2082/kartor/A 835-2026 karta.png", "A 835-2026")</f>
        <v/>
      </c>
      <c r="V25">
        <f>HYPERLINK("https://klasma.github.io/Logging_2082/klagomål/A 835-2026 FSC-klagomål.docx", "A 835-2026")</f>
        <v/>
      </c>
      <c r="W25">
        <f>HYPERLINK("https://klasma.github.io/Logging_2082/klagomålsmail/A 835-2026 FSC-klagomål mail.docx", "A 835-2026")</f>
        <v/>
      </c>
      <c r="X25">
        <f>HYPERLINK("https://klasma.github.io/Logging_2082/tillsyn/A 835-2026 tillsynsbegäran.docx", "A 835-2026")</f>
        <v/>
      </c>
      <c r="Y25">
        <f>HYPERLINK("https://klasma.github.io/Logging_2082/tillsynsmail/A 835-2026 tillsynsbegäran mail.docx", "A 835-2026")</f>
        <v/>
      </c>
    </row>
    <row r="26" ht="15" customHeight="1">
      <c r="A26" t="inlineStr">
        <is>
          <t>A 650-2026</t>
        </is>
      </c>
      <c r="B26" s="1" t="n">
        <v>46029</v>
      </c>
      <c r="C26" s="1" t="n">
        <v>46091</v>
      </c>
      <c r="D26" t="inlineStr">
        <is>
          <t>DALARNAS LÄN</t>
        </is>
      </c>
      <c r="E26" t="inlineStr">
        <is>
          <t>SÄTER</t>
        </is>
      </c>
      <c r="G26" t="n">
        <v>5.9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Rosenticka</t>
        </is>
      </c>
      <c r="S26">
        <f>HYPERLINK("https://klasma.github.io/Logging_2082/artfynd/A 650-2026 artfynd.xlsx", "A 650-2026")</f>
        <v/>
      </c>
      <c r="T26">
        <f>HYPERLINK("https://klasma.github.io/Logging_2082/kartor/A 650-2026 karta.png", "A 650-2026")</f>
        <v/>
      </c>
      <c r="V26">
        <f>HYPERLINK("https://klasma.github.io/Logging_2082/klagomål/A 650-2026 FSC-klagomål.docx", "A 650-2026")</f>
        <v/>
      </c>
      <c r="W26">
        <f>HYPERLINK("https://klasma.github.io/Logging_2082/klagomålsmail/A 650-2026 FSC-klagomål mail.docx", "A 650-2026")</f>
        <v/>
      </c>
      <c r="X26">
        <f>HYPERLINK("https://klasma.github.io/Logging_2082/tillsyn/A 650-2026 tillsynsbegäran.docx", "A 650-2026")</f>
        <v/>
      </c>
      <c r="Y26">
        <f>HYPERLINK("https://klasma.github.io/Logging_2082/tillsynsmail/A 650-2026 tillsynsbegäran mail.docx", "A 650-2026")</f>
        <v/>
      </c>
    </row>
    <row r="27" ht="15" customHeight="1">
      <c r="A27" t="inlineStr">
        <is>
          <t>A 50079-2023</t>
        </is>
      </c>
      <c r="B27" s="1" t="n">
        <v>45215</v>
      </c>
      <c r="C27" s="1" t="n">
        <v>46091</v>
      </c>
      <c r="D27" t="inlineStr">
        <is>
          <t>DALARNAS LÄN</t>
        </is>
      </c>
      <c r="E27" t="inlineStr">
        <is>
          <t>SÄTER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50079-2023 artfynd.xlsx", "A 50079-2023")</f>
        <v/>
      </c>
      <c r="T27">
        <f>HYPERLINK("https://klasma.github.io/Logging_2082/kartor/A 50079-2023 karta.png", "A 50079-2023")</f>
        <v/>
      </c>
      <c r="V27">
        <f>HYPERLINK("https://klasma.github.io/Logging_2082/klagomål/A 50079-2023 FSC-klagomål.docx", "A 50079-2023")</f>
        <v/>
      </c>
      <c r="W27">
        <f>HYPERLINK("https://klasma.github.io/Logging_2082/klagomålsmail/A 50079-2023 FSC-klagomål mail.docx", "A 50079-2023")</f>
        <v/>
      </c>
      <c r="X27">
        <f>HYPERLINK("https://klasma.github.io/Logging_2082/tillsyn/A 50079-2023 tillsynsbegäran.docx", "A 50079-2023")</f>
        <v/>
      </c>
      <c r="Y27">
        <f>HYPERLINK("https://klasma.github.io/Logging_2082/tillsynsmail/A 50079-2023 tillsynsbegäran mail.docx", "A 50079-2023")</f>
        <v/>
      </c>
    </row>
    <row r="28" ht="15" customHeight="1">
      <c r="A28" t="inlineStr">
        <is>
          <t>A 52205-2021</t>
        </is>
      </c>
      <c r="B28" s="1" t="n">
        <v>44462</v>
      </c>
      <c r="C28" s="1" t="n">
        <v>46091</v>
      </c>
      <c r="D28" t="inlineStr">
        <is>
          <t>DALARNAS LÄN</t>
        </is>
      </c>
      <c r="E28" t="inlineStr">
        <is>
          <t>SÄTER</t>
        </is>
      </c>
      <c r="F28" t="inlineStr">
        <is>
          <t>Bergvik skog väst AB</t>
        </is>
      </c>
      <c r="G28" t="n">
        <v>8.6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Klasefibbla</t>
        </is>
      </c>
      <c r="S28">
        <f>HYPERLINK("https://klasma.github.io/Logging_2082/artfynd/A 52205-2021 artfynd.xlsx", "A 52205-2021")</f>
        <v/>
      </c>
      <c r="T28">
        <f>HYPERLINK("https://klasma.github.io/Logging_2082/kartor/A 52205-2021 karta.png", "A 52205-2021")</f>
        <v/>
      </c>
      <c r="V28">
        <f>HYPERLINK("https://klasma.github.io/Logging_2082/klagomål/A 52205-2021 FSC-klagomål.docx", "A 52205-2021")</f>
        <v/>
      </c>
      <c r="W28">
        <f>HYPERLINK("https://klasma.github.io/Logging_2082/klagomålsmail/A 52205-2021 FSC-klagomål mail.docx", "A 52205-2021")</f>
        <v/>
      </c>
      <c r="X28">
        <f>HYPERLINK("https://klasma.github.io/Logging_2082/tillsyn/A 52205-2021 tillsynsbegäran.docx", "A 52205-2021")</f>
        <v/>
      </c>
      <c r="Y28">
        <f>HYPERLINK("https://klasma.github.io/Logging_2082/tillsynsmail/A 52205-2021 tillsynsbegäran mail.docx", "A 52205-2021")</f>
        <v/>
      </c>
    </row>
    <row r="29" ht="15" customHeight="1">
      <c r="A29" t="inlineStr">
        <is>
          <t>A 27715-2023</t>
        </is>
      </c>
      <c r="B29" s="1" t="n">
        <v>45098</v>
      </c>
      <c r="C29" s="1" t="n">
        <v>46091</v>
      </c>
      <c r="D29" t="inlineStr">
        <is>
          <t>DALARNAS LÄN</t>
        </is>
      </c>
      <c r="E29" t="inlineStr">
        <is>
          <t>SÄTER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HYPERLINK("https://klasma.github.io/Logging_2082/artfynd/A 27715-2023 artfynd.xlsx", "A 27715-2023")</f>
        <v/>
      </c>
      <c r="T29">
        <f>HYPERLINK("https://klasma.github.io/Logging_2082/kartor/A 27715-2023 karta.png", "A 27715-2023")</f>
        <v/>
      </c>
      <c r="V29">
        <f>HYPERLINK("https://klasma.github.io/Logging_2082/klagomål/A 27715-2023 FSC-klagomål.docx", "A 27715-2023")</f>
        <v/>
      </c>
      <c r="W29">
        <f>HYPERLINK("https://klasma.github.io/Logging_2082/klagomålsmail/A 27715-2023 FSC-klagomål mail.docx", "A 27715-2023")</f>
        <v/>
      </c>
      <c r="X29">
        <f>HYPERLINK("https://klasma.github.io/Logging_2082/tillsyn/A 27715-2023 tillsynsbegäran.docx", "A 27715-2023")</f>
        <v/>
      </c>
      <c r="Y29">
        <f>HYPERLINK("https://klasma.github.io/Logging_2082/tillsynsmail/A 27715-2023 tillsynsbegäran mail.docx", "A 27715-2023")</f>
        <v/>
      </c>
    </row>
    <row r="30" ht="15" customHeight="1">
      <c r="A30" t="inlineStr">
        <is>
          <t>A 49563-2021</t>
        </is>
      </c>
      <c r="B30" s="1" t="n">
        <v>44455.36458333334</v>
      </c>
      <c r="C30" s="1" t="n">
        <v>46091</v>
      </c>
      <c r="D30" t="inlineStr">
        <is>
          <t>DALARNAS LÄN</t>
        </is>
      </c>
      <c r="E30" t="inlineStr">
        <is>
          <t>SÄTER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16519-2021</t>
        </is>
      </c>
      <c r="B31" s="1" t="n">
        <v>44293</v>
      </c>
      <c r="C31" s="1" t="n">
        <v>46091</v>
      </c>
      <c r="D31" t="inlineStr">
        <is>
          <t>DALARNAS LÄN</t>
        </is>
      </c>
      <c r="E31" t="inlineStr">
        <is>
          <t>SÄTER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20956-2021</t>
        </is>
      </c>
      <c r="B32" s="1" t="n">
        <v>44319.53942129629</v>
      </c>
      <c r="C32" s="1" t="n">
        <v>46091</v>
      </c>
      <c r="D32" t="inlineStr">
        <is>
          <t>DALARNAS LÄN</t>
        </is>
      </c>
      <c r="E32" t="inlineStr">
        <is>
          <t>SÄTER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47854-2021</t>
        </is>
      </c>
      <c r="B33" s="1" t="n">
        <v>44448</v>
      </c>
      <c r="C33" s="1" t="n">
        <v>46091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31610-2021</t>
        </is>
      </c>
      <c r="B34" s="1" t="n">
        <v>44369.58023148148</v>
      </c>
      <c r="C34" s="1" t="n">
        <v>46091</v>
      </c>
      <c r="D34" t="inlineStr">
        <is>
          <t>DALARNAS LÄN</t>
        </is>
      </c>
      <c r="E34" t="inlineStr">
        <is>
          <t>SÄTER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45935-2022</t>
        </is>
      </c>
      <c r="B35" s="1" t="n">
        <v>44846</v>
      </c>
      <c r="C35" s="1" t="n">
        <v>46091</v>
      </c>
      <c r="D35" t="inlineStr">
        <is>
          <t>DALARNAS LÄN</t>
        </is>
      </c>
      <c r="E35" t="inlineStr">
        <is>
          <t>SÄTER</t>
        </is>
      </c>
      <c r="G35" t="n">
        <v>8.5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26503-2022</t>
        </is>
      </c>
      <c r="B36" s="1" t="n">
        <v>44739</v>
      </c>
      <c r="C36" s="1" t="n">
        <v>46091</v>
      </c>
      <c r="D36" t="inlineStr">
        <is>
          <t>DALARNAS LÄN</t>
        </is>
      </c>
      <c r="E36" t="inlineStr">
        <is>
          <t>SÄTER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24204-2022</t>
        </is>
      </c>
      <c r="B37" s="1" t="n">
        <v>44725.58684027778</v>
      </c>
      <c r="C37" s="1" t="n">
        <v>46091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49883-2022</t>
        </is>
      </c>
      <c r="B38" s="1" t="n">
        <v>44864.60390046296</v>
      </c>
      <c r="C38" s="1" t="n">
        <v>46091</v>
      </c>
      <c r="D38" t="inlineStr">
        <is>
          <t>DALARNAS LÄN</t>
        </is>
      </c>
      <c r="E38" t="inlineStr">
        <is>
          <t>SÄTER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15922-2021</t>
        </is>
      </c>
      <c r="B39" s="1" t="n">
        <v>44287.39625</v>
      </c>
      <c r="C39" s="1" t="n">
        <v>46091</v>
      </c>
      <c r="D39" t="inlineStr">
        <is>
          <t>DALARNAS LÄN</t>
        </is>
      </c>
      <c r="E39" t="inlineStr">
        <is>
          <t>SÄTER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52262-2021</t>
        </is>
      </c>
      <c r="B40" s="1" t="n">
        <v>44463</v>
      </c>
      <c r="C40" s="1" t="n">
        <v>46091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41573-2021</t>
        </is>
      </c>
      <c r="B41" s="1" t="n">
        <v>44425.39621527777</v>
      </c>
      <c r="C41" s="1" t="n">
        <v>46091</v>
      </c>
      <c r="D41" t="inlineStr">
        <is>
          <t>DALARNAS LÄN</t>
        </is>
      </c>
      <c r="E41" t="inlineStr">
        <is>
          <t>SÄTER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72987-2021</t>
        </is>
      </c>
      <c r="B42" s="1" t="n">
        <v>44549.75856481482</v>
      </c>
      <c r="C42" s="1" t="n">
        <v>46091</v>
      </c>
      <c r="D42" t="inlineStr">
        <is>
          <t>DALARNAS LÄN</t>
        </is>
      </c>
      <c r="E42" t="inlineStr">
        <is>
          <t>SÄTER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65388-2021</t>
        </is>
      </c>
      <c r="B43" s="1" t="n">
        <v>44515.72233796296</v>
      </c>
      <c r="C43" s="1" t="n">
        <v>46091</v>
      </c>
      <c r="D43" t="inlineStr">
        <is>
          <t>DALARNAS LÄN</t>
        </is>
      </c>
      <c r="E43" t="inlineStr">
        <is>
          <t>SÄTER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64615-2021</t>
        </is>
      </c>
      <c r="B44" s="1" t="n">
        <v>44511.78369212963</v>
      </c>
      <c r="C44" s="1" t="n">
        <v>46091</v>
      </c>
      <c r="D44" t="inlineStr">
        <is>
          <t>DALARNAS LÄN</t>
        </is>
      </c>
      <c r="E44" t="inlineStr">
        <is>
          <t>SÄTER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26172-2022</t>
        </is>
      </c>
      <c r="B45" s="1" t="n">
        <v>44735.3494212963</v>
      </c>
      <c r="C45" s="1" t="n">
        <v>46091</v>
      </c>
      <c r="D45" t="inlineStr">
        <is>
          <t>DALARNAS LÄN</t>
        </is>
      </c>
      <c r="E45" t="inlineStr">
        <is>
          <t>SÄTER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39775-2021</t>
        </is>
      </c>
      <c r="B46" s="1" t="n">
        <v>44417.55564814815</v>
      </c>
      <c r="C46" s="1" t="n">
        <v>46091</v>
      </c>
      <c r="D46" t="inlineStr">
        <is>
          <t>DALARNAS LÄN</t>
        </is>
      </c>
      <c r="E46" t="inlineStr">
        <is>
          <t>SÄTER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19745-2021</t>
        </is>
      </c>
      <c r="B47" s="1" t="n">
        <v>44313.31770833334</v>
      </c>
      <c r="C47" s="1" t="n">
        <v>46091</v>
      </c>
      <c r="D47" t="inlineStr">
        <is>
          <t>DALARNAS LÄN</t>
        </is>
      </c>
      <c r="E47" t="inlineStr">
        <is>
          <t>SÄTER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18757-2022</t>
        </is>
      </c>
      <c r="B48" s="1" t="n">
        <v>44688.45394675926</v>
      </c>
      <c r="C48" s="1" t="n">
        <v>46091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72518-2021</t>
        </is>
      </c>
      <c r="B49" s="1" t="n">
        <v>44546.31119212963</v>
      </c>
      <c r="C49" s="1" t="n">
        <v>46091</v>
      </c>
      <c r="D49" t="inlineStr">
        <is>
          <t>DALARNAS LÄN</t>
        </is>
      </c>
      <c r="E49" t="inlineStr">
        <is>
          <t>SÄTER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24253-2022</t>
        </is>
      </c>
      <c r="B50" s="1" t="n">
        <v>44725</v>
      </c>
      <c r="C50" s="1" t="n">
        <v>46091</v>
      </c>
      <c r="D50" t="inlineStr">
        <is>
          <t>DALARNAS LÄN</t>
        </is>
      </c>
      <c r="E50" t="inlineStr">
        <is>
          <t>SÄTER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62389-2021</t>
        </is>
      </c>
      <c r="B51" s="1" t="n">
        <v>44503</v>
      </c>
      <c r="C51" s="1" t="n">
        <v>46091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61400-2021</t>
        </is>
      </c>
      <c r="B52" s="1" t="n">
        <v>44500</v>
      </c>
      <c r="C52" s="1" t="n">
        <v>46091</v>
      </c>
      <c r="D52" t="inlineStr">
        <is>
          <t>DALARNAS LÄN</t>
        </is>
      </c>
      <c r="E52" t="inlineStr">
        <is>
          <t>SÄTER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61934-2021</t>
        </is>
      </c>
      <c r="B53" s="1" t="n">
        <v>44502</v>
      </c>
      <c r="C53" s="1" t="n">
        <v>46091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6466-2022</t>
        </is>
      </c>
      <c r="B54" s="1" t="n">
        <v>44601</v>
      </c>
      <c r="C54" s="1" t="n">
        <v>46091</v>
      </c>
      <c r="D54" t="inlineStr">
        <is>
          <t>DALARNAS LÄN</t>
        </is>
      </c>
      <c r="E54" t="inlineStr">
        <is>
          <t>SÄTER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46494-2021</t>
        </is>
      </c>
      <c r="B55" s="1" t="n">
        <v>44445.39759259259</v>
      </c>
      <c r="C55" s="1" t="n">
        <v>46091</v>
      </c>
      <c r="D55" t="inlineStr">
        <is>
          <t>DALARNAS LÄN</t>
        </is>
      </c>
      <c r="E55" t="inlineStr">
        <is>
          <t>SÄTER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52190-2021</t>
        </is>
      </c>
      <c r="B56" s="1" t="n">
        <v>44462</v>
      </c>
      <c r="C56" s="1" t="n">
        <v>46091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59393-2021</t>
        </is>
      </c>
      <c r="B57" s="1" t="n">
        <v>44491</v>
      </c>
      <c r="C57" s="1" t="n">
        <v>46091</v>
      </c>
      <c r="D57" t="inlineStr">
        <is>
          <t>DALARNAS LÄN</t>
        </is>
      </c>
      <c r="E57" t="inlineStr">
        <is>
          <t>SÄTER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22905-2022</t>
        </is>
      </c>
      <c r="B58" s="1" t="n">
        <v>44715.60085648148</v>
      </c>
      <c r="C58" s="1" t="n">
        <v>46091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13900-2022</t>
        </is>
      </c>
      <c r="B59" s="1" t="n">
        <v>44650.3603125</v>
      </c>
      <c r="C59" s="1" t="n">
        <v>46091</v>
      </c>
      <c r="D59" t="inlineStr">
        <is>
          <t>DALARNAS LÄN</t>
        </is>
      </c>
      <c r="E59" t="inlineStr">
        <is>
          <t>SÄTER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28427-2022</t>
        </is>
      </c>
      <c r="B60" s="1" t="n">
        <v>44748</v>
      </c>
      <c r="C60" s="1" t="n">
        <v>46091</v>
      </c>
      <c r="D60" t="inlineStr">
        <is>
          <t>DALARNAS LÄN</t>
        </is>
      </c>
      <c r="E60" t="inlineStr">
        <is>
          <t>SÄTER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24223-2022</t>
        </is>
      </c>
      <c r="B61" s="1" t="n">
        <v>44725</v>
      </c>
      <c r="C61" s="1" t="n">
        <v>46091</v>
      </c>
      <c r="D61" t="inlineStr">
        <is>
          <t>DALARNAS LÄN</t>
        </is>
      </c>
      <c r="E61" t="inlineStr">
        <is>
          <t>SÄTER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38243-2022</t>
        </is>
      </c>
      <c r="B62" s="1" t="n">
        <v>44812</v>
      </c>
      <c r="C62" s="1" t="n">
        <v>46091</v>
      </c>
      <c r="D62" t="inlineStr">
        <is>
          <t>DALARNAS LÄN</t>
        </is>
      </c>
      <c r="E62" t="inlineStr">
        <is>
          <t>SÄTER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46577-2023</t>
        </is>
      </c>
      <c r="B63" s="1" t="n">
        <v>45198</v>
      </c>
      <c r="C63" s="1" t="n">
        <v>46091</v>
      </c>
      <c r="D63" t="inlineStr">
        <is>
          <t>DALARNAS LÄN</t>
        </is>
      </c>
      <c r="E63" t="inlineStr">
        <is>
          <t>SÄTER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3637-2024</t>
        </is>
      </c>
      <c r="B64" s="1" t="n">
        <v>45321</v>
      </c>
      <c r="C64" s="1" t="n">
        <v>46091</v>
      </c>
      <c r="D64" t="inlineStr">
        <is>
          <t>DALARNAS LÄN</t>
        </is>
      </c>
      <c r="E64" t="inlineStr">
        <is>
          <t>SÄTER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30256-2023</t>
        </is>
      </c>
      <c r="B65" s="1" t="n">
        <v>45110.70590277778</v>
      </c>
      <c r="C65" s="1" t="n">
        <v>46091</v>
      </c>
      <c r="D65" t="inlineStr">
        <is>
          <t>DALARNAS LÄN</t>
        </is>
      </c>
      <c r="E65" t="inlineStr">
        <is>
          <t>SÄTER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10150-2025</t>
        </is>
      </c>
      <c r="B66" s="1" t="n">
        <v>45719</v>
      </c>
      <c r="C66" s="1" t="n">
        <v>46091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33605-2022</t>
        </is>
      </c>
      <c r="B67" s="1" t="n">
        <v>44789.51010416666</v>
      </c>
      <c r="C67" s="1" t="n">
        <v>46091</v>
      </c>
      <c r="D67" t="inlineStr">
        <is>
          <t>DALARNAS LÄN</t>
        </is>
      </c>
      <c r="E67" t="inlineStr">
        <is>
          <t>SÄTER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49756-2021</t>
        </is>
      </c>
      <c r="B68" s="1" t="n">
        <v>44455</v>
      </c>
      <c r="C68" s="1" t="n">
        <v>46091</v>
      </c>
      <c r="D68" t="inlineStr">
        <is>
          <t>DALARNAS LÄN</t>
        </is>
      </c>
      <c r="E68" t="inlineStr">
        <is>
          <t>SÄTER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20337-2024</t>
        </is>
      </c>
      <c r="B69" s="1" t="n">
        <v>45435.43137731482</v>
      </c>
      <c r="C69" s="1" t="n">
        <v>46091</v>
      </c>
      <c r="D69" t="inlineStr">
        <is>
          <t>DALARNAS LÄN</t>
        </is>
      </c>
      <c r="E69" t="inlineStr">
        <is>
          <t>SÄTER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18313-2024</t>
        </is>
      </c>
      <c r="B70" s="1" t="n">
        <v>45422.49016203704</v>
      </c>
      <c r="C70" s="1" t="n">
        <v>46091</v>
      </c>
      <c r="D70" t="inlineStr">
        <is>
          <t>DALARNAS LÄN</t>
        </is>
      </c>
      <c r="E70" t="inlineStr">
        <is>
          <t>SÄTER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54440-2022</t>
        </is>
      </c>
      <c r="B71" s="1" t="n">
        <v>44882</v>
      </c>
      <c r="C71" s="1" t="n">
        <v>46091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11075-2024</t>
        </is>
      </c>
      <c r="B72" s="1" t="n">
        <v>45370</v>
      </c>
      <c r="C72" s="1" t="n">
        <v>46091</v>
      </c>
      <c r="D72" t="inlineStr">
        <is>
          <t>DALARNAS LÄN</t>
        </is>
      </c>
      <c r="E72" t="inlineStr">
        <is>
          <t>SÄTER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51405-2022</t>
        </is>
      </c>
      <c r="B73" s="1" t="n">
        <v>44869</v>
      </c>
      <c r="C73" s="1" t="n">
        <v>46091</v>
      </c>
      <c r="D73" t="inlineStr">
        <is>
          <t>DALARNAS LÄN</t>
        </is>
      </c>
      <c r="E73" t="inlineStr">
        <is>
          <t>SÄTER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16901-2024</t>
        </is>
      </c>
      <c r="B74" s="1" t="n">
        <v>45411.62793981482</v>
      </c>
      <c r="C74" s="1" t="n">
        <v>46091</v>
      </c>
      <c r="D74" t="inlineStr">
        <is>
          <t>DALARNAS LÄN</t>
        </is>
      </c>
      <c r="E74" t="inlineStr">
        <is>
          <t>SÄTER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41471-2023</t>
        </is>
      </c>
      <c r="B75" s="1" t="n">
        <v>45171</v>
      </c>
      <c r="C75" s="1" t="n">
        <v>46091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49684-2024</t>
        </is>
      </c>
      <c r="B76" s="1" t="n">
        <v>45596.67398148148</v>
      </c>
      <c r="C76" s="1" t="n">
        <v>46091</v>
      </c>
      <c r="D76" t="inlineStr">
        <is>
          <t>DALARNAS LÄN</t>
        </is>
      </c>
      <c r="E76" t="inlineStr">
        <is>
          <t>SÄTER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21583-2025</t>
        </is>
      </c>
      <c r="B77" s="1" t="n">
        <v>45783.28149305555</v>
      </c>
      <c r="C77" s="1" t="n">
        <v>46091</v>
      </c>
      <c r="D77" t="inlineStr">
        <is>
          <t>DALARNAS LÄN</t>
        </is>
      </c>
      <c r="E77" t="inlineStr">
        <is>
          <t>SÄTER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38264-2025</t>
        </is>
      </c>
      <c r="B78" s="1" t="n">
        <v>45883.40178240741</v>
      </c>
      <c r="C78" s="1" t="n">
        <v>46091</v>
      </c>
      <c r="D78" t="inlineStr">
        <is>
          <t>DALARNAS LÄN</t>
        </is>
      </c>
      <c r="E78" t="inlineStr">
        <is>
          <t>SÄTER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19322-2024</t>
        </is>
      </c>
      <c r="B79" s="1" t="n">
        <v>45428.91826388889</v>
      </c>
      <c r="C79" s="1" t="n">
        <v>46091</v>
      </c>
      <c r="D79" t="inlineStr">
        <is>
          <t>DALARNAS LÄN</t>
        </is>
      </c>
      <c r="E79" t="inlineStr">
        <is>
          <t>SÄTER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37440-2022</t>
        </is>
      </c>
      <c r="B80" s="1" t="n">
        <v>44809</v>
      </c>
      <c r="C80" s="1" t="n">
        <v>46091</v>
      </c>
      <c r="D80" t="inlineStr">
        <is>
          <t>DALARNAS LÄN</t>
        </is>
      </c>
      <c r="E80" t="inlineStr">
        <is>
          <t>SÄTER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16832-2024</t>
        </is>
      </c>
      <c r="B81" s="1" t="n">
        <v>45411.48168981481</v>
      </c>
      <c r="C81" s="1" t="n">
        <v>46091</v>
      </c>
      <c r="D81" t="inlineStr">
        <is>
          <t>DALARNAS LÄN</t>
        </is>
      </c>
      <c r="E81" t="inlineStr">
        <is>
          <t>SÄTER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23810-2024</t>
        </is>
      </c>
      <c r="B82" s="1" t="n">
        <v>45455.44628472222</v>
      </c>
      <c r="C82" s="1" t="n">
        <v>46091</v>
      </c>
      <c r="D82" t="inlineStr">
        <is>
          <t>DALARNAS LÄN</t>
        </is>
      </c>
      <c r="E82" t="inlineStr">
        <is>
          <t>SÄTER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59707-2022</t>
        </is>
      </c>
      <c r="B83" s="1" t="n">
        <v>44908</v>
      </c>
      <c r="C83" s="1" t="n">
        <v>46091</v>
      </c>
      <c r="D83" t="inlineStr">
        <is>
          <t>DALARNAS LÄN</t>
        </is>
      </c>
      <c r="E83" t="inlineStr">
        <is>
          <t>SÄTER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49661-2021</t>
        </is>
      </c>
      <c r="B84" s="1" t="n">
        <v>44455.4653125</v>
      </c>
      <c r="C84" s="1" t="n">
        <v>46091</v>
      </c>
      <c r="D84" t="inlineStr">
        <is>
          <t>DALARNAS LÄN</t>
        </is>
      </c>
      <c r="E84" t="inlineStr">
        <is>
          <t>SÄTER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51824-2025</t>
        </is>
      </c>
      <c r="B85" s="1" t="n">
        <v>45951</v>
      </c>
      <c r="C85" s="1" t="n">
        <v>46091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19767-2024</t>
        </is>
      </c>
      <c r="B86" s="1" t="n">
        <v>45432.7103125</v>
      </c>
      <c r="C86" s="1" t="n">
        <v>46091</v>
      </c>
      <c r="D86" t="inlineStr">
        <is>
          <t>DALARNAS LÄN</t>
        </is>
      </c>
      <c r="E86" t="inlineStr">
        <is>
          <t>SÄTER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51826-2025</t>
        </is>
      </c>
      <c r="B87" s="1" t="n">
        <v>45951</v>
      </c>
      <c r="C87" s="1" t="n">
        <v>46091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15.1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51827-2025</t>
        </is>
      </c>
      <c r="B88" s="1" t="n">
        <v>45951</v>
      </c>
      <c r="C88" s="1" t="n">
        <v>46091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23804-2024</t>
        </is>
      </c>
      <c r="B89" s="1" t="n">
        <v>45455.44012731482</v>
      </c>
      <c r="C89" s="1" t="n">
        <v>46091</v>
      </c>
      <c r="D89" t="inlineStr">
        <is>
          <t>DALARNAS LÄN</t>
        </is>
      </c>
      <c r="E89" t="inlineStr">
        <is>
          <t>SÄTER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64565-2023</t>
        </is>
      </c>
      <c r="B90" s="1" t="n">
        <v>45281</v>
      </c>
      <c r="C90" s="1" t="n">
        <v>46091</v>
      </c>
      <c r="D90" t="inlineStr">
        <is>
          <t>DALARNAS LÄN</t>
        </is>
      </c>
      <c r="E90" t="inlineStr">
        <is>
          <t>SÄTER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64610-2023</t>
        </is>
      </c>
      <c r="B91" s="1" t="n">
        <v>45281</v>
      </c>
      <c r="C91" s="1" t="n">
        <v>46091</v>
      </c>
      <c r="D91" t="inlineStr">
        <is>
          <t>DALARNAS LÄN</t>
        </is>
      </c>
      <c r="E91" t="inlineStr">
        <is>
          <t>SÄTER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52173-2025</t>
        </is>
      </c>
      <c r="B92" s="1" t="n">
        <v>45953.37302083334</v>
      </c>
      <c r="C92" s="1" t="n">
        <v>46091</v>
      </c>
      <c r="D92" t="inlineStr">
        <is>
          <t>DALARNAS LÄN</t>
        </is>
      </c>
      <c r="E92" t="inlineStr">
        <is>
          <t>SÄTER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52422-2025</t>
        </is>
      </c>
      <c r="B93" s="1" t="n">
        <v>45954.37292824074</v>
      </c>
      <c r="C93" s="1" t="n">
        <v>46091</v>
      </c>
      <c r="D93" t="inlineStr">
        <is>
          <t>DALARNAS LÄN</t>
        </is>
      </c>
      <c r="E93" t="inlineStr">
        <is>
          <t>SÄTER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16840-2024</t>
        </is>
      </c>
      <c r="B94" s="1" t="n">
        <v>45411.49284722222</v>
      </c>
      <c r="C94" s="1" t="n">
        <v>46091</v>
      </c>
      <c r="D94" t="inlineStr">
        <is>
          <t>DALARNAS LÄN</t>
        </is>
      </c>
      <c r="E94" t="inlineStr">
        <is>
          <t>SÄTER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22970-2025</t>
        </is>
      </c>
      <c r="B95" s="1" t="n">
        <v>45790</v>
      </c>
      <c r="C95" s="1" t="n">
        <v>46091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45225-2022</t>
        </is>
      </c>
      <c r="B96" s="1" t="n">
        <v>44840</v>
      </c>
      <c r="C96" s="1" t="n">
        <v>46091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4407-2023</t>
        </is>
      </c>
      <c r="B97" s="1" t="n">
        <v>44956</v>
      </c>
      <c r="C97" s="1" t="n">
        <v>46091</v>
      </c>
      <c r="D97" t="inlineStr">
        <is>
          <t>DALARNAS LÄN</t>
        </is>
      </c>
      <c r="E97" t="inlineStr">
        <is>
          <t>SÄTER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36590-2024</t>
        </is>
      </c>
      <c r="B98" s="1" t="n">
        <v>45537.54650462963</v>
      </c>
      <c r="C98" s="1" t="n">
        <v>46091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6640-2025</t>
        </is>
      </c>
      <c r="B99" s="1" t="n">
        <v>45700.38395833333</v>
      </c>
      <c r="C99" s="1" t="n">
        <v>46091</v>
      </c>
      <c r="D99" t="inlineStr">
        <is>
          <t>DALARNAS LÄN</t>
        </is>
      </c>
      <c r="E99" t="inlineStr">
        <is>
          <t>SÄTER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1123-2025</t>
        </is>
      </c>
      <c r="B100" s="1" t="n">
        <v>45666.66917824074</v>
      </c>
      <c r="C100" s="1" t="n">
        <v>46091</v>
      </c>
      <c r="D100" t="inlineStr">
        <is>
          <t>DALARNAS LÄN</t>
        </is>
      </c>
      <c r="E100" t="inlineStr">
        <is>
          <t>SÄTER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64788-2023</t>
        </is>
      </c>
      <c r="B101" s="1" t="n">
        <v>45282</v>
      </c>
      <c r="C101" s="1" t="n">
        <v>46091</v>
      </c>
      <c r="D101" t="inlineStr">
        <is>
          <t>DALARNAS LÄN</t>
        </is>
      </c>
      <c r="E101" t="inlineStr">
        <is>
          <t>SÄTER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13363-2021</t>
        </is>
      </c>
      <c r="B102" s="1" t="n">
        <v>44273.38966435185</v>
      </c>
      <c r="C102" s="1" t="n">
        <v>46091</v>
      </c>
      <c r="D102" t="inlineStr">
        <is>
          <t>DALARNAS LÄN</t>
        </is>
      </c>
      <c r="E102" t="inlineStr">
        <is>
          <t>SÄTER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33374-2024</t>
        </is>
      </c>
      <c r="B103" s="1" t="n">
        <v>45519.43871527778</v>
      </c>
      <c r="C103" s="1" t="n">
        <v>46091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10404-2024</t>
        </is>
      </c>
      <c r="B104" s="1" t="n">
        <v>45365</v>
      </c>
      <c r="C104" s="1" t="n">
        <v>46091</v>
      </c>
      <c r="D104" t="inlineStr">
        <is>
          <t>DALARNAS LÄN</t>
        </is>
      </c>
      <c r="E104" t="inlineStr">
        <is>
          <t>SÄTER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21911-2024</t>
        </is>
      </c>
      <c r="B105" s="1" t="n">
        <v>45443.36738425926</v>
      </c>
      <c r="C105" s="1" t="n">
        <v>46091</v>
      </c>
      <c r="D105" t="inlineStr">
        <is>
          <t>DALARNAS LÄN</t>
        </is>
      </c>
      <c r="E105" t="inlineStr">
        <is>
          <t>SÄTER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29321-2025</t>
        </is>
      </c>
      <c r="B106" s="1" t="n">
        <v>45824.47616898148</v>
      </c>
      <c r="C106" s="1" t="n">
        <v>46091</v>
      </c>
      <c r="D106" t="inlineStr">
        <is>
          <t>DALARNAS LÄN</t>
        </is>
      </c>
      <c r="E106" t="inlineStr">
        <is>
          <t>SÄTER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5698-2024</t>
        </is>
      </c>
      <c r="B107" s="1" t="n">
        <v>45334.72344907407</v>
      </c>
      <c r="C107" s="1" t="n">
        <v>46091</v>
      </c>
      <c r="D107" t="inlineStr">
        <is>
          <t>DALARNAS LÄN</t>
        </is>
      </c>
      <c r="E107" t="inlineStr">
        <is>
          <t>SÄTER</t>
        </is>
      </c>
      <c r="F107" t="inlineStr">
        <is>
          <t>Kommuner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51323-2024</t>
        </is>
      </c>
      <c r="B108" s="1" t="n">
        <v>45604.33197916667</v>
      </c>
      <c r="C108" s="1" t="n">
        <v>46091</v>
      </c>
      <c r="D108" t="inlineStr">
        <is>
          <t>DALARNAS LÄN</t>
        </is>
      </c>
      <c r="E108" t="inlineStr">
        <is>
          <t>SÄTER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1276-2022</t>
        </is>
      </c>
      <c r="B109" s="1" t="n">
        <v>44572</v>
      </c>
      <c r="C109" s="1" t="n">
        <v>46091</v>
      </c>
      <c r="D109" t="inlineStr">
        <is>
          <t>DALARNAS LÄN</t>
        </is>
      </c>
      <c r="E109" t="inlineStr">
        <is>
          <t>SÄTER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33482-2023</t>
        </is>
      </c>
      <c r="B110" s="1" t="n">
        <v>45118</v>
      </c>
      <c r="C110" s="1" t="n">
        <v>46091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52452-2025</t>
        </is>
      </c>
      <c r="B111" s="1" t="n">
        <v>45954.42386574074</v>
      </c>
      <c r="C111" s="1" t="n">
        <v>46091</v>
      </c>
      <c r="D111" t="inlineStr">
        <is>
          <t>DALARNAS LÄN</t>
        </is>
      </c>
      <c r="E111" t="inlineStr">
        <is>
          <t>SÄTER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36481-2024</t>
        </is>
      </c>
      <c r="B112" s="1" t="n">
        <v>45537.37413194445</v>
      </c>
      <c r="C112" s="1" t="n">
        <v>46091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50501-2022</t>
        </is>
      </c>
      <c r="B113" s="1" t="n">
        <v>44866.54778935185</v>
      </c>
      <c r="C113" s="1" t="n">
        <v>46091</v>
      </c>
      <c r="D113" t="inlineStr">
        <is>
          <t>DALARNAS LÄN</t>
        </is>
      </c>
      <c r="E113" t="inlineStr">
        <is>
          <t>SÄTER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36939-2025</t>
        </is>
      </c>
      <c r="B114" s="1" t="n">
        <v>45874</v>
      </c>
      <c r="C114" s="1" t="n">
        <v>46091</v>
      </c>
      <c r="D114" t="inlineStr">
        <is>
          <t>DALARNAS LÄN</t>
        </is>
      </c>
      <c r="E114" t="inlineStr">
        <is>
          <t>SÄTER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25294-2024</t>
        </is>
      </c>
      <c r="B115" s="1" t="n">
        <v>45462.65965277778</v>
      </c>
      <c r="C115" s="1" t="n">
        <v>46091</v>
      </c>
      <c r="D115" t="inlineStr">
        <is>
          <t>DALARNAS LÄN</t>
        </is>
      </c>
      <c r="E115" t="inlineStr">
        <is>
          <t>SÄTER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12285-2024</t>
        </is>
      </c>
      <c r="B116" s="1" t="n">
        <v>45377</v>
      </c>
      <c r="C116" s="1" t="n">
        <v>46091</v>
      </c>
      <c r="D116" t="inlineStr">
        <is>
          <t>DALARNAS LÄN</t>
        </is>
      </c>
      <c r="E116" t="inlineStr">
        <is>
          <t>SÄTER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12225-2025</t>
        </is>
      </c>
      <c r="B117" s="1" t="n">
        <v>45729.5565162037</v>
      </c>
      <c r="C117" s="1" t="n">
        <v>46091</v>
      </c>
      <c r="D117" t="inlineStr">
        <is>
          <t>DALARNAS LÄN</t>
        </is>
      </c>
      <c r="E117" t="inlineStr">
        <is>
          <t>SÄTER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14172-2025</t>
        </is>
      </c>
      <c r="B118" s="1" t="n">
        <v>45740</v>
      </c>
      <c r="C118" s="1" t="n">
        <v>46091</v>
      </c>
      <c r="D118" t="inlineStr">
        <is>
          <t>DALARNAS LÄN</t>
        </is>
      </c>
      <c r="E118" t="inlineStr">
        <is>
          <t>SÄTER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14175-2025</t>
        </is>
      </c>
      <c r="B119" s="1" t="n">
        <v>45740</v>
      </c>
      <c r="C119" s="1" t="n">
        <v>46091</v>
      </c>
      <c r="D119" t="inlineStr">
        <is>
          <t>DALARNAS LÄN</t>
        </is>
      </c>
      <c r="E119" t="inlineStr">
        <is>
          <t>SÄTER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5543-2022</t>
        </is>
      </c>
      <c r="B120" s="1" t="n">
        <v>44595.60778935185</v>
      </c>
      <c r="C120" s="1" t="n">
        <v>46091</v>
      </c>
      <c r="D120" t="inlineStr">
        <is>
          <t>DALARNAS LÄN</t>
        </is>
      </c>
      <c r="E120" t="inlineStr">
        <is>
          <t>SÄTER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8117-2022</t>
        </is>
      </c>
      <c r="B121" s="1" t="n">
        <v>44609.58159722222</v>
      </c>
      <c r="C121" s="1" t="n">
        <v>46091</v>
      </c>
      <c r="D121" t="inlineStr">
        <is>
          <t>DALARNAS LÄN</t>
        </is>
      </c>
      <c r="E121" t="inlineStr">
        <is>
          <t>SÄTER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53233-2025</t>
        </is>
      </c>
      <c r="B122" s="1" t="n">
        <v>45958.62429398148</v>
      </c>
      <c r="C122" s="1" t="n">
        <v>46091</v>
      </c>
      <c r="D122" t="inlineStr">
        <is>
          <t>DALARNAS LÄN</t>
        </is>
      </c>
      <c r="E122" t="inlineStr">
        <is>
          <t>SÄTER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43725-2021</t>
        </is>
      </c>
      <c r="B123" s="1" t="n">
        <v>44433</v>
      </c>
      <c r="C123" s="1" t="n">
        <v>46091</v>
      </c>
      <c r="D123" t="inlineStr">
        <is>
          <t>DALARNAS LÄN</t>
        </is>
      </c>
      <c r="E123" t="inlineStr">
        <is>
          <t>SÄTER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41556-2021</t>
        </is>
      </c>
      <c r="B124" s="1" t="n">
        <v>44425</v>
      </c>
      <c r="C124" s="1" t="n">
        <v>46091</v>
      </c>
      <c r="D124" t="inlineStr">
        <is>
          <t>DALARNAS LÄN</t>
        </is>
      </c>
      <c r="E124" t="inlineStr">
        <is>
          <t>SÄTER</t>
        </is>
      </c>
      <c r="G124" t="n">
        <v>10.8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7562-2023</t>
        </is>
      </c>
      <c r="B125" s="1" t="n">
        <v>44972.35152777778</v>
      </c>
      <c r="C125" s="1" t="n">
        <v>46091</v>
      </c>
      <c r="D125" t="inlineStr">
        <is>
          <t>DALARNAS LÄN</t>
        </is>
      </c>
      <c r="E125" t="inlineStr">
        <is>
          <t>SÄTER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34196-2023</t>
        </is>
      </c>
      <c r="B126" s="1" t="n">
        <v>45138.42768518518</v>
      </c>
      <c r="C126" s="1" t="n">
        <v>46091</v>
      </c>
      <c r="D126" t="inlineStr">
        <is>
          <t>DALARNAS LÄN</t>
        </is>
      </c>
      <c r="E126" t="inlineStr">
        <is>
          <t>SÄTER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42674-2025</t>
        </is>
      </c>
      <c r="B127" s="1" t="n">
        <v>45905</v>
      </c>
      <c r="C127" s="1" t="n">
        <v>46091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60569-2024</t>
        </is>
      </c>
      <c r="B128" s="1" t="n">
        <v>45644.31773148148</v>
      </c>
      <c r="C128" s="1" t="n">
        <v>46091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42691-2025</t>
        </is>
      </c>
      <c r="B129" s="1" t="n">
        <v>45905</v>
      </c>
      <c r="C129" s="1" t="n">
        <v>46091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25793-2025</t>
        </is>
      </c>
      <c r="B130" s="1" t="n">
        <v>45804.39335648148</v>
      </c>
      <c r="C130" s="1" t="n">
        <v>46091</v>
      </c>
      <c r="D130" t="inlineStr">
        <is>
          <t>DALARNAS LÄN</t>
        </is>
      </c>
      <c r="E130" t="inlineStr">
        <is>
          <t>SÄTER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3342-2022</t>
        </is>
      </c>
      <c r="B131" s="1" t="n">
        <v>44585</v>
      </c>
      <c r="C131" s="1" t="n">
        <v>46091</v>
      </c>
      <c r="D131" t="inlineStr">
        <is>
          <t>DALARNAS LÄN</t>
        </is>
      </c>
      <c r="E131" t="inlineStr">
        <is>
          <t>SÄTER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39262-2021</t>
        </is>
      </c>
      <c r="B132" s="1" t="n">
        <v>44413</v>
      </c>
      <c r="C132" s="1" t="n">
        <v>46091</v>
      </c>
      <c r="D132" t="inlineStr">
        <is>
          <t>DALARNAS LÄN</t>
        </is>
      </c>
      <c r="E132" t="inlineStr">
        <is>
          <t>SÄTER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43075-2025</t>
        </is>
      </c>
      <c r="B133" s="1" t="n">
        <v>45909.60118055555</v>
      </c>
      <c r="C133" s="1" t="n">
        <v>46091</v>
      </c>
      <c r="D133" t="inlineStr">
        <is>
          <t>DALARNAS LÄN</t>
        </is>
      </c>
      <c r="E133" t="inlineStr">
        <is>
          <t>SÄTER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26057-2025</t>
        </is>
      </c>
      <c r="B134" s="1" t="n">
        <v>45804.81481481482</v>
      </c>
      <c r="C134" s="1" t="n">
        <v>46091</v>
      </c>
      <c r="D134" t="inlineStr">
        <is>
          <t>DALARNAS LÄN</t>
        </is>
      </c>
      <c r="E134" t="inlineStr">
        <is>
          <t>SÄTER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43610-2025</t>
        </is>
      </c>
      <c r="B135" s="1" t="n">
        <v>45911.67565972222</v>
      </c>
      <c r="C135" s="1" t="n">
        <v>46091</v>
      </c>
      <c r="D135" t="inlineStr">
        <is>
          <t>DALARNAS LÄN</t>
        </is>
      </c>
      <c r="E135" t="inlineStr">
        <is>
          <t>SÄTER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43553-2025</t>
        </is>
      </c>
      <c r="B136" s="1" t="n">
        <v>45911.62171296297</v>
      </c>
      <c r="C136" s="1" t="n">
        <v>46091</v>
      </c>
      <c r="D136" t="inlineStr">
        <is>
          <t>DALARNAS LÄN</t>
        </is>
      </c>
      <c r="E136" t="inlineStr">
        <is>
          <t>SÄTER</t>
        </is>
      </c>
      <c r="F136" t="inlineStr">
        <is>
          <t>Bergvik skog väst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53559-2025</t>
        </is>
      </c>
      <c r="B137" s="1" t="n">
        <v>45960</v>
      </c>
      <c r="C137" s="1" t="n">
        <v>46091</v>
      </c>
      <c r="D137" t="inlineStr">
        <is>
          <t>DALARNAS LÄN</t>
        </is>
      </c>
      <c r="E137" t="inlineStr">
        <is>
          <t>SÄTER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53540-2025</t>
        </is>
      </c>
      <c r="B138" s="1" t="n">
        <v>45960.37891203703</v>
      </c>
      <c r="C138" s="1" t="n">
        <v>46091</v>
      </c>
      <c r="D138" t="inlineStr">
        <is>
          <t>DALARNAS LÄN</t>
        </is>
      </c>
      <c r="E138" t="inlineStr">
        <is>
          <t>SÄTER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59386-2024</t>
        </is>
      </c>
      <c r="B139" s="1" t="n">
        <v>45638.3634375</v>
      </c>
      <c r="C139" s="1" t="n">
        <v>46091</v>
      </c>
      <c r="D139" t="inlineStr">
        <is>
          <t>DALARNAS LÄN</t>
        </is>
      </c>
      <c r="E139" t="inlineStr">
        <is>
          <t>SÄTER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44196-2025</t>
        </is>
      </c>
      <c r="B140" s="1" t="n">
        <v>45915.61925925926</v>
      </c>
      <c r="C140" s="1" t="n">
        <v>46091</v>
      </c>
      <c r="D140" t="inlineStr">
        <is>
          <t>DALARNAS LÄN</t>
        </is>
      </c>
      <c r="E140" t="inlineStr">
        <is>
          <t>SÄTER</t>
        </is>
      </c>
      <c r="F140" t="inlineStr">
        <is>
          <t>Bergvik skog väst AB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42806-2024</t>
        </is>
      </c>
      <c r="B141" s="1" t="n">
        <v>45566.56789351852</v>
      </c>
      <c r="C141" s="1" t="n">
        <v>46091</v>
      </c>
      <c r="D141" t="inlineStr">
        <is>
          <t>DALARNAS LÄN</t>
        </is>
      </c>
      <c r="E141" t="inlineStr">
        <is>
          <t>SÄTER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5232-2022</t>
        </is>
      </c>
      <c r="B142" s="1" t="n">
        <v>44594</v>
      </c>
      <c r="C142" s="1" t="n">
        <v>46091</v>
      </c>
      <c r="D142" t="inlineStr">
        <is>
          <t>DALARNAS LÄN</t>
        </is>
      </c>
      <c r="E142" t="inlineStr">
        <is>
          <t>SÄTER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26604-2025</t>
        </is>
      </c>
      <c r="B143" s="1" t="n">
        <v>45809.84229166667</v>
      </c>
      <c r="C143" s="1" t="n">
        <v>46091</v>
      </c>
      <c r="D143" t="inlineStr">
        <is>
          <t>DALARNAS LÄN</t>
        </is>
      </c>
      <c r="E143" t="inlineStr">
        <is>
          <t>SÄTER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32886-2022</t>
        </is>
      </c>
      <c r="B144" s="1" t="n">
        <v>44784.55162037037</v>
      </c>
      <c r="C144" s="1" t="n">
        <v>46091</v>
      </c>
      <c r="D144" t="inlineStr">
        <is>
          <t>DALARNAS LÄN</t>
        </is>
      </c>
      <c r="E144" t="inlineStr">
        <is>
          <t>SÄTER</t>
        </is>
      </c>
      <c r="G144" t="n">
        <v>10.9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26940-2025</t>
        </is>
      </c>
      <c r="B145" s="1" t="n">
        <v>45811</v>
      </c>
      <c r="C145" s="1" t="n">
        <v>46091</v>
      </c>
      <c r="D145" t="inlineStr">
        <is>
          <t>DALARNAS LÄN</t>
        </is>
      </c>
      <c r="E145" t="inlineStr">
        <is>
          <t>SÄTER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27018-2025</t>
        </is>
      </c>
      <c r="B146" s="1" t="n">
        <v>45811</v>
      </c>
      <c r="C146" s="1" t="n">
        <v>46091</v>
      </c>
      <c r="D146" t="inlineStr">
        <is>
          <t>DALARNAS LÄN</t>
        </is>
      </c>
      <c r="E146" t="inlineStr">
        <is>
          <t>SÄTER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27057-2025</t>
        </is>
      </c>
      <c r="B147" s="1" t="n">
        <v>45811.63216435185</v>
      </c>
      <c r="C147" s="1" t="n">
        <v>46091</v>
      </c>
      <c r="D147" t="inlineStr">
        <is>
          <t>DALARNAS LÄN</t>
        </is>
      </c>
      <c r="E147" t="inlineStr">
        <is>
          <t>SÄTER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39780-2024</t>
        </is>
      </c>
      <c r="B148" s="1" t="n">
        <v>45552.88579861111</v>
      </c>
      <c r="C148" s="1" t="n">
        <v>46091</v>
      </c>
      <c r="D148" t="inlineStr">
        <is>
          <t>DALARNAS LÄN</t>
        </is>
      </c>
      <c r="E148" t="inlineStr">
        <is>
          <t>SÄTER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27006-2025</t>
        </is>
      </c>
      <c r="B149" s="1" t="n">
        <v>45811</v>
      </c>
      <c r="C149" s="1" t="n">
        <v>46091</v>
      </c>
      <c r="D149" t="inlineStr">
        <is>
          <t>DALARNAS LÄN</t>
        </is>
      </c>
      <c r="E149" t="inlineStr">
        <is>
          <t>SÄTER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35163-2023</t>
        </is>
      </c>
      <c r="B150" s="1" t="n">
        <v>45145</v>
      </c>
      <c r="C150" s="1" t="n">
        <v>46091</v>
      </c>
      <c r="D150" t="inlineStr">
        <is>
          <t>DALARNAS LÄN</t>
        </is>
      </c>
      <c r="E150" t="inlineStr">
        <is>
          <t>SÄTER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29230-2025</t>
        </is>
      </c>
      <c r="B151" s="1" t="n">
        <v>45824.34381944445</v>
      </c>
      <c r="C151" s="1" t="n">
        <v>46091</v>
      </c>
      <c r="D151" t="inlineStr">
        <is>
          <t>DALARNAS LÄN</t>
        </is>
      </c>
      <c r="E151" t="inlineStr">
        <is>
          <t>SÄTER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43770-2024</t>
        </is>
      </c>
      <c r="B152" s="1" t="n">
        <v>45569.84101851852</v>
      </c>
      <c r="C152" s="1" t="n">
        <v>46091</v>
      </c>
      <c r="D152" t="inlineStr">
        <is>
          <t>DALARNAS LÄN</t>
        </is>
      </c>
      <c r="E152" t="inlineStr">
        <is>
          <t>SÄTER</t>
        </is>
      </c>
      <c r="G152" t="n">
        <v>13.2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19747-2025</t>
        </is>
      </c>
      <c r="B153" s="1" t="n">
        <v>45771</v>
      </c>
      <c r="C153" s="1" t="n">
        <v>46091</v>
      </c>
      <c r="D153" t="inlineStr">
        <is>
          <t>DALARNAS LÄN</t>
        </is>
      </c>
      <c r="E153" t="inlineStr">
        <is>
          <t>SÄTER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53878-2025</t>
        </is>
      </c>
      <c r="B154" s="1" t="n">
        <v>45961.39585648148</v>
      </c>
      <c r="C154" s="1" t="n">
        <v>46091</v>
      </c>
      <c r="D154" t="inlineStr">
        <is>
          <t>DALARNAS LÄN</t>
        </is>
      </c>
      <c r="E154" t="inlineStr">
        <is>
          <t>SÄTER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45668-2025</t>
        </is>
      </c>
      <c r="B155" s="1" t="n">
        <v>45923.3503587963</v>
      </c>
      <c r="C155" s="1" t="n">
        <v>46091</v>
      </c>
      <c r="D155" t="inlineStr">
        <is>
          <t>DALARNAS LÄN</t>
        </is>
      </c>
      <c r="E155" t="inlineStr">
        <is>
          <t>SÄTER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45099-2024</t>
        </is>
      </c>
      <c r="B156" s="1" t="n">
        <v>45575.58675925926</v>
      </c>
      <c r="C156" s="1" t="n">
        <v>46091</v>
      </c>
      <c r="D156" t="inlineStr">
        <is>
          <t>DALARNAS LÄN</t>
        </is>
      </c>
      <c r="E156" t="inlineStr">
        <is>
          <t>SÄTER</t>
        </is>
      </c>
      <c r="F156" t="inlineStr">
        <is>
          <t>Bergvik skog väst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54246-2025</t>
        </is>
      </c>
      <c r="B157" s="1" t="n">
        <v>45964.64024305555</v>
      </c>
      <c r="C157" s="1" t="n">
        <v>46091</v>
      </c>
      <c r="D157" t="inlineStr">
        <is>
          <t>DALARNAS LÄN</t>
        </is>
      </c>
      <c r="E157" t="inlineStr">
        <is>
          <t>SÄTER</t>
        </is>
      </c>
      <c r="F157" t="inlineStr">
        <is>
          <t>Bergvik skog väst AB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46494-2025</t>
        </is>
      </c>
      <c r="B158" s="1" t="n">
        <v>45925</v>
      </c>
      <c r="C158" s="1" t="n">
        <v>46091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15.2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46495-2025</t>
        </is>
      </c>
      <c r="B159" s="1" t="n">
        <v>45925</v>
      </c>
      <c r="C159" s="1" t="n">
        <v>46091</v>
      </c>
      <c r="D159" t="inlineStr">
        <is>
          <t>DALARNAS LÄN</t>
        </is>
      </c>
      <c r="E159" t="inlineStr">
        <is>
          <t>SÄTER</t>
        </is>
      </c>
      <c r="F159" t="inlineStr">
        <is>
          <t>Bergvik skog väst AB</t>
        </is>
      </c>
      <c r="G159" t="n">
        <v>41.4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28852-2025</t>
        </is>
      </c>
      <c r="B160" s="1" t="n">
        <v>45820.57768518518</v>
      </c>
      <c r="C160" s="1" t="n">
        <v>46091</v>
      </c>
      <c r="D160" t="inlineStr">
        <is>
          <t>DALARNAS LÄN</t>
        </is>
      </c>
      <c r="E160" t="inlineStr">
        <is>
          <t>SÄTER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47280-2025</t>
        </is>
      </c>
      <c r="B161" s="1" t="n">
        <v>45930.47725694445</v>
      </c>
      <c r="C161" s="1" t="n">
        <v>46091</v>
      </c>
      <c r="D161" t="inlineStr">
        <is>
          <t>DALARNAS LÄN</t>
        </is>
      </c>
      <c r="E161" t="inlineStr">
        <is>
          <t>SÄTER</t>
        </is>
      </c>
      <c r="F161" t="inlineStr">
        <is>
          <t>Bergvik skog väst AB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29225-2025</t>
        </is>
      </c>
      <c r="B162" s="1" t="n">
        <v>45824.33739583333</v>
      </c>
      <c r="C162" s="1" t="n">
        <v>46091</v>
      </c>
      <c r="D162" t="inlineStr">
        <is>
          <t>DALARNAS LÄN</t>
        </is>
      </c>
      <c r="E162" t="inlineStr">
        <is>
          <t>SÄTER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46891-2025</t>
        </is>
      </c>
      <c r="B163" s="1" t="n">
        <v>45929.37491898148</v>
      </c>
      <c r="C163" s="1" t="n">
        <v>46091</v>
      </c>
      <c r="D163" t="inlineStr">
        <is>
          <t>DALARNAS LÄN</t>
        </is>
      </c>
      <c r="E163" t="inlineStr">
        <is>
          <t>SÄTER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14931-2024</t>
        </is>
      </c>
      <c r="B164" s="1" t="n">
        <v>45398.64800925926</v>
      </c>
      <c r="C164" s="1" t="n">
        <v>46091</v>
      </c>
      <c r="D164" t="inlineStr">
        <is>
          <t>DALARNAS LÄN</t>
        </is>
      </c>
      <c r="E164" t="inlineStr">
        <is>
          <t>SÄTER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41664-2024</t>
        </is>
      </c>
      <c r="B165" s="1" t="n">
        <v>45560</v>
      </c>
      <c r="C165" s="1" t="n">
        <v>46091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11.8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45476-2024</t>
        </is>
      </c>
      <c r="B166" s="1" t="n">
        <v>45576</v>
      </c>
      <c r="C166" s="1" t="n">
        <v>46091</v>
      </c>
      <c r="D166" t="inlineStr">
        <is>
          <t>DALARNAS LÄN</t>
        </is>
      </c>
      <c r="E166" t="inlineStr">
        <is>
          <t>SÄTER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47661-2025</t>
        </is>
      </c>
      <c r="B167" s="1" t="n">
        <v>45931.56057870371</v>
      </c>
      <c r="C167" s="1" t="n">
        <v>46091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13.8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40671-2023</t>
        </is>
      </c>
      <c r="B168" s="1" t="n">
        <v>45170</v>
      </c>
      <c r="C168" s="1" t="n">
        <v>46091</v>
      </c>
      <c r="D168" t="inlineStr">
        <is>
          <t>DALARNAS LÄN</t>
        </is>
      </c>
      <c r="E168" t="inlineStr">
        <is>
          <t>SÄTER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42998-2023</t>
        </is>
      </c>
      <c r="B169" s="1" t="n">
        <v>45182</v>
      </c>
      <c r="C169" s="1" t="n">
        <v>46091</v>
      </c>
      <c r="D169" t="inlineStr">
        <is>
          <t>DALARNAS LÄN</t>
        </is>
      </c>
      <c r="E169" t="inlineStr">
        <is>
          <t>SÄTER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51320-2024</t>
        </is>
      </c>
      <c r="B170" s="1" t="n">
        <v>45604.33113425926</v>
      </c>
      <c r="C170" s="1" t="n">
        <v>46091</v>
      </c>
      <c r="D170" t="inlineStr">
        <is>
          <t>DALARNAS LÄN</t>
        </is>
      </c>
      <c r="E170" t="inlineStr">
        <is>
          <t>SÄTER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51324-2024</t>
        </is>
      </c>
      <c r="B171" s="1" t="n">
        <v>45604.33263888889</v>
      </c>
      <c r="C171" s="1" t="n">
        <v>46091</v>
      </c>
      <c r="D171" t="inlineStr">
        <is>
          <t>DALARNAS LÄN</t>
        </is>
      </c>
      <c r="E171" t="inlineStr">
        <is>
          <t>SÄTER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29522-2025</t>
        </is>
      </c>
      <c r="B172" s="1" t="n">
        <v>45825.33287037037</v>
      </c>
      <c r="C172" s="1" t="n">
        <v>46091</v>
      </c>
      <c r="D172" t="inlineStr">
        <is>
          <t>DALARNAS LÄN</t>
        </is>
      </c>
      <c r="E172" t="inlineStr">
        <is>
          <t>SÄTER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47522-2025</t>
        </is>
      </c>
      <c r="B173" s="1" t="n">
        <v>45931.33821759259</v>
      </c>
      <c r="C173" s="1" t="n">
        <v>46091</v>
      </c>
      <c r="D173" t="inlineStr">
        <is>
          <t>DALARNAS LÄN</t>
        </is>
      </c>
      <c r="E173" t="inlineStr">
        <is>
          <t>SÄTER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21948-2023</t>
        </is>
      </c>
      <c r="B174" s="1" t="n">
        <v>45068</v>
      </c>
      <c r="C174" s="1" t="n">
        <v>46091</v>
      </c>
      <c r="D174" t="inlineStr">
        <is>
          <t>DALARNAS LÄN</t>
        </is>
      </c>
      <c r="E174" t="inlineStr">
        <is>
          <t>SÄTER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21696-2023</t>
        </is>
      </c>
      <c r="B175" s="1" t="n">
        <v>45063</v>
      </c>
      <c r="C175" s="1" t="n">
        <v>46091</v>
      </c>
      <c r="D175" t="inlineStr">
        <is>
          <t>DALARNAS LÄN</t>
        </is>
      </c>
      <c r="E175" t="inlineStr">
        <is>
          <t>SÄTER</t>
        </is>
      </c>
      <c r="F175" t="inlineStr">
        <is>
          <t>Kommuner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23262-2024</t>
        </is>
      </c>
      <c r="B176" s="1" t="n">
        <v>45453.36730324074</v>
      </c>
      <c r="C176" s="1" t="n">
        <v>46091</v>
      </c>
      <c r="D176" t="inlineStr">
        <is>
          <t>DALARNAS LÄN</t>
        </is>
      </c>
      <c r="E176" t="inlineStr">
        <is>
          <t>SÄTER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32383-2022</t>
        </is>
      </c>
      <c r="B177" s="1" t="n">
        <v>44781</v>
      </c>
      <c r="C177" s="1" t="n">
        <v>46091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HYPERLINK("https://klasma.github.io/Logging_2082/knärot/A 32383-2022 karta knärot.png", "A 32383-2022")</f>
        <v/>
      </c>
      <c r="V177">
        <f>HYPERLINK("https://klasma.github.io/Logging_2082/klagomål/A 32383-2022 FSC-klagomål.docx", "A 32383-2022")</f>
        <v/>
      </c>
      <c r="W177">
        <f>HYPERLINK("https://klasma.github.io/Logging_2082/klagomålsmail/A 32383-2022 FSC-klagomål mail.docx", "A 32383-2022")</f>
        <v/>
      </c>
      <c r="X177">
        <f>HYPERLINK("https://klasma.github.io/Logging_2082/tillsyn/A 32383-2022 tillsynsbegäran.docx", "A 32383-2022")</f>
        <v/>
      </c>
      <c r="Y177">
        <f>HYPERLINK("https://klasma.github.io/Logging_2082/tillsynsmail/A 32383-2022 tillsynsbegäran mail.docx", "A 32383-2022")</f>
        <v/>
      </c>
    </row>
    <row r="178" ht="15" customHeight="1">
      <c r="A178" t="inlineStr">
        <is>
          <t>A 48507-2025</t>
        </is>
      </c>
      <c r="B178" s="1" t="n">
        <v>45936.38559027778</v>
      </c>
      <c r="C178" s="1" t="n">
        <v>46091</v>
      </c>
      <c r="D178" t="inlineStr">
        <is>
          <t>DALARNAS LÄN</t>
        </is>
      </c>
      <c r="E178" t="inlineStr">
        <is>
          <t>SÄTER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57015-2024</t>
        </is>
      </c>
      <c r="B179" s="1" t="n">
        <v>45628.79650462963</v>
      </c>
      <c r="C179" s="1" t="n">
        <v>46091</v>
      </c>
      <c r="D179" t="inlineStr">
        <is>
          <t>DALARNAS LÄN</t>
        </is>
      </c>
      <c r="E179" t="inlineStr">
        <is>
          <t>SÄTER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57016-2024</t>
        </is>
      </c>
      <c r="B180" s="1" t="n">
        <v>45628.80193287037</v>
      </c>
      <c r="C180" s="1" t="n">
        <v>46091</v>
      </c>
      <c r="D180" t="inlineStr">
        <is>
          <t>DALARNAS LÄN</t>
        </is>
      </c>
      <c r="E180" t="inlineStr">
        <is>
          <t>SÄTER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56823-2024</t>
        </is>
      </c>
      <c r="B181" s="1" t="n">
        <v>45628.49032407408</v>
      </c>
      <c r="C181" s="1" t="n">
        <v>46091</v>
      </c>
      <c r="D181" t="inlineStr">
        <is>
          <t>DALARNAS LÄN</t>
        </is>
      </c>
      <c r="E181" t="inlineStr">
        <is>
          <t>SÄTER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56831-2024</t>
        </is>
      </c>
      <c r="B182" s="1" t="n">
        <v>45628.49807870371</v>
      </c>
      <c r="C182" s="1" t="n">
        <v>46091</v>
      </c>
      <c r="D182" t="inlineStr">
        <is>
          <t>DALARNAS LÄN</t>
        </is>
      </c>
      <c r="E182" t="inlineStr">
        <is>
          <t>SÄTER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44719-2024</t>
        </is>
      </c>
      <c r="B183" s="1" t="n">
        <v>45574</v>
      </c>
      <c r="C183" s="1" t="n">
        <v>46091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44726-2024</t>
        </is>
      </c>
      <c r="B184" s="1" t="n">
        <v>45574</v>
      </c>
      <c r="C184" s="1" t="n">
        <v>46091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48862-2025</t>
        </is>
      </c>
      <c r="B185" s="1" t="n">
        <v>45937.44243055556</v>
      </c>
      <c r="C185" s="1" t="n">
        <v>46091</v>
      </c>
      <c r="D185" t="inlineStr">
        <is>
          <t>DALARNAS LÄN</t>
        </is>
      </c>
      <c r="E185" t="inlineStr">
        <is>
          <t>SÄTER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13510-2023</t>
        </is>
      </c>
      <c r="B186" s="1" t="n">
        <v>45006.30673611111</v>
      </c>
      <c r="C186" s="1" t="n">
        <v>46091</v>
      </c>
      <c r="D186" t="inlineStr">
        <is>
          <t>DALARNAS LÄN</t>
        </is>
      </c>
      <c r="E186" t="inlineStr">
        <is>
          <t>SÄTER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49653-2025</t>
        </is>
      </c>
      <c r="B187" s="1" t="n">
        <v>45939</v>
      </c>
      <c r="C187" s="1" t="n">
        <v>46091</v>
      </c>
      <c r="D187" t="inlineStr">
        <is>
          <t>DALARNAS LÄN</t>
        </is>
      </c>
      <c r="E187" t="inlineStr">
        <is>
          <t>SÄTER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49925-2025</t>
        </is>
      </c>
      <c r="B188" s="1" t="n">
        <v>45940.64503472222</v>
      </c>
      <c r="C188" s="1" t="n">
        <v>46091</v>
      </c>
      <c r="D188" t="inlineStr">
        <is>
          <t>DALARNAS LÄN</t>
        </is>
      </c>
      <c r="E188" t="inlineStr">
        <is>
          <t>SÄTER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49599-2025</t>
        </is>
      </c>
      <c r="B189" s="1" t="n">
        <v>45939.54412037037</v>
      </c>
      <c r="C189" s="1" t="n">
        <v>46091</v>
      </c>
      <c r="D189" t="inlineStr">
        <is>
          <t>DALARNAS LÄN</t>
        </is>
      </c>
      <c r="E189" t="inlineStr">
        <is>
          <t>SÄTER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59390-2024</t>
        </is>
      </c>
      <c r="B190" s="1" t="n">
        <v>45638.36590277778</v>
      </c>
      <c r="C190" s="1" t="n">
        <v>46091</v>
      </c>
      <c r="D190" t="inlineStr">
        <is>
          <t>DALARNAS LÄN</t>
        </is>
      </c>
      <c r="E190" t="inlineStr">
        <is>
          <t>SÄTER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55497-2024</t>
        </is>
      </c>
      <c r="B191" s="1" t="n">
        <v>45622.45306712963</v>
      </c>
      <c r="C191" s="1" t="n">
        <v>46091</v>
      </c>
      <c r="D191" t="inlineStr">
        <is>
          <t>DALARNAS LÄN</t>
        </is>
      </c>
      <c r="E191" t="inlineStr">
        <is>
          <t>SÄTER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59445-2024</t>
        </is>
      </c>
      <c r="B192" s="1" t="n">
        <v>45638.45646990741</v>
      </c>
      <c r="C192" s="1" t="n">
        <v>46091</v>
      </c>
      <c r="D192" t="inlineStr">
        <is>
          <t>DALARNAS LÄN</t>
        </is>
      </c>
      <c r="E192" t="inlineStr">
        <is>
          <t>SÄTER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58864-2024</t>
        </is>
      </c>
      <c r="B193" s="1" t="n">
        <v>45636.41715277778</v>
      </c>
      <c r="C193" s="1" t="n">
        <v>46091</v>
      </c>
      <c r="D193" t="inlineStr">
        <is>
          <t>DALARNAS LÄN</t>
        </is>
      </c>
      <c r="E193" t="inlineStr">
        <is>
          <t>SÄTER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49929-2025</t>
        </is>
      </c>
      <c r="B194" s="1" t="n">
        <v>45939</v>
      </c>
      <c r="C194" s="1" t="n">
        <v>46091</v>
      </c>
      <c r="D194" t="inlineStr">
        <is>
          <t>DALARNAS LÄN</t>
        </is>
      </c>
      <c r="E194" t="inlineStr">
        <is>
          <t>SÄTER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29833-2023</t>
        </is>
      </c>
      <c r="B195" s="1" t="n">
        <v>45107.57693287037</v>
      </c>
      <c r="C195" s="1" t="n">
        <v>46091</v>
      </c>
      <c r="D195" t="inlineStr">
        <is>
          <t>DALARNAS LÄN</t>
        </is>
      </c>
      <c r="E195" t="inlineStr">
        <is>
          <t>SÄTER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51468-2024</t>
        </is>
      </c>
      <c r="B196" s="1" t="n">
        <v>45604.50121527778</v>
      </c>
      <c r="C196" s="1" t="n">
        <v>46091</v>
      </c>
      <c r="D196" t="inlineStr">
        <is>
          <t>DALARNAS LÄN</t>
        </is>
      </c>
      <c r="E196" t="inlineStr">
        <is>
          <t>SÄTER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32569-2025</t>
        </is>
      </c>
      <c r="B197" s="1" t="n">
        <v>45838</v>
      </c>
      <c r="C197" s="1" t="n">
        <v>46091</v>
      </c>
      <c r="D197" t="inlineStr">
        <is>
          <t>DALARNAS LÄN</t>
        </is>
      </c>
      <c r="E197" t="inlineStr">
        <is>
          <t>SÄTER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32571-2025</t>
        </is>
      </c>
      <c r="B198" s="1" t="n">
        <v>45838</v>
      </c>
      <c r="C198" s="1" t="n">
        <v>46091</v>
      </c>
      <c r="D198" t="inlineStr">
        <is>
          <t>DALARNAS LÄN</t>
        </is>
      </c>
      <c r="E198" t="inlineStr">
        <is>
          <t>SÄTER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50649-2025</t>
        </is>
      </c>
      <c r="B199" s="1" t="n">
        <v>45945.66170138889</v>
      </c>
      <c r="C199" s="1" t="n">
        <v>46091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16836-2024</t>
        </is>
      </c>
      <c r="B200" s="1" t="n">
        <v>45411.48761574074</v>
      </c>
      <c r="C200" s="1" t="n">
        <v>46091</v>
      </c>
      <c r="D200" t="inlineStr">
        <is>
          <t>DALARNAS LÄN</t>
        </is>
      </c>
      <c r="E200" t="inlineStr">
        <is>
          <t>SÄTER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50783-2025</t>
        </is>
      </c>
      <c r="B201" s="1" t="n">
        <v>45946.46853009259</v>
      </c>
      <c r="C201" s="1" t="n">
        <v>46091</v>
      </c>
      <c r="D201" t="inlineStr">
        <is>
          <t>DALARNAS LÄN</t>
        </is>
      </c>
      <c r="E201" t="inlineStr">
        <is>
          <t>SÄTER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50533-2025</t>
        </is>
      </c>
      <c r="B202" s="1" t="n">
        <v>45945.48137731481</v>
      </c>
      <c r="C202" s="1" t="n">
        <v>46091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11164-2023</t>
        </is>
      </c>
      <c r="B203" s="1" t="n">
        <v>44992</v>
      </c>
      <c r="C203" s="1" t="n">
        <v>46091</v>
      </c>
      <c r="D203" t="inlineStr">
        <is>
          <t>DALARNAS LÄN</t>
        </is>
      </c>
      <c r="E203" t="inlineStr">
        <is>
          <t>SÄTER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55621-2025</t>
        </is>
      </c>
      <c r="B204" s="1" t="n">
        <v>45971</v>
      </c>
      <c r="C204" s="1" t="n">
        <v>46091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28549-2022</t>
        </is>
      </c>
      <c r="B205" s="1" t="n">
        <v>44748</v>
      </c>
      <c r="C205" s="1" t="n">
        <v>46091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55428-2025</t>
        </is>
      </c>
      <c r="B206" s="1" t="n">
        <v>45971.47856481482</v>
      </c>
      <c r="C206" s="1" t="n">
        <v>46091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13339-2023</t>
        </is>
      </c>
      <c r="B207" s="1" t="n">
        <v>45005</v>
      </c>
      <c r="C207" s="1" t="n">
        <v>46091</v>
      </c>
      <c r="D207" t="inlineStr">
        <is>
          <t>DALARNAS LÄN</t>
        </is>
      </c>
      <c r="E207" t="inlineStr">
        <is>
          <t>SÄTER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56107-2025</t>
        </is>
      </c>
      <c r="B208" s="1" t="n">
        <v>45973</v>
      </c>
      <c r="C208" s="1" t="n">
        <v>46091</v>
      </c>
      <c r="D208" t="inlineStr">
        <is>
          <t>DALARNAS LÄN</t>
        </is>
      </c>
      <c r="E208" t="inlineStr">
        <is>
          <t>SÄTER</t>
        </is>
      </c>
      <c r="F208" t="inlineStr">
        <is>
          <t>Övriga statliga verk och myndigheter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13970-2025</t>
        </is>
      </c>
      <c r="B209" s="1" t="n">
        <v>45738.52033564815</v>
      </c>
      <c r="C209" s="1" t="n">
        <v>46091</v>
      </c>
      <c r="D209" t="inlineStr">
        <is>
          <t>DALARNAS LÄN</t>
        </is>
      </c>
      <c r="E209" t="inlineStr">
        <is>
          <t>SÄTER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47044-2023</t>
        </is>
      </c>
      <c r="B210" s="1" t="n">
        <v>45201.55331018518</v>
      </c>
      <c r="C210" s="1" t="n">
        <v>46091</v>
      </c>
      <c r="D210" t="inlineStr">
        <is>
          <t>DALARNAS LÄN</t>
        </is>
      </c>
      <c r="E210" t="inlineStr">
        <is>
          <t>SÄTER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57416-2022</t>
        </is>
      </c>
      <c r="B211" s="1" t="n">
        <v>44896.49959490741</v>
      </c>
      <c r="C211" s="1" t="n">
        <v>46091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34938-2025</t>
        </is>
      </c>
      <c r="B212" s="1" t="n">
        <v>45849.58021990741</v>
      </c>
      <c r="C212" s="1" t="n">
        <v>46091</v>
      </c>
      <c r="D212" t="inlineStr">
        <is>
          <t>DALARNAS LÄN</t>
        </is>
      </c>
      <c r="E212" t="inlineStr">
        <is>
          <t>SÄTER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31574-2021</t>
        </is>
      </c>
      <c r="B213" s="1" t="n">
        <v>44369.54519675926</v>
      </c>
      <c r="C213" s="1" t="n">
        <v>46091</v>
      </c>
      <c r="D213" t="inlineStr">
        <is>
          <t>DALARNAS LÄN</t>
        </is>
      </c>
      <c r="E213" t="inlineStr">
        <is>
          <t>SÄTER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35409-2025</t>
        </is>
      </c>
      <c r="B214" s="1" t="n">
        <v>45855.37565972222</v>
      </c>
      <c r="C214" s="1" t="n">
        <v>46091</v>
      </c>
      <c r="D214" t="inlineStr">
        <is>
          <t>DALARNAS LÄN</t>
        </is>
      </c>
      <c r="E214" t="inlineStr">
        <is>
          <t>SÄTER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35410-2025</t>
        </is>
      </c>
      <c r="B215" s="1" t="n">
        <v>45855.37773148148</v>
      </c>
      <c r="C215" s="1" t="n">
        <v>46091</v>
      </c>
      <c r="D215" t="inlineStr">
        <is>
          <t>DALARNAS LÄN</t>
        </is>
      </c>
      <c r="E215" t="inlineStr">
        <is>
          <t>SÄTER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35412-2025</t>
        </is>
      </c>
      <c r="B216" s="1" t="n">
        <v>45855.38655092593</v>
      </c>
      <c r="C216" s="1" t="n">
        <v>46091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27910-2023</t>
        </is>
      </c>
      <c r="B217" s="1" t="n">
        <v>45098</v>
      </c>
      <c r="C217" s="1" t="n">
        <v>46091</v>
      </c>
      <c r="D217" t="inlineStr">
        <is>
          <t>DALARNAS LÄN</t>
        </is>
      </c>
      <c r="E217" t="inlineStr">
        <is>
          <t>SÄTER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56639-2025</t>
        </is>
      </c>
      <c r="B218" s="1" t="n">
        <v>45975.61846064815</v>
      </c>
      <c r="C218" s="1" t="n">
        <v>46091</v>
      </c>
      <c r="D218" t="inlineStr">
        <is>
          <t>DALARNAS LÄN</t>
        </is>
      </c>
      <c r="E218" t="inlineStr">
        <is>
          <t>SÄTER</t>
        </is>
      </c>
      <c r="G218" t="n">
        <v>17.9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36549-2025</t>
        </is>
      </c>
      <c r="B219" s="1" t="n">
        <v>45870.32357638889</v>
      </c>
      <c r="C219" s="1" t="n">
        <v>46091</v>
      </c>
      <c r="D219" t="inlineStr">
        <is>
          <t>DALARNAS LÄN</t>
        </is>
      </c>
      <c r="E219" t="inlineStr">
        <is>
          <t>SÄTER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33473-2022</t>
        </is>
      </c>
      <c r="B220" s="1" t="n">
        <v>44788</v>
      </c>
      <c r="C220" s="1" t="n">
        <v>46091</v>
      </c>
      <c r="D220" t="inlineStr">
        <is>
          <t>DALARNAS LÄN</t>
        </is>
      </c>
      <c r="E220" t="inlineStr">
        <is>
          <t>SÄTER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20500-2025</t>
        </is>
      </c>
      <c r="B221" s="1" t="n">
        <v>45775.57885416667</v>
      </c>
      <c r="C221" s="1" t="n">
        <v>46091</v>
      </c>
      <c r="D221" t="inlineStr">
        <is>
          <t>DALARNAS LÄN</t>
        </is>
      </c>
      <c r="E221" t="inlineStr">
        <is>
          <t>SÄTER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37075-2025</t>
        </is>
      </c>
      <c r="B222" s="1" t="n">
        <v>45875.40737268519</v>
      </c>
      <c r="C222" s="1" t="n">
        <v>46091</v>
      </c>
      <c r="D222" t="inlineStr">
        <is>
          <t>DALARNAS LÄN</t>
        </is>
      </c>
      <c r="E222" t="inlineStr">
        <is>
          <t>SÄTER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54826-2023</t>
        </is>
      </c>
      <c r="B223" s="1" t="n">
        <v>45236</v>
      </c>
      <c r="C223" s="1" t="n">
        <v>46091</v>
      </c>
      <c r="D223" t="inlineStr">
        <is>
          <t>DALARNAS LÄN</t>
        </is>
      </c>
      <c r="E223" t="inlineStr">
        <is>
          <t>SÄTER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37506-2025</t>
        </is>
      </c>
      <c r="B224" s="1" t="n">
        <v>45877.65421296296</v>
      </c>
      <c r="C224" s="1" t="n">
        <v>46091</v>
      </c>
      <c r="D224" t="inlineStr">
        <is>
          <t>DALARNAS LÄN</t>
        </is>
      </c>
      <c r="E224" t="inlineStr">
        <is>
          <t>SÄTER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43125-2024</t>
        </is>
      </c>
      <c r="B225" s="1" t="n">
        <v>45567</v>
      </c>
      <c r="C225" s="1" t="n">
        <v>46091</v>
      </c>
      <c r="D225" t="inlineStr">
        <is>
          <t>DALARNAS LÄN</t>
        </is>
      </c>
      <c r="E225" t="inlineStr">
        <is>
          <t>SÄTER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69744-2021</t>
        </is>
      </c>
      <c r="B226" s="1" t="n">
        <v>44532.55016203703</v>
      </c>
      <c r="C226" s="1" t="n">
        <v>46091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58325-2025</t>
        </is>
      </c>
      <c r="B227" s="1" t="n">
        <v>45985.47695601852</v>
      </c>
      <c r="C227" s="1" t="n">
        <v>46091</v>
      </c>
      <c r="D227" t="inlineStr">
        <is>
          <t>DALARNAS LÄN</t>
        </is>
      </c>
      <c r="E227" t="inlineStr">
        <is>
          <t>SÄTER</t>
        </is>
      </c>
      <c r="F227" t="inlineStr">
        <is>
          <t>Bergvik skog väst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17303-2021</t>
        </is>
      </c>
      <c r="B228" s="1" t="n">
        <v>44298.61732638889</v>
      </c>
      <c r="C228" s="1" t="n">
        <v>46091</v>
      </c>
      <c r="D228" t="inlineStr">
        <is>
          <t>DALARNAS LÄN</t>
        </is>
      </c>
      <c r="E228" t="inlineStr">
        <is>
          <t>SÄTER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39406-2024</t>
        </is>
      </c>
      <c r="B229" s="1" t="n">
        <v>45551.559375</v>
      </c>
      <c r="C229" s="1" t="n">
        <v>46091</v>
      </c>
      <c r="D229" t="inlineStr">
        <is>
          <t>DALARNAS LÄN</t>
        </is>
      </c>
      <c r="E229" t="inlineStr">
        <is>
          <t>SÄTER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57427-2022</t>
        </is>
      </c>
      <c r="B230" s="1" t="n">
        <v>44896</v>
      </c>
      <c r="C230" s="1" t="n">
        <v>46091</v>
      </c>
      <c r="D230" t="inlineStr">
        <is>
          <t>DALARNAS LÄN</t>
        </is>
      </c>
      <c r="E230" t="inlineStr">
        <is>
          <t>SÄTER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53706-2025</t>
        </is>
      </c>
      <c r="B231" s="1" t="n">
        <v>45960.60587962963</v>
      </c>
      <c r="C231" s="1" t="n">
        <v>46091</v>
      </c>
      <c r="D231" t="inlineStr">
        <is>
          <t>DALARNAS LÄN</t>
        </is>
      </c>
      <c r="E231" t="inlineStr">
        <is>
          <t>SÄTER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16843-2024</t>
        </is>
      </c>
      <c r="B232" s="1" t="n">
        <v>45411.49664351852</v>
      </c>
      <c r="C232" s="1" t="n">
        <v>46091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59854-2025</t>
        </is>
      </c>
      <c r="B233" s="1" t="n">
        <v>45992.73412037037</v>
      </c>
      <c r="C233" s="1" t="n">
        <v>46091</v>
      </c>
      <c r="D233" t="inlineStr">
        <is>
          <t>DALARNAS LÄN</t>
        </is>
      </c>
      <c r="E233" t="inlineStr">
        <is>
          <t>SÄTER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45161-2021</t>
        </is>
      </c>
      <c r="B234" s="1" t="n">
        <v>44439.48746527778</v>
      </c>
      <c r="C234" s="1" t="n">
        <v>46091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17916-2025</t>
        </is>
      </c>
      <c r="B235" s="1" t="n">
        <v>45758.79270833333</v>
      </c>
      <c r="C235" s="1" t="n">
        <v>46091</v>
      </c>
      <c r="D235" t="inlineStr">
        <is>
          <t>DALARNAS LÄN</t>
        </is>
      </c>
      <c r="E235" t="inlineStr">
        <is>
          <t>SÄTER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59974-2025</t>
        </is>
      </c>
      <c r="B236" s="1" t="n">
        <v>45993.50063657408</v>
      </c>
      <c r="C236" s="1" t="n">
        <v>46091</v>
      </c>
      <c r="D236" t="inlineStr">
        <is>
          <t>DALARNAS LÄN</t>
        </is>
      </c>
      <c r="E236" t="inlineStr">
        <is>
          <t>SÄTER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6767-2024</t>
        </is>
      </c>
      <c r="B237" s="1" t="n">
        <v>45342</v>
      </c>
      <c r="C237" s="1" t="n">
        <v>46091</v>
      </c>
      <c r="D237" t="inlineStr">
        <is>
          <t>DALARNAS LÄN</t>
        </is>
      </c>
      <c r="E237" t="inlineStr">
        <is>
          <t>SÄTER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41961-2024</t>
        </is>
      </c>
      <c r="B238" s="1" t="n">
        <v>45561</v>
      </c>
      <c r="C238" s="1" t="n">
        <v>46091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61228-2025</t>
        </is>
      </c>
      <c r="B239" s="1" t="n">
        <v>46000.6309375</v>
      </c>
      <c r="C239" s="1" t="n">
        <v>46091</v>
      </c>
      <c r="D239" t="inlineStr">
        <is>
          <t>DALARNAS LÄN</t>
        </is>
      </c>
      <c r="E239" t="inlineStr">
        <is>
          <t>SÄTER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41564-2021</t>
        </is>
      </c>
      <c r="B240" s="1" t="n">
        <v>44425.39126157408</v>
      </c>
      <c r="C240" s="1" t="n">
        <v>46091</v>
      </c>
      <c r="D240" t="inlineStr">
        <is>
          <t>DALARNAS LÄN</t>
        </is>
      </c>
      <c r="E240" t="inlineStr">
        <is>
          <t>SÄTER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4050-2026</t>
        </is>
      </c>
      <c r="B241" s="1" t="n">
        <v>46044.4721412037</v>
      </c>
      <c r="C241" s="1" t="n">
        <v>46091</v>
      </c>
      <c r="D241" t="inlineStr">
        <is>
          <t>DALARNAS LÄN</t>
        </is>
      </c>
      <c r="E241" t="inlineStr">
        <is>
          <t>SÄTER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62470-2022</t>
        </is>
      </c>
      <c r="B242" s="1" t="n">
        <v>44924.5246875</v>
      </c>
      <c r="C242" s="1" t="n">
        <v>46091</v>
      </c>
      <c r="D242" t="inlineStr">
        <is>
          <t>DALARNAS LÄN</t>
        </is>
      </c>
      <c r="E242" t="inlineStr">
        <is>
          <t>SÄTER</t>
        </is>
      </c>
      <c r="F242" t="inlineStr">
        <is>
          <t>Kommuner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35005-2024</t>
        </is>
      </c>
      <c r="B243" s="1" t="n">
        <v>45527.57577546296</v>
      </c>
      <c r="C243" s="1" t="n">
        <v>46091</v>
      </c>
      <c r="D243" t="inlineStr">
        <is>
          <t>DALARNAS LÄN</t>
        </is>
      </c>
      <c r="E243" t="inlineStr">
        <is>
          <t>SÄTER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5196-2024</t>
        </is>
      </c>
      <c r="B244" s="1" t="n">
        <v>45330.60379629629</v>
      </c>
      <c r="C244" s="1" t="n">
        <v>46091</v>
      </c>
      <c r="D244" t="inlineStr">
        <is>
          <t>DALARNAS LÄN</t>
        </is>
      </c>
      <c r="E244" t="inlineStr">
        <is>
          <t>SÄTER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34497-2023</t>
        </is>
      </c>
      <c r="B245" s="1" t="n">
        <v>45140</v>
      </c>
      <c r="C245" s="1" t="n">
        <v>46091</v>
      </c>
      <c r="D245" t="inlineStr">
        <is>
          <t>DALARNAS LÄN</t>
        </is>
      </c>
      <c r="E245" t="inlineStr">
        <is>
          <t>SÄTER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52220-2021</t>
        </is>
      </c>
      <c r="B246" s="1" t="n">
        <v>44462</v>
      </c>
      <c r="C246" s="1" t="n">
        <v>46091</v>
      </c>
      <c r="D246" t="inlineStr">
        <is>
          <t>DALARNAS LÄN</t>
        </is>
      </c>
      <c r="E246" t="inlineStr">
        <is>
          <t>SÄTER</t>
        </is>
      </c>
      <c r="F246" t="inlineStr">
        <is>
          <t>Bergvik skog väst AB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41951-2024</t>
        </is>
      </c>
      <c r="B247" s="1" t="n">
        <v>45561</v>
      </c>
      <c r="C247" s="1" t="n">
        <v>46091</v>
      </c>
      <c r="D247" t="inlineStr">
        <is>
          <t>DALARNAS LÄN</t>
        </is>
      </c>
      <c r="E247" t="inlineStr">
        <is>
          <t>SÄTER</t>
        </is>
      </c>
      <c r="F247" t="inlineStr">
        <is>
          <t>Bergvik skog väst AB</t>
        </is>
      </c>
      <c r="G247" t="n">
        <v>10.8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41959-2024</t>
        </is>
      </c>
      <c r="B248" s="1" t="n">
        <v>45561</v>
      </c>
      <c r="C248" s="1" t="n">
        <v>46091</v>
      </c>
      <c r="D248" t="inlineStr">
        <is>
          <t>DALARNAS LÄN</t>
        </is>
      </c>
      <c r="E248" t="inlineStr">
        <is>
          <t>SÄTER</t>
        </is>
      </c>
      <c r="F248" t="inlineStr">
        <is>
          <t>Bergvik skog väst AB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44992-2024</t>
        </is>
      </c>
      <c r="B249" s="1" t="n">
        <v>45575</v>
      </c>
      <c r="C249" s="1" t="n">
        <v>46091</v>
      </c>
      <c r="D249" t="inlineStr">
        <is>
          <t>DALARNAS LÄN</t>
        </is>
      </c>
      <c r="E249" t="inlineStr">
        <is>
          <t>SÄTER</t>
        </is>
      </c>
      <c r="F249" t="inlineStr">
        <is>
          <t>Bergvik skog väst AB</t>
        </is>
      </c>
      <c r="G249" t="n">
        <v>9.9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63350-2025</t>
        </is>
      </c>
      <c r="B250" s="1" t="n">
        <v>46010.66585648148</v>
      </c>
      <c r="C250" s="1" t="n">
        <v>46091</v>
      </c>
      <c r="D250" t="inlineStr">
        <is>
          <t>DALARNAS LÄN</t>
        </is>
      </c>
      <c r="E250" t="inlineStr">
        <is>
          <t>SÄTER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50366-2023</t>
        </is>
      </c>
      <c r="B251" s="1" t="n">
        <v>45216</v>
      </c>
      <c r="C251" s="1" t="n">
        <v>46091</v>
      </c>
      <c r="D251" t="inlineStr">
        <is>
          <t>DALARNAS LÄN</t>
        </is>
      </c>
      <c r="E251" t="inlineStr">
        <is>
          <t>SÄTER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63377-2025</t>
        </is>
      </c>
      <c r="B252" s="1" t="n">
        <v>46010.7222337963</v>
      </c>
      <c r="C252" s="1" t="n">
        <v>46091</v>
      </c>
      <c r="D252" t="inlineStr">
        <is>
          <t>DALARNAS LÄN</t>
        </is>
      </c>
      <c r="E252" t="inlineStr">
        <is>
          <t>SÄTER</t>
        </is>
      </c>
      <c r="F252" t="inlineStr">
        <is>
          <t>Övriga statliga verk och myndigheter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47465-2025</t>
        </is>
      </c>
      <c r="B253" s="1" t="n">
        <v>45930.66545138889</v>
      </c>
      <c r="C253" s="1" t="n">
        <v>46091</v>
      </c>
      <c r="D253" t="inlineStr">
        <is>
          <t>DALARNAS LÄN</t>
        </is>
      </c>
      <c r="E253" t="inlineStr">
        <is>
          <t>SÄTER</t>
        </is>
      </c>
      <c r="G253" t="n">
        <v>9.800000000000001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36478-2024</t>
        </is>
      </c>
      <c r="B254" s="1" t="n">
        <v>45537.37069444444</v>
      </c>
      <c r="C254" s="1" t="n">
        <v>46091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1305-2022</t>
        </is>
      </c>
      <c r="B255" s="1" t="n">
        <v>44572</v>
      </c>
      <c r="C255" s="1" t="n">
        <v>46091</v>
      </c>
      <c r="D255" t="inlineStr">
        <is>
          <t>DALARNAS LÄN</t>
        </is>
      </c>
      <c r="E255" t="inlineStr">
        <is>
          <t>SÄTER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21762-2024</t>
        </is>
      </c>
      <c r="B256" s="1" t="n">
        <v>45442.60010416667</v>
      </c>
      <c r="C256" s="1" t="n">
        <v>46091</v>
      </c>
      <c r="D256" t="inlineStr">
        <is>
          <t>DALARNAS LÄN</t>
        </is>
      </c>
      <c r="E256" t="inlineStr">
        <is>
          <t>SÄTER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63684-2025</t>
        </is>
      </c>
      <c r="B257" s="1" t="n">
        <v>46014.52145833334</v>
      </c>
      <c r="C257" s="1" t="n">
        <v>46091</v>
      </c>
      <c r="D257" t="inlineStr">
        <is>
          <t>DALARNAS LÄN</t>
        </is>
      </c>
      <c r="E257" t="inlineStr">
        <is>
          <t>SÄTER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847-2025</t>
        </is>
      </c>
      <c r="B258" s="1" t="n">
        <v>45665.59894675926</v>
      </c>
      <c r="C258" s="1" t="n">
        <v>46091</v>
      </c>
      <c r="D258" t="inlineStr">
        <is>
          <t>DALARNAS LÄN</t>
        </is>
      </c>
      <c r="E258" t="inlineStr">
        <is>
          <t>SÄTER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63654-2025</t>
        </is>
      </c>
      <c r="B259" s="1" t="n">
        <v>46014.44138888889</v>
      </c>
      <c r="C259" s="1" t="n">
        <v>46091</v>
      </c>
      <c r="D259" t="inlineStr">
        <is>
          <t>DALARNAS LÄN</t>
        </is>
      </c>
      <c r="E259" t="inlineStr">
        <is>
          <t>SÄTER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6856-2026</t>
        </is>
      </c>
      <c r="B260" s="1" t="n">
        <v>46057.43586805555</v>
      </c>
      <c r="C260" s="1" t="n">
        <v>46091</v>
      </c>
      <c r="D260" t="inlineStr">
        <is>
          <t>DALARNAS LÄN</t>
        </is>
      </c>
      <c r="E260" t="inlineStr">
        <is>
          <t>SÄTER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6879-2026</t>
        </is>
      </c>
      <c r="B261" s="1" t="n">
        <v>46057.45841435185</v>
      </c>
      <c r="C261" s="1" t="n">
        <v>46091</v>
      </c>
      <c r="D261" t="inlineStr">
        <is>
          <t>DALARNAS LÄN</t>
        </is>
      </c>
      <c r="E261" t="inlineStr">
        <is>
          <t>SÄTER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29635-2024</t>
        </is>
      </c>
      <c r="B262" s="1" t="n">
        <v>45484.68149305556</v>
      </c>
      <c r="C262" s="1" t="n">
        <v>46091</v>
      </c>
      <c r="D262" t="inlineStr">
        <is>
          <t>DALARNAS LÄN</t>
        </is>
      </c>
      <c r="E262" t="inlineStr">
        <is>
          <t>SÄTER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6845-2026</t>
        </is>
      </c>
      <c r="B263" s="1" t="n">
        <v>46057.42467592593</v>
      </c>
      <c r="C263" s="1" t="n">
        <v>46091</v>
      </c>
      <c r="D263" t="inlineStr">
        <is>
          <t>DALARNAS LÄN</t>
        </is>
      </c>
      <c r="E263" t="inlineStr">
        <is>
          <t>SÄTER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19979-2025</t>
        </is>
      </c>
      <c r="B264" s="1" t="n">
        <v>45771.70621527778</v>
      </c>
      <c r="C264" s="1" t="n">
        <v>46091</v>
      </c>
      <c r="D264" t="inlineStr">
        <is>
          <t>DALARNAS LÄN</t>
        </is>
      </c>
      <c r="E264" t="inlineStr">
        <is>
          <t>SÄTER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7365-2026</t>
        </is>
      </c>
      <c r="B265" s="1" t="n">
        <v>46059.3237962963</v>
      </c>
      <c r="C265" s="1" t="n">
        <v>46091</v>
      </c>
      <c r="D265" t="inlineStr">
        <is>
          <t>DALARNAS LÄN</t>
        </is>
      </c>
      <c r="E265" t="inlineStr">
        <is>
          <t>SÄTER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11416-2022</t>
        </is>
      </c>
      <c r="B266" s="1" t="n">
        <v>44630.5793287037</v>
      </c>
      <c r="C266" s="1" t="n">
        <v>46091</v>
      </c>
      <c r="D266" t="inlineStr">
        <is>
          <t>DALARNAS LÄN</t>
        </is>
      </c>
      <c r="E266" t="inlineStr">
        <is>
          <t>SÄTER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38700-2023</t>
        </is>
      </c>
      <c r="B267" s="1" t="n">
        <v>45163</v>
      </c>
      <c r="C267" s="1" t="n">
        <v>46091</v>
      </c>
      <c r="D267" t="inlineStr">
        <is>
          <t>DALARNAS LÄN</t>
        </is>
      </c>
      <c r="E267" t="inlineStr">
        <is>
          <t>SÄTER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49586-2025</t>
        </is>
      </c>
      <c r="B268" s="1" t="n">
        <v>45939.50689814815</v>
      </c>
      <c r="C268" s="1" t="n">
        <v>46091</v>
      </c>
      <c r="D268" t="inlineStr">
        <is>
          <t>DALARNAS LÄN</t>
        </is>
      </c>
      <c r="E268" t="inlineStr">
        <is>
          <t>SÄTER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8355-2026</t>
        </is>
      </c>
      <c r="B269" s="1" t="n">
        <v>46064.6483912037</v>
      </c>
      <c r="C269" s="1" t="n">
        <v>46091</v>
      </c>
      <c r="D269" t="inlineStr">
        <is>
          <t>DALARNAS LÄN</t>
        </is>
      </c>
      <c r="E269" t="inlineStr">
        <is>
          <t>SÄTER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51329-2024</t>
        </is>
      </c>
      <c r="B270" s="1" t="n">
        <v>45604.34008101852</v>
      </c>
      <c r="C270" s="1" t="n">
        <v>46091</v>
      </c>
      <c r="D270" t="inlineStr">
        <is>
          <t>DALARNAS LÄN</t>
        </is>
      </c>
      <c r="E270" t="inlineStr">
        <is>
          <t>SÄTER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8323-2026</t>
        </is>
      </c>
      <c r="B271" s="1" t="n">
        <v>46064.61145833333</v>
      </c>
      <c r="C271" s="1" t="n">
        <v>46091</v>
      </c>
      <c r="D271" t="inlineStr">
        <is>
          <t>DALARNAS LÄN</t>
        </is>
      </c>
      <c r="E271" t="inlineStr">
        <is>
          <t>SÄTER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1378-2025</t>
        </is>
      </c>
      <c r="B272" s="1" t="n">
        <v>45667.65321759259</v>
      </c>
      <c r="C272" s="1" t="n">
        <v>46091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6645-2026</t>
        </is>
      </c>
      <c r="B273" s="1" t="n">
        <v>46056</v>
      </c>
      <c r="C273" s="1" t="n">
        <v>46091</v>
      </c>
      <c r="D273" t="inlineStr">
        <is>
          <t>DALARNAS LÄN</t>
        </is>
      </c>
      <c r="E273" t="inlineStr">
        <is>
          <t>SÄTER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7776-2026</t>
        </is>
      </c>
      <c r="B274" s="1" t="n">
        <v>46059</v>
      </c>
      <c r="C274" s="1" t="n">
        <v>46091</v>
      </c>
      <c r="D274" t="inlineStr">
        <is>
          <t>DALARNAS LÄN</t>
        </is>
      </c>
      <c r="E274" t="inlineStr">
        <is>
          <t>SÄTER</t>
        </is>
      </c>
      <c r="F274" t="inlineStr">
        <is>
          <t>Kommuner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HYPERLINK("https://klasma.github.io/Logging_2082/knärot/A 7776-2026 karta knärot.png", "A 7776-2026")</f>
        <v/>
      </c>
      <c r="V274">
        <f>HYPERLINK("https://klasma.github.io/Logging_2082/klagomål/A 7776-2026 FSC-klagomål.docx", "A 7776-2026")</f>
        <v/>
      </c>
      <c r="W274">
        <f>HYPERLINK("https://klasma.github.io/Logging_2082/klagomålsmail/A 7776-2026 FSC-klagomål mail.docx", "A 7776-2026")</f>
        <v/>
      </c>
      <c r="X274">
        <f>HYPERLINK("https://klasma.github.io/Logging_2082/tillsyn/A 7776-2026 tillsynsbegäran.docx", "A 7776-2026")</f>
        <v/>
      </c>
      <c r="Y274">
        <f>HYPERLINK("https://klasma.github.io/Logging_2082/tillsynsmail/A 7776-2026 tillsynsbegäran mail.docx", "A 7776-2026")</f>
        <v/>
      </c>
    </row>
    <row r="275" ht="15" customHeight="1">
      <c r="A275" t="inlineStr">
        <is>
          <t>A 8524-2026</t>
        </is>
      </c>
      <c r="B275" s="1" t="n">
        <v>46065.58650462963</v>
      </c>
      <c r="C275" s="1" t="n">
        <v>46091</v>
      </c>
      <c r="D275" t="inlineStr">
        <is>
          <t>DALARNAS LÄN</t>
        </is>
      </c>
      <c r="E275" t="inlineStr">
        <is>
          <t>SÄTER</t>
        </is>
      </c>
      <c r="G275" t="n">
        <v>23.9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58798-2024</t>
        </is>
      </c>
      <c r="B276" s="1" t="n">
        <v>45636.30075231481</v>
      </c>
      <c r="C276" s="1" t="n">
        <v>46091</v>
      </c>
      <c r="D276" t="inlineStr">
        <is>
          <t>DALARNAS LÄN</t>
        </is>
      </c>
      <c r="E276" t="inlineStr">
        <is>
          <t>SÄTER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8810-2026</t>
        </is>
      </c>
      <c r="B277" s="1" t="n">
        <v>46066.6115625</v>
      </c>
      <c r="C277" s="1" t="n">
        <v>46091</v>
      </c>
      <c r="D277" t="inlineStr">
        <is>
          <t>DALARNAS LÄN</t>
        </is>
      </c>
      <c r="E277" t="inlineStr">
        <is>
          <t>SÄTER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8991-2026</t>
        </is>
      </c>
      <c r="B278" s="1" t="n">
        <v>46069.46327546296</v>
      </c>
      <c r="C278" s="1" t="n">
        <v>46091</v>
      </c>
      <c r="D278" t="inlineStr">
        <is>
          <t>DALARNAS LÄN</t>
        </is>
      </c>
      <c r="E278" t="inlineStr">
        <is>
          <t>SÄTER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9035-2026</t>
        </is>
      </c>
      <c r="B279" s="1" t="n">
        <v>46069.52863425926</v>
      </c>
      <c r="C279" s="1" t="n">
        <v>46091</v>
      </c>
      <c r="D279" t="inlineStr">
        <is>
          <t>DALARNAS LÄN</t>
        </is>
      </c>
      <c r="E279" t="inlineStr">
        <is>
          <t>SÄTER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264-2026</t>
        </is>
      </c>
      <c r="B280" s="1" t="n">
        <v>46027</v>
      </c>
      <c r="C280" s="1" t="n">
        <v>46091</v>
      </c>
      <c r="D280" t="inlineStr">
        <is>
          <t>DALARNAS LÄN</t>
        </is>
      </c>
      <c r="E280" t="inlineStr">
        <is>
          <t>SÄTER</t>
        </is>
      </c>
      <c r="G280" t="n">
        <v>12.1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60655-2024</t>
        </is>
      </c>
      <c r="B281" s="1" t="n">
        <v>45644.44140046297</v>
      </c>
      <c r="C281" s="1" t="n">
        <v>46091</v>
      </c>
      <c r="D281" t="inlineStr">
        <is>
          <t>DALARNAS LÄN</t>
        </is>
      </c>
      <c r="E281" t="inlineStr">
        <is>
          <t>SÄTER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220-2026</t>
        </is>
      </c>
      <c r="B282" s="1" t="n">
        <v>46026</v>
      </c>
      <c r="C282" s="1" t="n">
        <v>46091</v>
      </c>
      <c r="D282" t="inlineStr">
        <is>
          <t>DALARNAS LÄN</t>
        </is>
      </c>
      <c r="E282" t="inlineStr">
        <is>
          <t>SÄTER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8951-2026</t>
        </is>
      </c>
      <c r="B283" s="1" t="n">
        <v>46069.39009259259</v>
      </c>
      <c r="C283" s="1" t="n">
        <v>46091</v>
      </c>
      <c r="D283" t="inlineStr">
        <is>
          <t>DALARNAS LÄN</t>
        </is>
      </c>
      <c r="E283" t="inlineStr">
        <is>
          <t>SÄTER</t>
        </is>
      </c>
      <c r="F283" t="inlineStr">
        <is>
          <t>Bergvik skog väst AB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760-2026</t>
        </is>
      </c>
      <c r="B284" s="1" t="n">
        <v>46029</v>
      </c>
      <c r="C284" s="1" t="n">
        <v>46091</v>
      </c>
      <c r="D284" t="inlineStr">
        <is>
          <t>DALARNAS LÄN</t>
        </is>
      </c>
      <c r="E284" t="inlineStr">
        <is>
          <t>SÄTER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9408-2026</t>
        </is>
      </c>
      <c r="B285" s="1" t="n">
        <v>46071</v>
      </c>
      <c r="C285" s="1" t="n">
        <v>46091</v>
      </c>
      <c r="D285" t="inlineStr">
        <is>
          <t>DALARNAS LÄN</t>
        </is>
      </c>
      <c r="E285" t="inlineStr">
        <is>
          <t>SÄTER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51847-2024</t>
        </is>
      </c>
      <c r="B286" s="1" t="n">
        <v>45604</v>
      </c>
      <c r="C286" s="1" t="n">
        <v>46091</v>
      </c>
      <c r="D286" t="inlineStr">
        <is>
          <t>DALARNAS LÄN</t>
        </is>
      </c>
      <c r="E286" t="inlineStr">
        <is>
          <t>SÄTER</t>
        </is>
      </c>
      <c r="F286" t="inlineStr">
        <is>
          <t>Bergvik skog väst AB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6998-2026</t>
        </is>
      </c>
      <c r="B287" s="1" t="n">
        <v>46057</v>
      </c>
      <c r="C287" s="1" t="n">
        <v>46091</v>
      </c>
      <c r="D287" t="inlineStr">
        <is>
          <t>DALARNAS LÄN</t>
        </is>
      </c>
      <c r="E287" t="inlineStr">
        <is>
          <t>SÄTER</t>
        </is>
      </c>
      <c r="F287" t="inlineStr">
        <is>
          <t>Övriga Aktiebolag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44803-2023</t>
        </is>
      </c>
      <c r="B288" s="1" t="n">
        <v>45190</v>
      </c>
      <c r="C288" s="1" t="n">
        <v>46091</v>
      </c>
      <c r="D288" t="inlineStr">
        <is>
          <t>DALARNAS LÄN</t>
        </is>
      </c>
      <c r="E288" t="inlineStr">
        <is>
          <t>SÄTER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1122-2026</t>
        </is>
      </c>
      <c r="B289" s="1" t="n">
        <v>46030</v>
      </c>
      <c r="C289" s="1" t="n">
        <v>46091</v>
      </c>
      <c r="D289" t="inlineStr">
        <is>
          <t>DALARNAS LÄN</t>
        </is>
      </c>
      <c r="E289" t="inlineStr">
        <is>
          <t>SÄTER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53695-2024</t>
        </is>
      </c>
      <c r="B290" s="1" t="n">
        <v>45614</v>
      </c>
      <c r="C290" s="1" t="n">
        <v>46091</v>
      </c>
      <c r="D290" t="inlineStr">
        <is>
          <t>DALARNAS LÄN</t>
        </is>
      </c>
      <c r="E290" t="inlineStr">
        <is>
          <t>SÄTER</t>
        </is>
      </c>
      <c r="F290" t="inlineStr">
        <is>
          <t>Bergvik skog väst AB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987-2026</t>
        </is>
      </c>
      <c r="B291" s="1" t="n">
        <v>46030.58576388889</v>
      </c>
      <c r="C291" s="1" t="n">
        <v>46091</v>
      </c>
      <c r="D291" t="inlineStr">
        <is>
          <t>DALARNAS LÄN</t>
        </is>
      </c>
      <c r="E291" t="inlineStr">
        <is>
          <t>SÄTER</t>
        </is>
      </c>
      <c r="F291" t="inlineStr">
        <is>
          <t>Bergvik skog väst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18974-2024</t>
        </is>
      </c>
      <c r="B292" s="1" t="n">
        <v>45427.56964120371</v>
      </c>
      <c r="C292" s="1" t="n">
        <v>46091</v>
      </c>
      <c r="D292" t="inlineStr">
        <is>
          <t>DALARNAS LÄN</t>
        </is>
      </c>
      <c r="E292" t="inlineStr">
        <is>
          <t>SÄTER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21697-2023</t>
        </is>
      </c>
      <c r="B293" s="1" t="n">
        <v>45063</v>
      </c>
      <c r="C293" s="1" t="n">
        <v>46091</v>
      </c>
      <c r="D293" t="inlineStr">
        <is>
          <t>DALARNAS LÄN</t>
        </is>
      </c>
      <c r="E293" t="inlineStr">
        <is>
          <t>SÄTER</t>
        </is>
      </c>
      <c r="F293" t="inlineStr">
        <is>
          <t>Kommuner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5723-2026</t>
        </is>
      </c>
      <c r="B294" s="1" t="n">
        <v>46051</v>
      </c>
      <c r="C294" s="1" t="n">
        <v>46091</v>
      </c>
      <c r="D294" t="inlineStr">
        <is>
          <t>DALARNAS LÄN</t>
        </is>
      </c>
      <c r="E294" t="inlineStr">
        <is>
          <t>SÄTER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10173-2026</t>
        </is>
      </c>
      <c r="B295" s="1" t="n">
        <v>46076</v>
      </c>
      <c r="C295" s="1" t="n">
        <v>46091</v>
      </c>
      <c r="D295" t="inlineStr">
        <is>
          <t>DALARNAS LÄN</t>
        </is>
      </c>
      <c r="E295" t="inlineStr">
        <is>
          <t>SÄTER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1326-2026</t>
        </is>
      </c>
      <c r="B296" s="1" t="n">
        <v>46031.55268518518</v>
      </c>
      <c r="C296" s="1" t="n">
        <v>46091</v>
      </c>
      <c r="D296" t="inlineStr">
        <is>
          <t>DALARNAS LÄN</t>
        </is>
      </c>
      <c r="E296" t="inlineStr">
        <is>
          <t>SÄTER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1343-2026</t>
        </is>
      </c>
      <c r="B297" s="1" t="n">
        <v>46031.57842592592</v>
      </c>
      <c r="C297" s="1" t="n">
        <v>46091</v>
      </c>
      <c r="D297" t="inlineStr">
        <is>
          <t>DALARNAS LÄN</t>
        </is>
      </c>
      <c r="E297" t="inlineStr">
        <is>
          <t>SÄTER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52161-2025</t>
        </is>
      </c>
      <c r="B298" s="1" t="n">
        <v>45953.36090277778</v>
      </c>
      <c r="C298" s="1" t="n">
        <v>46091</v>
      </c>
      <c r="D298" t="inlineStr">
        <is>
          <t>DALARNAS LÄN</t>
        </is>
      </c>
      <c r="E298" t="inlineStr">
        <is>
          <t>SÄTER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19162-2022</t>
        </is>
      </c>
      <c r="B299" s="1" t="n">
        <v>44691</v>
      </c>
      <c r="C299" s="1" t="n">
        <v>46091</v>
      </c>
      <c r="D299" t="inlineStr">
        <is>
          <t>DALARNAS LÄN</t>
        </is>
      </c>
      <c r="E299" t="inlineStr">
        <is>
          <t>SÄTER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2047-2026</t>
        </is>
      </c>
      <c r="B300" s="1" t="n">
        <v>46031</v>
      </c>
      <c r="C300" s="1" t="n">
        <v>46091</v>
      </c>
      <c r="D300" t="inlineStr">
        <is>
          <t>DALARNAS LÄN</t>
        </is>
      </c>
      <c r="E300" t="inlineStr">
        <is>
          <t>SÄTER</t>
        </is>
      </c>
      <c r="F300" t="inlineStr">
        <is>
          <t>Kommuner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10222-2026</t>
        </is>
      </c>
      <c r="B301" s="1" t="n">
        <v>46076</v>
      </c>
      <c r="C301" s="1" t="n">
        <v>46091</v>
      </c>
      <c r="D301" t="inlineStr">
        <is>
          <t>DALARNAS LÄN</t>
        </is>
      </c>
      <c r="E301" t="inlineStr">
        <is>
          <t>SÄTER</t>
        </is>
      </c>
      <c r="G301" t="n">
        <v>15.2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1517-2026</t>
        </is>
      </c>
      <c r="B302" s="1" t="n">
        <v>46034.35295138889</v>
      </c>
      <c r="C302" s="1" t="n">
        <v>46091</v>
      </c>
      <c r="D302" t="inlineStr">
        <is>
          <t>DALARNAS LÄN</t>
        </is>
      </c>
      <c r="E302" t="inlineStr">
        <is>
          <t>SÄTER</t>
        </is>
      </c>
      <c r="G302" t="n">
        <v>8.1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1711-2026</t>
        </is>
      </c>
      <c r="B303" s="1" t="n">
        <v>46034.60328703704</v>
      </c>
      <c r="C303" s="1" t="n">
        <v>46091</v>
      </c>
      <c r="D303" t="inlineStr">
        <is>
          <t>DALARNAS LÄN</t>
        </is>
      </c>
      <c r="E303" t="inlineStr">
        <is>
          <t>SÄTER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1297-2026</t>
        </is>
      </c>
      <c r="B304" s="1" t="n">
        <v>46031</v>
      </c>
      <c r="C304" s="1" t="n">
        <v>46091</v>
      </c>
      <c r="D304" t="inlineStr">
        <is>
          <t>DALARNAS LÄN</t>
        </is>
      </c>
      <c r="E304" t="inlineStr">
        <is>
          <t>SÄTER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6318-2026</t>
        </is>
      </c>
      <c r="B305" s="1" t="n">
        <v>46051</v>
      </c>
      <c r="C305" s="1" t="n">
        <v>46091</v>
      </c>
      <c r="D305" t="inlineStr">
        <is>
          <t>DALARNAS LÄN</t>
        </is>
      </c>
      <c r="E305" t="inlineStr">
        <is>
          <t>SÄTER</t>
        </is>
      </c>
      <c r="F305" t="inlineStr">
        <is>
          <t>Kommuner</t>
        </is>
      </c>
      <c r="G305" t="n">
        <v>42.6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2119-2026</t>
        </is>
      </c>
      <c r="B306" s="1" t="n">
        <v>46036</v>
      </c>
      <c r="C306" s="1" t="n">
        <v>46091</v>
      </c>
      <c r="D306" t="inlineStr">
        <is>
          <t>DALARNAS LÄN</t>
        </is>
      </c>
      <c r="E306" t="inlineStr">
        <is>
          <t>SÄTER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2176-2026</t>
        </is>
      </c>
      <c r="B307" s="1" t="n">
        <v>46036.45327546296</v>
      </c>
      <c r="C307" s="1" t="n">
        <v>46091</v>
      </c>
      <c r="D307" t="inlineStr">
        <is>
          <t>DALARNAS LÄN</t>
        </is>
      </c>
      <c r="E307" t="inlineStr">
        <is>
          <t>SÄTER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17914-2025</t>
        </is>
      </c>
      <c r="B308" s="1" t="n">
        <v>45758.78844907408</v>
      </c>
      <c r="C308" s="1" t="n">
        <v>46091</v>
      </c>
      <c r="D308" t="inlineStr">
        <is>
          <t>DALARNAS LÄN</t>
        </is>
      </c>
      <c r="E308" t="inlineStr">
        <is>
          <t>SÄTER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17915-2025</t>
        </is>
      </c>
      <c r="B309" s="1" t="n">
        <v>45758.79019675926</v>
      </c>
      <c r="C309" s="1" t="n">
        <v>46091</v>
      </c>
      <c r="D309" t="inlineStr">
        <is>
          <t>DALARNAS LÄN</t>
        </is>
      </c>
      <c r="E309" t="inlineStr">
        <is>
          <t>SÄTER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10285-2026</t>
        </is>
      </c>
      <c r="B310" s="1" t="n">
        <v>46076</v>
      </c>
      <c r="C310" s="1" t="n">
        <v>46091</v>
      </c>
      <c r="D310" t="inlineStr">
        <is>
          <t>DALARNAS LÄN</t>
        </is>
      </c>
      <c r="E310" t="inlineStr">
        <is>
          <t>SÄTER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29846-2023</t>
        </is>
      </c>
      <c r="B311" s="1" t="n">
        <v>45107.58966435185</v>
      </c>
      <c r="C311" s="1" t="n">
        <v>46091</v>
      </c>
      <c r="D311" t="inlineStr">
        <is>
          <t>DALARNAS LÄN</t>
        </is>
      </c>
      <c r="E311" t="inlineStr">
        <is>
          <t>SÄTER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54310-2023</t>
        </is>
      </c>
      <c r="B312" s="1" t="n">
        <v>45232.89916666667</v>
      </c>
      <c r="C312" s="1" t="n">
        <v>46091</v>
      </c>
      <c r="D312" t="inlineStr">
        <is>
          <t>DALARNAS LÄN</t>
        </is>
      </c>
      <c r="E312" t="inlineStr">
        <is>
          <t>SÄTER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2087-2026</t>
        </is>
      </c>
      <c r="B313" s="1" t="n">
        <v>46036</v>
      </c>
      <c r="C313" s="1" t="n">
        <v>46091</v>
      </c>
      <c r="D313" t="inlineStr">
        <is>
          <t>DALARNAS LÄN</t>
        </is>
      </c>
      <c r="E313" t="inlineStr">
        <is>
          <t>SÄTER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2298-2026</t>
        </is>
      </c>
      <c r="B314" s="1" t="n">
        <v>46036</v>
      </c>
      <c r="C314" s="1" t="n">
        <v>46091</v>
      </c>
      <c r="D314" t="inlineStr">
        <is>
          <t>DALARNAS LÄN</t>
        </is>
      </c>
      <c r="E314" t="inlineStr">
        <is>
          <t>SÄTER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56225-2023</t>
        </is>
      </c>
      <c r="B315" s="1" t="n">
        <v>45240</v>
      </c>
      <c r="C315" s="1" t="n">
        <v>46091</v>
      </c>
      <c r="D315" t="inlineStr">
        <is>
          <t>DALARNAS LÄN</t>
        </is>
      </c>
      <c r="E315" t="inlineStr">
        <is>
          <t>SÄTER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10214-2026</t>
        </is>
      </c>
      <c r="B316" s="1" t="n">
        <v>46076</v>
      </c>
      <c r="C316" s="1" t="n">
        <v>46091</v>
      </c>
      <c r="D316" t="inlineStr">
        <is>
          <t>DALARNAS LÄN</t>
        </is>
      </c>
      <c r="E316" t="inlineStr">
        <is>
          <t>SÄTER</t>
        </is>
      </c>
      <c r="G316" t="n">
        <v>7.1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10146-2026</t>
        </is>
      </c>
      <c r="B317" s="1" t="n">
        <v>46076</v>
      </c>
      <c r="C317" s="1" t="n">
        <v>46091</v>
      </c>
      <c r="D317" t="inlineStr">
        <is>
          <t>DALARNAS LÄN</t>
        </is>
      </c>
      <c r="E317" t="inlineStr">
        <is>
          <t>SÄTER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2098-2026</t>
        </is>
      </c>
      <c r="B318" s="1" t="n">
        <v>46036</v>
      </c>
      <c r="C318" s="1" t="n">
        <v>46091</v>
      </c>
      <c r="D318" t="inlineStr">
        <is>
          <t>DALARNAS LÄN</t>
        </is>
      </c>
      <c r="E318" t="inlineStr">
        <is>
          <t>SÄTER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2169-2026</t>
        </is>
      </c>
      <c r="B319" s="1" t="n">
        <v>46036.44633101852</v>
      </c>
      <c r="C319" s="1" t="n">
        <v>46091</v>
      </c>
      <c r="D319" t="inlineStr">
        <is>
          <t>DALARNAS LÄN</t>
        </is>
      </c>
      <c r="E319" t="inlineStr">
        <is>
          <t>SÄTER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36847-2023</t>
        </is>
      </c>
      <c r="B320" s="1" t="n">
        <v>45154.50928240741</v>
      </c>
      <c r="C320" s="1" t="n">
        <v>46091</v>
      </c>
      <c r="D320" t="inlineStr">
        <is>
          <t>DALARNAS LÄN</t>
        </is>
      </c>
      <c r="E320" t="inlineStr">
        <is>
          <t>SÄTER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8496-2026</t>
        </is>
      </c>
      <c r="B321" s="1" t="n">
        <v>46065.49203703704</v>
      </c>
      <c r="C321" s="1" t="n">
        <v>46091</v>
      </c>
      <c r="D321" t="inlineStr">
        <is>
          <t>DALARNAS LÄN</t>
        </is>
      </c>
      <c r="E321" t="inlineStr">
        <is>
          <t>SÄTER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44724-2024</t>
        </is>
      </c>
      <c r="B322" s="1" t="n">
        <v>45574</v>
      </c>
      <c r="C322" s="1" t="n">
        <v>46091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44729-2024</t>
        </is>
      </c>
      <c r="B323" s="1" t="n">
        <v>45574</v>
      </c>
      <c r="C323" s="1" t="n">
        <v>46091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55650-2024</t>
        </is>
      </c>
      <c r="B324" s="1" t="n">
        <v>45622.63122685185</v>
      </c>
      <c r="C324" s="1" t="n">
        <v>46091</v>
      </c>
      <c r="D324" t="inlineStr">
        <is>
          <t>DALARNAS LÄN</t>
        </is>
      </c>
      <c r="E324" t="inlineStr">
        <is>
          <t>SÄTER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1594-2025</t>
        </is>
      </c>
      <c r="B325" s="1" t="n">
        <v>45670.58211805556</v>
      </c>
      <c r="C325" s="1" t="n">
        <v>46091</v>
      </c>
      <c r="D325" t="inlineStr">
        <is>
          <t>DALARNAS LÄN</t>
        </is>
      </c>
      <c r="E325" t="inlineStr">
        <is>
          <t>SÄTER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2507-2026</t>
        </is>
      </c>
      <c r="B326" s="1" t="n">
        <v>46037</v>
      </c>
      <c r="C326" s="1" t="n">
        <v>46091</v>
      </c>
      <c r="D326" t="inlineStr">
        <is>
          <t>DALARNAS LÄN</t>
        </is>
      </c>
      <c r="E326" t="inlineStr">
        <is>
          <t>SÄTER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10320-2026</t>
        </is>
      </c>
      <c r="B327" s="1" t="n">
        <v>46076</v>
      </c>
      <c r="C327" s="1" t="n">
        <v>46091</v>
      </c>
      <c r="D327" t="inlineStr">
        <is>
          <t>DALARNAS LÄN</t>
        </is>
      </c>
      <c r="E327" t="inlineStr">
        <is>
          <t>SÄTER</t>
        </is>
      </c>
      <c r="F327" t="inlineStr">
        <is>
          <t>Kommuner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2479-2026</t>
        </is>
      </c>
      <c r="B328" s="1" t="n">
        <v>46037</v>
      </c>
      <c r="C328" s="1" t="n">
        <v>46091</v>
      </c>
      <c r="D328" t="inlineStr">
        <is>
          <t>DALARNAS LÄN</t>
        </is>
      </c>
      <c r="E328" t="inlineStr">
        <is>
          <t>SÄTER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2455-2026</t>
        </is>
      </c>
      <c r="B329" s="1" t="n">
        <v>46037.3446875</v>
      </c>
      <c r="C329" s="1" t="n">
        <v>46091</v>
      </c>
      <c r="D329" t="inlineStr">
        <is>
          <t>DALARNAS LÄN</t>
        </is>
      </c>
      <c r="E329" t="inlineStr">
        <is>
          <t>SÄTER</t>
        </is>
      </c>
      <c r="F329" t="inlineStr">
        <is>
          <t>Övriga Aktiebolag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10302-2026</t>
        </is>
      </c>
      <c r="B330" s="1" t="n">
        <v>46076</v>
      </c>
      <c r="C330" s="1" t="n">
        <v>46091</v>
      </c>
      <c r="D330" t="inlineStr">
        <is>
          <t>DALARNAS LÄN</t>
        </is>
      </c>
      <c r="E330" t="inlineStr">
        <is>
          <t>SÄTER</t>
        </is>
      </c>
      <c r="F330" t="inlineStr">
        <is>
          <t>Kommuner</t>
        </is>
      </c>
      <c r="G330" t="n">
        <v>11.3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7573-2026</t>
        </is>
      </c>
      <c r="B331" s="1" t="n">
        <v>46060</v>
      </c>
      <c r="C331" s="1" t="n">
        <v>46091</v>
      </c>
      <c r="D331" t="inlineStr">
        <is>
          <t>DALARNAS LÄN</t>
        </is>
      </c>
      <c r="E331" t="inlineStr">
        <is>
          <t>SÄTER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18888-2022</t>
        </is>
      </c>
      <c r="B332" s="1" t="n">
        <v>44690.56789351852</v>
      </c>
      <c r="C332" s="1" t="n">
        <v>46091</v>
      </c>
      <c r="D332" t="inlineStr">
        <is>
          <t>DALARNAS LÄN</t>
        </is>
      </c>
      <c r="E332" t="inlineStr">
        <is>
          <t>SÄTER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8564-2026</t>
        </is>
      </c>
      <c r="B333" s="1" t="n">
        <v>46065</v>
      </c>
      <c r="C333" s="1" t="n">
        <v>46091</v>
      </c>
      <c r="D333" t="inlineStr">
        <is>
          <t>DALARNAS LÄN</t>
        </is>
      </c>
      <c r="E333" t="inlineStr">
        <is>
          <t>SÄTER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11405-2026</t>
        </is>
      </c>
      <c r="B334" s="1" t="n">
        <v>46083.45427083333</v>
      </c>
      <c r="C334" s="1" t="n">
        <v>46091</v>
      </c>
      <c r="D334" t="inlineStr">
        <is>
          <t>DALARNAS LÄN</t>
        </is>
      </c>
      <c r="E334" t="inlineStr">
        <is>
          <t>SÄTER</t>
        </is>
      </c>
      <c r="F334" t="inlineStr">
        <is>
          <t>Bergvik skog väst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3255-2026</t>
        </is>
      </c>
      <c r="B335" s="1" t="n">
        <v>46041.59100694444</v>
      </c>
      <c r="C335" s="1" t="n">
        <v>46091</v>
      </c>
      <c r="D335" t="inlineStr">
        <is>
          <t>DALARNAS LÄN</t>
        </is>
      </c>
      <c r="E335" t="inlineStr">
        <is>
          <t>SÄTER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24617-2022</t>
        </is>
      </c>
      <c r="B336" s="1" t="n">
        <v>44727</v>
      </c>
      <c r="C336" s="1" t="n">
        <v>46091</v>
      </c>
      <c r="D336" t="inlineStr">
        <is>
          <t>DALARNAS LÄN</t>
        </is>
      </c>
      <c r="E336" t="inlineStr">
        <is>
          <t>SÄTER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21859-2022</t>
        </is>
      </c>
      <c r="B337" s="1" t="n">
        <v>44711.36557870371</v>
      </c>
      <c r="C337" s="1" t="n">
        <v>46091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3423-2026</t>
        </is>
      </c>
      <c r="B338" s="1" t="n">
        <v>46042.43443287037</v>
      </c>
      <c r="C338" s="1" t="n">
        <v>46091</v>
      </c>
      <c r="D338" t="inlineStr">
        <is>
          <t>DALARNAS LÄN</t>
        </is>
      </c>
      <c r="E338" t="inlineStr">
        <is>
          <t>SÄTER</t>
        </is>
      </c>
      <c r="G338" t="n">
        <v>10.6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3445-2026</t>
        </is>
      </c>
      <c r="B339" s="1" t="n">
        <v>46042</v>
      </c>
      <c r="C339" s="1" t="n">
        <v>46091</v>
      </c>
      <c r="D339" t="inlineStr">
        <is>
          <t>DALARNAS LÄN</t>
        </is>
      </c>
      <c r="E339" t="inlineStr">
        <is>
          <t>SÄTER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513-2026</t>
        </is>
      </c>
      <c r="B340" s="1" t="n">
        <v>46029</v>
      </c>
      <c r="C340" s="1" t="n">
        <v>46091</v>
      </c>
      <c r="D340" t="inlineStr">
        <is>
          <t>DALARNAS LÄN</t>
        </is>
      </c>
      <c r="E340" t="inlineStr">
        <is>
          <t>SÄTER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57824-2023</t>
        </is>
      </c>
      <c r="B341" s="1" t="n">
        <v>45247</v>
      </c>
      <c r="C341" s="1" t="n">
        <v>46091</v>
      </c>
      <c r="D341" t="inlineStr">
        <is>
          <t>DALARNAS LÄN</t>
        </is>
      </c>
      <c r="E341" t="inlineStr">
        <is>
          <t>SÄTER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536-2026</t>
        </is>
      </c>
      <c r="B342" s="1" t="n">
        <v>46029</v>
      </c>
      <c r="C342" s="1" t="n">
        <v>46091</v>
      </c>
      <c r="D342" t="inlineStr">
        <is>
          <t>DALARNAS LÄN</t>
        </is>
      </c>
      <c r="E342" t="inlineStr">
        <is>
          <t>SÄTER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10100-2026</t>
        </is>
      </c>
      <c r="B343" s="1" t="n">
        <v>46073</v>
      </c>
      <c r="C343" s="1" t="n">
        <v>46091</v>
      </c>
      <c r="D343" t="inlineStr">
        <is>
          <t>DALARNAS LÄN</t>
        </is>
      </c>
      <c r="E343" t="inlineStr">
        <is>
          <t>SÄTER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3751-2026</t>
        </is>
      </c>
      <c r="B344" s="1" t="n">
        <v>46043.5496875</v>
      </c>
      <c r="C344" s="1" t="n">
        <v>46091</v>
      </c>
      <c r="D344" t="inlineStr">
        <is>
          <t>DALARNAS LÄN</t>
        </is>
      </c>
      <c r="E344" t="inlineStr">
        <is>
          <t>SÄTER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8435-2026</t>
        </is>
      </c>
      <c r="B345" s="1" t="n">
        <v>46065</v>
      </c>
      <c r="C345" s="1" t="n">
        <v>46091</v>
      </c>
      <c r="D345" t="inlineStr">
        <is>
          <t>DALARNAS LÄN</t>
        </is>
      </c>
      <c r="E345" t="inlineStr">
        <is>
          <t>SÄTER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12184-2026</t>
        </is>
      </c>
      <c r="B346" s="1" t="n">
        <v>46086.72127314815</v>
      </c>
      <c r="C346" s="1" t="n">
        <v>46091</v>
      </c>
      <c r="D346" t="inlineStr">
        <is>
          <t>DALARNAS LÄN</t>
        </is>
      </c>
      <c r="E346" t="inlineStr">
        <is>
          <t>SÄTER</t>
        </is>
      </c>
      <c r="F346" t="inlineStr">
        <is>
          <t>Kyrkan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10101-2026</t>
        </is>
      </c>
      <c r="B347" s="1" t="n">
        <v>46073</v>
      </c>
      <c r="C347" s="1" t="n">
        <v>46091</v>
      </c>
      <c r="D347" t="inlineStr">
        <is>
          <t>DALARNAS LÄN</t>
        </is>
      </c>
      <c r="E347" t="inlineStr">
        <is>
          <t>SÄTER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4042-2026</t>
        </is>
      </c>
      <c r="B348" s="1" t="n">
        <v>46044.4659375</v>
      </c>
      <c r="C348" s="1" t="n">
        <v>46091</v>
      </c>
      <c r="D348" t="inlineStr">
        <is>
          <t>DALARNAS LÄN</t>
        </is>
      </c>
      <c r="E348" t="inlineStr">
        <is>
          <t>SÄTER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25690-2022</t>
        </is>
      </c>
      <c r="B349" s="1" t="n">
        <v>44732</v>
      </c>
      <c r="C349" s="1" t="n">
        <v>46091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4026-2026</t>
        </is>
      </c>
      <c r="B350" s="1" t="n">
        <v>46044.44135416667</v>
      </c>
      <c r="C350" s="1" t="n">
        <v>46091</v>
      </c>
      <c r="D350" t="inlineStr">
        <is>
          <t>DALARNAS LÄN</t>
        </is>
      </c>
      <c r="E350" t="inlineStr">
        <is>
          <t>SÄTER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52193-2021</t>
        </is>
      </c>
      <c r="B351" s="1" t="n">
        <v>44463</v>
      </c>
      <c r="C351" s="1" t="n">
        <v>46091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12330-2026</t>
        </is>
      </c>
      <c r="B352" s="1" t="n">
        <v>46087.62559027778</v>
      </c>
      <c r="C352" s="1" t="n">
        <v>46091</v>
      </c>
      <c r="D352" t="inlineStr">
        <is>
          <t>DALARNAS LÄN</t>
        </is>
      </c>
      <c r="E352" t="inlineStr">
        <is>
          <t>SÄTER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10540-2024</t>
        </is>
      </c>
      <c r="B353" s="1" t="n">
        <v>45366.55604166666</v>
      </c>
      <c r="C353" s="1" t="n">
        <v>46091</v>
      </c>
      <c r="D353" t="inlineStr">
        <is>
          <t>DALARNAS LÄN</t>
        </is>
      </c>
      <c r="E353" t="inlineStr">
        <is>
          <t>SÄTER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11533-2026</t>
        </is>
      </c>
      <c r="B354" s="1" t="n">
        <v>46083.79258101852</v>
      </c>
      <c r="C354" s="1" t="n">
        <v>46091</v>
      </c>
      <c r="D354" t="inlineStr">
        <is>
          <t>DALARNAS LÄN</t>
        </is>
      </c>
      <c r="E354" t="inlineStr">
        <is>
          <t>SÄTER</t>
        </is>
      </c>
      <c r="F354" t="inlineStr">
        <is>
          <t>Kommuner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38240-2022</t>
        </is>
      </c>
      <c r="B355" s="1" t="n">
        <v>44812</v>
      </c>
      <c r="C355" s="1" t="n">
        <v>46091</v>
      </c>
      <c r="D355" t="inlineStr">
        <is>
          <t>DALARNAS LÄN</t>
        </is>
      </c>
      <c r="E355" t="inlineStr">
        <is>
          <t>SÄTER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61743-2023</t>
        </is>
      </c>
      <c r="B356" s="1" t="n">
        <v>45265</v>
      </c>
      <c r="C356" s="1" t="n">
        <v>46091</v>
      </c>
      <c r="D356" t="inlineStr">
        <is>
          <t>DALARNAS LÄN</t>
        </is>
      </c>
      <c r="E356" t="inlineStr">
        <is>
          <t>SÄTER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10357-2026</t>
        </is>
      </c>
      <c r="B357" s="1" t="n">
        <v>46076</v>
      </c>
      <c r="C357" s="1" t="n">
        <v>46091</v>
      </c>
      <c r="D357" t="inlineStr">
        <is>
          <t>DALARNAS LÄN</t>
        </is>
      </c>
      <c r="E357" t="inlineStr">
        <is>
          <t>SÄTER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4346-2026</t>
        </is>
      </c>
      <c r="B358" s="1" t="n">
        <v>46045.52084490741</v>
      </c>
      <c r="C358" s="1" t="n">
        <v>46091</v>
      </c>
      <c r="D358" t="inlineStr">
        <is>
          <t>DALARNAS LÄN</t>
        </is>
      </c>
      <c r="E358" t="inlineStr">
        <is>
          <t>SÄTER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11733-2026</t>
        </is>
      </c>
      <c r="B359" s="1" t="n">
        <v>46084.64422453703</v>
      </c>
      <c r="C359" s="1" t="n">
        <v>46091</v>
      </c>
      <c r="D359" t="inlineStr">
        <is>
          <t>DALARNAS LÄN</t>
        </is>
      </c>
      <c r="E359" t="inlineStr">
        <is>
          <t>SÄTER</t>
        </is>
      </c>
      <c r="F359" t="inlineStr">
        <is>
          <t>Kommuner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11737-2026</t>
        </is>
      </c>
      <c r="B360" s="1" t="n">
        <v>46084.65003472222</v>
      </c>
      <c r="C360" s="1" t="n">
        <v>46091</v>
      </c>
      <c r="D360" t="inlineStr">
        <is>
          <t>DALARNAS LÄN</t>
        </is>
      </c>
      <c r="E360" t="inlineStr">
        <is>
          <t>SÄTER</t>
        </is>
      </c>
      <c r="F360" t="inlineStr">
        <is>
          <t>Kommuner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4345-2026</t>
        </is>
      </c>
      <c r="B361" s="1" t="n">
        <v>46045.51796296296</v>
      </c>
      <c r="C361" s="1" t="n">
        <v>46091</v>
      </c>
      <c r="D361" t="inlineStr">
        <is>
          <t>DALARNAS LÄN</t>
        </is>
      </c>
      <c r="E361" t="inlineStr">
        <is>
          <t>SÄTER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10552-2026</t>
        </is>
      </c>
      <c r="B362" s="1" t="n">
        <v>46077</v>
      </c>
      <c r="C362" s="1" t="n">
        <v>46091</v>
      </c>
      <c r="D362" t="inlineStr">
        <is>
          <t>DALARNAS LÄN</t>
        </is>
      </c>
      <c r="E362" t="inlineStr">
        <is>
          <t>SÄTER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12265-2026</t>
        </is>
      </c>
      <c r="B363" s="1" t="n">
        <v>46087.49597222222</v>
      </c>
      <c r="C363" s="1" t="n">
        <v>46091</v>
      </c>
      <c r="D363" t="inlineStr">
        <is>
          <t>DALARNAS LÄN</t>
        </is>
      </c>
      <c r="E363" t="inlineStr">
        <is>
          <t>SÄTER</t>
        </is>
      </c>
      <c r="F363" t="inlineStr">
        <is>
          <t>Kommuner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12320-2026</t>
        </is>
      </c>
      <c r="B364" s="1" t="n">
        <v>46087.60482638889</v>
      </c>
      <c r="C364" s="1" t="n">
        <v>46091</v>
      </c>
      <c r="D364" t="inlineStr">
        <is>
          <t>DALARNAS LÄN</t>
        </is>
      </c>
      <c r="E364" t="inlineStr">
        <is>
          <t>SÄTER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12322-2026</t>
        </is>
      </c>
      <c r="B365" s="1" t="n">
        <v>46087.6081712963</v>
      </c>
      <c r="C365" s="1" t="n">
        <v>46091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63152-2023</t>
        </is>
      </c>
      <c r="B366" s="1" t="n">
        <v>45273</v>
      </c>
      <c r="C366" s="1" t="n">
        <v>46091</v>
      </c>
      <c r="D366" t="inlineStr">
        <is>
          <t>DALARNAS LÄN</t>
        </is>
      </c>
      <c r="E366" t="inlineStr">
        <is>
          <t>SÄTER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41954-2024</t>
        </is>
      </c>
      <c r="B367" s="1" t="n">
        <v>45561</v>
      </c>
      <c r="C367" s="1" t="n">
        <v>46091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12318-2026</t>
        </is>
      </c>
      <c r="B368" s="1" t="n">
        <v>46087.59929398148</v>
      </c>
      <c r="C368" s="1" t="n">
        <v>46091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5981-2023</t>
        </is>
      </c>
      <c r="B369" s="1" t="n">
        <v>44964</v>
      </c>
      <c r="C369" s="1" t="n">
        <v>46091</v>
      </c>
      <c r="D369" t="inlineStr">
        <is>
          <t>DALARNAS LÄN</t>
        </is>
      </c>
      <c r="E369" t="inlineStr">
        <is>
          <t>SÄTER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61332-2023</t>
        </is>
      </c>
      <c r="B370" s="1" t="n">
        <v>45264.58917824074</v>
      </c>
      <c r="C370" s="1" t="n">
        <v>46091</v>
      </c>
      <c r="D370" t="inlineStr">
        <is>
          <t>DALARNAS LÄN</t>
        </is>
      </c>
      <c r="E370" t="inlineStr">
        <is>
          <t>SÄTER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12266-2026</t>
        </is>
      </c>
      <c r="B371" s="1" t="n">
        <v>46087.50246527778</v>
      </c>
      <c r="C371" s="1" t="n">
        <v>46091</v>
      </c>
      <c r="D371" t="inlineStr">
        <is>
          <t>DALARNAS LÄN</t>
        </is>
      </c>
      <c r="E371" t="inlineStr">
        <is>
          <t>SÄTER</t>
        </is>
      </c>
      <c r="F371" t="inlineStr">
        <is>
          <t>Kommuner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18062-2025</t>
        </is>
      </c>
      <c r="B372" s="1" t="n">
        <v>45761.48274305555</v>
      </c>
      <c r="C372" s="1" t="n">
        <v>46091</v>
      </c>
      <c r="D372" t="inlineStr">
        <is>
          <t>DALARNAS LÄN</t>
        </is>
      </c>
      <c r="E372" t="inlineStr">
        <is>
          <t>SÄTER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14747-2024</t>
        </is>
      </c>
      <c r="B373" s="1" t="n">
        <v>45397.63957175926</v>
      </c>
      <c r="C373" s="1" t="n">
        <v>46091</v>
      </c>
      <c r="D373" t="inlineStr">
        <is>
          <t>DALARNAS LÄN</t>
        </is>
      </c>
      <c r="E373" t="inlineStr">
        <is>
          <t>SÄTER</t>
        </is>
      </c>
      <c r="F373" t="inlineStr">
        <is>
          <t>Bergvik skog väst AB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26456-2024</t>
        </is>
      </c>
      <c r="B374" s="1" t="n">
        <v>45469.52028935185</v>
      </c>
      <c r="C374" s="1" t="n">
        <v>46091</v>
      </c>
      <c r="D374" t="inlineStr">
        <is>
          <t>DALARNAS LÄN</t>
        </is>
      </c>
      <c r="E374" t="inlineStr">
        <is>
          <t>SÄTER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33872-2024</t>
        </is>
      </c>
      <c r="B375" s="1" t="n">
        <v>45520.96</v>
      </c>
      <c r="C375" s="1" t="n">
        <v>46091</v>
      </c>
      <c r="D375" t="inlineStr">
        <is>
          <t>DALARNAS LÄN</t>
        </is>
      </c>
      <c r="E375" t="inlineStr">
        <is>
          <t>SÄTER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47064-2021</t>
        </is>
      </c>
      <c r="B376" s="1" t="n">
        <v>44446.64893518519</v>
      </c>
      <c r="C376" s="1" t="n">
        <v>46091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54141-2023</t>
        </is>
      </c>
      <c r="B377" s="1" t="n">
        <v>45232</v>
      </c>
      <c r="C377" s="1" t="n">
        <v>46091</v>
      </c>
      <c r="D377" t="inlineStr">
        <is>
          <t>DALARNAS LÄN</t>
        </is>
      </c>
      <c r="E377" t="inlineStr">
        <is>
          <t>SÄTER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2929-2022</t>
        </is>
      </c>
      <c r="B378" s="1" t="n">
        <v>44581.60393518519</v>
      </c>
      <c r="C378" s="1" t="n">
        <v>46091</v>
      </c>
      <c r="D378" t="inlineStr">
        <is>
          <t>DALARNAS LÄN</t>
        </is>
      </c>
      <c r="E378" t="inlineStr">
        <is>
          <t>SÄTER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19773-2024</t>
        </is>
      </c>
      <c r="B379" s="1" t="n">
        <v>45432.72061342592</v>
      </c>
      <c r="C379" s="1" t="n">
        <v>46091</v>
      </c>
      <c r="D379" t="inlineStr">
        <is>
          <t>DALARNAS LÄN</t>
        </is>
      </c>
      <c r="E379" t="inlineStr">
        <is>
          <t>SÄTER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57833-2023</t>
        </is>
      </c>
      <c r="B380" s="1" t="n">
        <v>45247</v>
      </c>
      <c r="C380" s="1" t="n">
        <v>46091</v>
      </c>
      <c r="D380" t="inlineStr">
        <is>
          <t>DALARNAS LÄN</t>
        </is>
      </c>
      <c r="E380" t="inlineStr">
        <is>
          <t>SÄTER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5646-2023</t>
        </is>
      </c>
      <c r="B381" s="1" t="n">
        <v>44960</v>
      </c>
      <c r="C381" s="1" t="n">
        <v>46091</v>
      </c>
      <c r="D381" t="inlineStr">
        <is>
          <t>DALARNAS LÄN</t>
        </is>
      </c>
      <c r="E381" t="inlineStr">
        <is>
          <t>SÄTER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4216-2023</t>
        </is>
      </c>
      <c r="B382" s="1" t="n">
        <v>44953.45762731481</v>
      </c>
      <c r="C382" s="1" t="n">
        <v>46091</v>
      </c>
      <c r="D382" t="inlineStr">
        <is>
          <t>DALARNAS LÄN</t>
        </is>
      </c>
      <c r="E382" t="inlineStr">
        <is>
          <t>SÄTER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46559-2021</t>
        </is>
      </c>
      <c r="B383" s="1" t="n">
        <v>44445</v>
      </c>
      <c r="C383" s="1" t="n">
        <v>46091</v>
      </c>
      <c r="D383" t="inlineStr">
        <is>
          <t>DALARNAS LÄN</t>
        </is>
      </c>
      <c r="E383" t="inlineStr">
        <is>
          <t>SÄTER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51328-2024</t>
        </is>
      </c>
      <c r="B384" s="1" t="n">
        <v>45604.33951388889</v>
      </c>
      <c r="C384" s="1" t="n">
        <v>46091</v>
      </c>
      <c r="D384" t="inlineStr">
        <is>
          <t>DALARNAS LÄN</t>
        </is>
      </c>
      <c r="E384" t="inlineStr">
        <is>
          <t>SÄTER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51339-2024</t>
        </is>
      </c>
      <c r="B385" s="1" t="n">
        <v>45604.34466435185</v>
      </c>
      <c r="C385" s="1" t="n">
        <v>46091</v>
      </c>
      <c r="D385" t="inlineStr">
        <is>
          <t>DALARNAS LÄN</t>
        </is>
      </c>
      <c r="E385" t="inlineStr">
        <is>
          <t>SÄTER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38521-2024</t>
        </is>
      </c>
      <c r="B386" s="1" t="n">
        <v>45546.56472222223</v>
      </c>
      <c r="C386" s="1" t="n">
        <v>46091</v>
      </c>
      <c r="D386" t="inlineStr">
        <is>
          <t>DALARNAS LÄN</t>
        </is>
      </c>
      <c r="E386" t="inlineStr">
        <is>
          <t>SÄTER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51474-2024</t>
        </is>
      </c>
      <c r="B387" s="1" t="n">
        <v>45604.50557870371</v>
      </c>
      <c r="C387" s="1" t="n">
        <v>46091</v>
      </c>
      <c r="D387" t="inlineStr">
        <is>
          <t>DALARNAS LÄN</t>
        </is>
      </c>
      <c r="E387" t="inlineStr">
        <is>
          <t>SÄTER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50677-2024</t>
        </is>
      </c>
      <c r="B388" s="1" t="n">
        <v>45601.88305555555</v>
      </c>
      <c r="C388" s="1" t="n">
        <v>46091</v>
      </c>
      <c r="D388" t="inlineStr">
        <is>
          <t>DALARNAS LÄN</t>
        </is>
      </c>
      <c r="E388" t="inlineStr">
        <is>
          <t>SÄTER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12957-2022</t>
        </is>
      </c>
      <c r="B389" s="1" t="n">
        <v>44643</v>
      </c>
      <c r="C389" s="1" t="n">
        <v>46091</v>
      </c>
      <c r="D389" t="inlineStr">
        <is>
          <t>DALARNAS LÄN</t>
        </is>
      </c>
      <c r="E389" t="inlineStr">
        <is>
          <t>SÄTER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28977-2023</t>
        </is>
      </c>
      <c r="B390" s="1" t="n">
        <v>45104.61434027777</v>
      </c>
      <c r="C390" s="1" t="n">
        <v>46091</v>
      </c>
      <c r="D390" t="inlineStr">
        <is>
          <t>DALARNAS LÄN</t>
        </is>
      </c>
      <c r="E390" t="inlineStr">
        <is>
          <t>SÄTER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41691-2024</t>
        </is>
      </c>
      <c r="B391" s="1" t="n">
        <v>45560</v>
      </c>
      <c r="C391" s="1" t="n">
        <v>46091</v>
      </c>
      <c r="D391" t="inlineStr">
        <is>
          <t>DALARNAS LÄN</t>
        </is>
      </c>
      <c r="E391" t="inlineStr">
        <is>
          <t>SÄTER</t>
        </is>
      </c>
      <c r="F391" t="inlineStr">
        <is>
          <t>Bergvik skog väst AB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57430-2022</t>
        </is>
      </c>
      <c r="B392" s="1" t="n">
        <v>44896</v>
      </c>
      <c r="C392" s="1" t="n">
        <v>46091</v>
      </c>
      <c r="D392" t="inlineStr">
        <is>
          <t>DALARNAS LÄN</t>
        </is>
      </c>
      <c r="E392" t="inlineStr">
        <is>
          <t>SÄTER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14168-2025</t>
        </is>
      </c>
      <c r="B393" s="1" t="n">
        <v>45740.51744212963</v>
      </c>
      <c r="C393" s="1" t="n">
        <v>46091</v>
      </c>
      <c r="D393" t="inlineStr">
        <is>
          <t>DALARNAS LÄN</t>
        </is>
      </c>
      <c r="E393" t="inlineStr">
        <is>
          <t>SÄTER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57017-2024</t>
        </is>
      </c>
      <c r="B394" s="1" t="n">
        <v>45628.80585648148</v>
      </c>
      <c r="C394" s="1" t="n">
        <v>46091</v>
      </c>
      <c r="D394" t="inlineStr">
        <is>
          <t>DALARNAS LÄN</t>
        </is>
      </c>
      <c r="E394" t="inlineStr">
        <is>
          <t>SÄTER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34990-2024</t>
        </is>
      </c>
      <c r="B395" s="1" t="n">
        <v>45527.55416666667</v>
      </c>
      <c r="C395" s="1" t="n">
        <v>46091</v>
      </c>
      <c r="D395" t="inlineStr">
        <is>
          <t>DALARNAS LÄN</t>
        </is>
      </c>
      <c r="E395" t="inlineStr">
        <is>
          <t>SÄTER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34991-2024</t>
        </is>
      </c>
      <c r="B396" s="1" t="n">
        <v>45527.55650462963</v>
      </c>
      <c r="C396" s="1" t="n">
        <v>46091</v>
      </c>
      <c r="D396" t="inlineStr">
        <is>
          <t>DALARNAS LÄN</t>
        </is>
      </c>
      <c r="E396" t="inlineStr">
        <is>
          <t>SÄTER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50187-2024</t>
        </is>
      </c>
      <c r="B397" s="1" t="n">
        <v>45599</v>
      </c>
      <c r="C397" s="1" t="n">
        <v>46091</v>
      </c>
      <c r="D397" t="inlineStr">
        <is>
          <t>DALARNAS LÄN</t>
        </is>
      </c>
      <c r="E397" t="inlineStr">
        <is>
          <t>SÄTER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16834-2024</t>
        </is>
      </c>
      <c r="B398" s="1" t="n">
        <v>45411.48457175926</v>
      </c>
      <c r="C398" s="1" t="n">
        <v>46091</v>
      </c>
      <c r="D398" t="inlineStr">
        <is>
          <t>DALARNAS LÄN</t>
        </is>
      </c>
      <c r="E398" t="inlineStr">
        <is>
          <t>SÄTER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20491-2025</t>
        </is>
      </c>
      <c r="B399" s="1" t="n">
        <v>45775.56512731482</v>
      </c>
      <c r="C399" s="1" t="n">
        <v>46091</v>
      </c>
      <c r="D399" t="inlineStr">
        <is>
          <t>DALARNAS LÄN</t>
        </is>
      </c>
      <c r="E399" t="inlineStr">
        <is>
          <t>SÄTER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56827-2024</t>
        </is>
      </c>
      <c r="B400" s="1" t="n">
        <v>45628.49442129629</v>
      </c>
      <c r="C400" s="1" t="n">
        <v>46091</v>
      </c>
      <c r="D400" t="inlineStr">
        <is>
          <t>DALARNAS LÄN</t>
        </is>
      </c>
      <c r="E400" t="inlineStr">
        <is>
          <t>SÄTER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9586-2023</t>
        </is>
      </c>
      <c r="B401" s="1" t="n">
        <v>44982</v>
      </c>
      <c r="C401" s="1" t="n">
        <v>46091</v>
      </c>
      <c r="D401" t="inlineStr">
        <is>
          <t>DALARNAS LÄN</t>
        </is>
      </c>
      <c r="E401" t="inlineStr">
        <is>
          <t>SÄTER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62368-2023</t>
        </is>
      </c>
      <c r="B402" s="1" t="n">
        <v>45268</v>
      </c>
      <c r="C402" s="1" t="n">
        <v>46091</v>
      </c>
      <c r="D402" t="inlineStr">
        <is>
          <t>DALARNAS LÄN</t>
        </is>
      </c>
      <c r="E402" t="inlineStr">
        <is>
          <t>SÄTER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39487-2022</t>
        </is>
      </c>
      <c r="B403" s="1" t="n">
        <v>44817</v>
      </c>
      <c r="C403" s="1" t="n">
        <v>46091</v>
      </c>
      <c r="D403" t="inlineStr">
        <is>
          <t>DALARNAS LÄN</t>
        </is>
      </c>
      <c r="E403" t="inlineStr">
        <is>
          <t>SÄTER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21766-2024</t>
        </is>
      </c>
      <c r="B404" s="1" t="n">
        <v>45442.60379629629</v>
      </c>
      <c r="C404" s="1" t="n">
        <v>46091</v>
      </c>
      <c r="D404" t="inlineStr">
        <is>
          <t>DALARNAS LÄN</t>
        </is>
      </c>
      <c r="E404" t="inlineStr">
        <is>
          <t>SÄTER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973-2023</t>
        </is>
      </c>
      <c r="B405" s="1" t="n">
        <v>44935.32741898148</v>
      </c>
      <c r="C405" s="1" t="n">
        <v>46091</v>
      </c>
      <c r="D405" t="inlineStr">
        <is>
          <t>DALARNAS LÄN</t>
        </is>
      </c>
      <c r="E405" t="inlineStr">
        <is>
          <t>SÄTER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32892-2022</t>
        </is>
      </c>
      <c r="B406" s="1" t="n">
        <v>44784.56407407407</v>
      </c>
      <c r="C406" s="1" t="n">
        <v>46091</v>
      </c>
      <c r="D406" t="inlineStr">
        <is>
          <t>DALARNAS LÄN</t>
        </is>
      </c>
      <c r="E406" t="inlineStr">
        <is>
          <t>SÄTER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32904-2022</t>
        </is>
      </c>
      <c r="B407" s="1" t="n">
        <v>44784</v>
      </c>
      <c r="C407" s="1" t="n">
        <v>46091</v>
      </c>
      <c r="D407" t="inlineStr">
        <is>
          <t>DALARNAS LÄN</t>
        </is>
      </c>
      <c r="E407" t="inlineStr">
        <is>
          <t>SÄTER</t>
        </is>
      </c>
      <c r="F407" t="inlineStr">
        <is>
          <t>Bergvik skog väst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23917-2024</t>
        </is>
      </c>
      <c r="B408" s="1" t="n">
        <v>45455.86696759259</v>
      </c>
      <c r="C408" s="1" t="n">
        <v>46091</v>
      </c>
      <c r="D408" t="inlineStr">
        <is>
          <t>DALARNAS LÄN</t>
        </is>
      </c>
      <c r="E408" t="inlineStr">
        <is>
          <t>SÄTER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10254-2025</t>
        </is>
      </c>
      <c r="B409" s="1" t="n">
        <v>45720.36833333333</v>
      </c>
      <c r="C409" s="1" t="n">
        <v>46091</v>
      </c>
      <c r="D409" t="inlineStr">
        <is>
          <t>DALARNAS LÄN</t>
        </is>
      </c>
      <c r="E409" t="inlineStr">
        <is>
          <t>SÄTER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34993-2024</t>
        </is>
      </c>
      <c r="B410" s="1" t="n">
        <v>45527.56167824074</v>
      </c>
      <c r="C410" s="1" t="n">
        <v>46091</v>
      </c>
      <c r="D410" t="inlineStr">
        <is>
          <t>DALARNAS LÄN</t>
        </is>
      </c>
      <c r="E410" t="inlineStr">
        <is>
          <t>SÄTER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62533-2023</t>
        </is>
      </c>
      <c r="B411" s="1" t="n">
        <v>45268</v>
      </c>
      <c r="C411" s="1" t="n">
        <v>46091</v>
      </c>
      <c r="D411" t="inlineStr">
        <is>
          <t>DALARNAS LÄN</t>
        </is>
      </c>
      <c r="E411" t="inlineStr">
        <is>
          <t>SÄTER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34652-2024</t>
        </is>
      </c>
      <c r="B412" s="1" t="n">
        <v>45526.48674768519</v>
      </c>
      <c r="C412" s="1" t="n">
        <v>46091</v>
      </c>
      <c r="D412" t="inlineStr">
        <is>
          <t>DALARNAS LÄN</t>
        </is>
      </c>
      <c r="E412" t="inlineStr">
        <is>
          <t>SÄTER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37923-2022</t>
        </is>
      </c>
      <c r="B413" s="1" t="n">
        <v>44811.45211805555</v>
      </c>
      <c r="C413" s="1" t="n">
        <v>46091</v>
      </c>
      <c r="D413" t="inlineStr">
        <is>
          <t>DALARNAS LÄN</t>
        </is>
      </c>
      <c r="E413" t="inlineStr">
        <is>
          <t>SÄTER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8697-2023</t>
        </is>
      </c>
      <c r="B414" s="1" t="n">
        <v>44978</v>
      </c>
      <c r="C414" s="1" t="n">
        <v>46091</v>
      </c>
      <c r="D414" t="inlineStr">
        <is>
          <t>DALARNAS LÄN</t>
        </is>
      </c>
      <c r="E414" t="inlineStr">
        <is>
          <t>SÄTER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7188-2023</t>
        </is>
      </c>
      <c r="B415" s="1" t="n">
        <v>44965</v>
      </c>
      <c r="C415" s="1" t="n">
        <v>46091</v>
      </c>
      <c r="D415" t="inlineStr">
        <is>
          <t>DALARNAS LÄN</t>
        </is>
      </c>
      <c r="E415" t="inlineStr">
        <is>
          <t>SÄTER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42225-2022</t>
        </is>
      </c>
      <c r="B416" s="1" t="n">
        <v>44830</v>
      </c>
      <c r="C416" s="1" t="n">
        <v>46091</v>
      </c>
      <c r="D416" t="inlineStr">
        <is>
          <t>DALARNAS LÄN</t>
        </is>
      </c>
      <c r="E416" t="inlineStr">
        <is>
          <t>SÄTER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17917-2025</t>
        </is>
      </c>
      <c r="B417" s="1" t="n">
        <v>45758.79458333334</v>
      </c>
      <c r="C417" s="1" t="n">
        <v>46091</v>
      </c>
      <c r="D417" t="inlineStr">
        <is>
          <t>DALARNAS LÄN</t>
        </is>
      </c>
      <c r="E417" t="inlineStr">
        <is>
          <t>SÄTER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10406-2024</t>
        </is>
      </c>
      <c r="B418" s="1" t="n">
        <v>45365</v>
      </c>
      <c r="C418" s="1" t="n">
        <v>46091</v>
      </c>
      <c r="D418" t="inlineStr">
        <is>
          <t>DALARNAS LÄN</t>
        </is>
      </c>
      <c r="E418" t="inlineStr">
        <is>
          <t>SÄTER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51333-2024</t>
        </is>
      </c>
      <c r="B419" s="1" t="n">
        <v>45604.34403935185</v>
      </c>
      <c r="C419" s="1" t="n">
        <v>46091</v>
      </c>
      <c r="D419" t="inlineStr">
        <is>
          <t>DALARNAS LÄN</t>
        </is>
      </c>
      <c r="E419" t="inlineStr">
        <is>
          <t>SÄTER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41643-2023</t>
        </is>
      </c>
      <c r="B420" s="1" t="n">
        <v>45175</v>
      </c>
      <c r="C420" s="1" t="n">
        <v>46091</v>
      </c>
      <c r="D420" t="inlineStr">
        <is>
          <t>DALARNAS LÄN</t>
        </is>
      </c>
      <c r="E420" t="inlineStr">
        <is>
          <t>SÄTER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498-2025</t>
        </is>
      </c>
      <c r="B421" s="1" t="n">
        <v>45664.46653935185</v>
      </c>
      <c r="C421" s="1" t="n">
        <v>46091</v>
      </c>
      <c r="D421" t="inlineStr">
        <is>
          <t>DALARNAS LÄN</t>
        </is>
      </c>
      <c r="E421" t="inlineStr">
        <is>
          <t>SÄTER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HYPERLINK("https://klasma.github.io/Logging_2082/knärot/A 498-2025 karta knärot.png", "A 498-2025")</f>
        <v/>
      </c>
      <c r="V421">
        <f>HYPERLINK("https://klasma.github.io/Logging_2082/klagomål/A 498-2025 FSC-klagomål.docx", "A 498-2025")</f>
        <v/>
      </c>
      <c r="W421">
        <f>HYPERLINK("https://klasma.github.io/Logging_2082/klagomålsmail/A 498-2025 FSC-klagomål mail.docx", "A 498-2025")</f>
        <v/>
      </c>
      <c r="X421">
        <f>HYPERLINK("https://klasma.github.io/Logging_2082/tillsyn/A 498-2025 tillsynsbegäran.docx", "A 498-2025")</f>
        <v/>
      </c>
      <c r="Y421">
        <f>HYPERLINK("https://klasma.github.io/Logging_2082/tillsynsmail/A 498-2025 tillsynsbegäran mail.docx", "A 498-2025")</f>
        <v/>
      </c>
    </row>
    <row r="422" ht="15" customHeight="1">
      <c r="A422" t="inlineStr">
        <is>
          <t>A 61344-2023</t>
        </is>
      </c>
      <c r="B422" s="1" t="n">
        <v>45264</v>
      </c>
      <c r="C422" s="1" t="n">
        <v>46091</v>
      </c>
      <c r="D422" t="inlineStr">
        <is>
          <t>DALARNAS LÄN</t>
        </is>
      </c>
      <c r="E422" t="inlineStr">
        <is>
          <t>SÄTER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54312-2023</t>
        </is>
      </c>
      <c r="B423" s="1" t="n">
        <v>45232</v>
      </c>
      <c r="C423" s="1" t="n">
        <v>46091</v>
      </c>
      <c r="D423" t="inlineStr">
        <is>
          <t>DALARNAS LÄN</t>
        </is>
      </c>
      <c r="E423" t="inlineStr">
        <is>
          <t>SÄTER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2026-03-10T11:14:26Z</dcterms:created>
  <dcterms:modified xmlns:dcterms="http://purl.org/dc/terms/" xmlns:xsi="http://www.w3.org/2001/XMLSchema-instance" xsi:type="dcterms:W3CDTF">2026-03-10T11:14:27Z</dcterms:modified>
</cp:coreProperties>
</file>