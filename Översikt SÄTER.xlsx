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45508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45508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45508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45508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45508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45508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45508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45508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45508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45508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21903-2024</t>
        </is>
      </c>
      <c r="B12" s="1" t="n">
        <v>45443</v>
      </c>
      <c r="C12" s="1" t="n">
        <v>45508</v>
      </c>
      <c r="D12" t="inlineStr">
        <is>
          <t>DALARNAS LÄN</t>
        </is>
      </c>
      <c r="E12" t="inlineStr">
        <is>
          <t>SÄTER</t>
        </is>
      </c>
      <c r="G12" t="n">
        <v>21.2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Granspira
Majviva</t>
        </is>
      </c>
      <c r="S12">
        <f>HYPERLINK("https://klasma.github.io/Logging_2082/artfynd/A 21903-2024 artfynd.xlsx", "A 21903-2024")</f>
        <v/>
      </c>
      <c r="T12">
        <f>HYPERLINK("https://klasma.github.io/Logging_2082/kartor/A 21903-2024 karta.png", "A 21903-2024")</f>
        <v/>
      </c>
      <c r="V12">
        <f>HYPERLINK("https://klasma.github.io/Logging_2082/klagomål/A 21903-2024 FSC-klagomål.docx", "A 21903-2024")</f>
        <v/>
      </c>
      <c r="W12">
        <f>HYPERLINK("https://klasma.github.io/Logging_2082/klagomålsmail/A 21903-2024 FSC-klagomål mail.docx", "A 21903-2024")</f>
        <v/>
      </c>
      <c r="X12">
        <f>HYPERLINK("https://klasma.github.io/Logging_2082/tillsyn/A 21903-2024 tillsynsbegäran.docx", "A 21903-2024")</f>
        <v/>
      </c>
      <c r="Y12">
        <f>HYPERLINK("https://klasma.github.io/Logging_2082/tillsynsmail/A 21903-2024 tillsynsbegäran mail.docx", "A 21903-2024")</f>
        <v/>
      </c>
    </row>
    <row r="13" ht="15" customHeight="1">
      <c r="A13" t="inlineStr">
        <is>
          <t>A 34337-2020</t>
        </is>
      </c>
      <c r="B13" s="1" t="n">
        <v>44032</v>
      </c>
      <c r="C13" s="1" t="n">
        <v>45508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20.3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HYPERLINK("https://klasma.github.io/Logging_2082/artfynd/A 34337-2020 artfynd.xlsx", "A 34337-2020")</f>
        <v/>
      </c>
      <c r="T13">
        <f>HYPERLINK("https://klasma.github.io/Logging_2082/kartor/A 34337-2020 karta.png", "A 34337-2020")</f>
        <v/>
      </c>
      <c r="V13">
        <f>HYPERLINK("https://klasma.github.io/Logging_2082/klagomål/A 34337-2020 FSC-klagomål.docx", "A 34337-2020")</f>
        <v/>
      </c>
      <c r="W13">
        <f>HYPERLINK("https://klasma.github.io/Logging_2082/klagomålsmail/A 34337-2020 FSC-klagomål mail.docx", "A 34337-2020")</f>
        <v/>
      </c>
      <c r="X13">
        <f>HYPERLINK("https://klasma.github.io/Logging_2082/tillsyn/A 34337-2020 tillsynsbegäran.docx", "A 34337-2020")</f>
        <v/>
      </c>
      <c r="Y13">
        <f>HYPERLINK("https://klasma.github.io/Logging_2082/tillsynsmail/A 34337-2020 tillsynsbegäran mail.docx", "A 34337-2020")</f>
        <v/>
      </c>
    </row>
    <row r="14" ht="15" customHeight="1">
      <c r="A14" t="inlineStr">
        <is>
          <t>A 52205-2021</t>
        </is>
      </c>
      <c r="B14" s="1" t="n">
        <v>44462</v>
      </c>
      <c r="C14" s="1" t="n">
        <v>45508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8.6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HYPERLINK("https://klasma.github.io/Logging_2082/artfynd/A 52205-2021 artfynd.xlsx", "A 52205-2021")</f>
        <v/>
      </c>
      <c r="T14">
        <f>HYPERLINK("https://klasma.github.io/Logging_2082/kartor/A 52205-2021 karta.png", "A 52205-2021")</f>
        <v/>
      </c>
      <c r="V14">
        <f>HYPERLINK("https://klasma.github.io/Logging_2082/klagomål/A 52205-2021 FSC-klagomål.docx", "A 52205-2021")</f>
        <v/>
      </c>
      <c r="W14">
        <f>HYPERLINK("https://klasma.github.io/Logging_2082/klagomålsmail/A 52205-2021 FSC-klagomål mail.docx", "A 52205-2021")</f>
        <v/>
      </c>
      <c r="X14">
        <f>HYPERLINK("https://klasma.github.io/Logging_2082/tillsyn/A 52205-2021 tillsynsbegäran.docx", "A 52205-2021")</f>
        <v/>
      </c>
      <c r="Y14">
        <f>HYPERLINK("https://klasma.github.io/Logging_2082/tillsynsmail/A 52205-2021 tillsynsbegäran mail.docx", "A 52205-2021")</f>
        <v/>
      </c>
    </row>
    <row r="15" ht="15" customHeight="1">
      <c r="A15" t="inlineStr">
        <is>
          <t>A 68448-2021</t>
        </is>
      </c>
      <c r="B15" s="1" t="n">
        <v>44529</v>
      </c>
      <c r="C15" s="1" t="n">
        <v>45508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HYPERLINK("https://klasma.github.io/Logging_2082/artfynd/A 68448-2021 artfynd.xlsx", "A 68448-2021")</f>
        <v/>
      </c>
      <c r="T15">
        <f>HYPERLINK("https://klasma.github.io/Logging_2082/kartor/A 68448-2021 karta.png", "A 68448-2021")</f>
        <v/>
      </c>
      <c r="U15">
        <f>HYPERLINK("https://klasma.github.io/Logging_2082/knärot/A 68448-2021 karta knärot.png", "A 68448-2021")</f>
        <v/>
      </c>
      <c r="V15">
        <f>HYPERLINK("https://klasma.github.io/Logging_2082/klagomål/A 68448-2021 FSC-klagomål.docx", "A 68448-2021")</f>
        <v/>
      </c>
      <c r="W15">
        <f>HYPERLINK("https://klasma.github.io/Logging_2082/klagomålsmail/A 68448-2021 FSC-klagomål mail.docx", "A 68448-2021")</f>
        <v/>
      </c>
      <c r="X15">
        <f>HYPERLINK("https://klasma.github.io/Logging_2082/tillsyn/A 68448-2021 tillsynsbegäran.docx", "A 68448-2021")</f>
        <v/>
      </c>
      <c r="Y15">
        <f>HYPERLINK("https://klasma.github.io/Logging_2082/tillsynsmail/A 68448-2021 tillsynsbegäran mail.docx", "A 68448-2021")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45508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35910-2022</t>
        </is>
      </c>
      <c r="B17" s="1" t="n">
        <v>44802</v>
      </c>
      <c r="C17" s="1" t="n">
        <v>45508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HYPERLINK("https://klasma.github.io/Logging_2082/artfynd/A 35910-2022 artfynd.xlsx", "A 35910-2022")</f>
        <v/>
      </c>
      <c r="T17">
        <f>HYPERLINK("https://klasma.github.io/Logging_2082/kartor/A 35910-2022 karta.png", "A 35910-2022")</f>
        <v/>
      </c>
      <c r="V17">
        <f>HYPERLINK("https://klasma.github.io/Logging_2082/klagomål/A 35910-2022 FSC-klagomål.docx", "A 35910-2022")</f>
        <v/>
      </c>
      <c r="W17">
        <f>HYPERLINK("https://klasma.github.io/Logging_2082/klagomålsmail/A 35910-2022 FSC-klagomål mail.docx", "A 35910-2022")</f>
        <v/>
      </c>
      <c r="X17">
        <f>HYPERLINK("https://klasma.github.io/Logging_2082/tillsyn/A 35910-2022 tillsynsbegäran.docx", "A 35910-2022")</f>
        <v/>
      </c>
      <c r="Y17">
        <f>HYPERLINK("https://klasma.github.io/Logging_2082/tillsynsmail/A 35910-2022 tillsynsbegäran mail.docx", "A 35910-2022")</f>
        <v/>
      </c>
    </row>
    <row r="18" ht="15" customHeight="1">
      <c r="A18" t="inlineStr">
        <is>
          <t>A 60954-2022</t>
        </is>
      </c>
      <c r="B18" s="1" t="n">
        <v>44914</v>
      </c>
      <c r="C18" s="1" t="n">
        <v>45508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6.9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60954-2022 artfynd.xlsx", "A 60954-2022")</f>
        <v/>
      </c>
      <c r="T18">
        <f>HYPERLINK("https://klasma.github.io/Logging_2082/kartor/A 60954-2022 karta.png", "A 60954-2022")</f>
        <v/>
      </c>
      <c r="V18">
        <f>HYPERLINK("https://klasma.github.io/Logging_2082/klagomål/A 60954-2022 FSC-klagomål.docx", "A 60954-2022")</f>
        <v/>
      </c>
      <c r="W18">
        <f>HYPERLINK("https://klasma.github.io/Logging_2082/klagomålsmail/A 60954-2022 FSC-klagomål mail.docx", "A 60954-2022")</f>
        <v/>
      </c>
      <c r="X18">
        <f>HYPERLINK("https://klasma.github.io/Logging_2082/tillsyn/A 60954-2022 tillsynsbegäran.docx", "A 60954-2022")</f>
        <v/>
      </c>
      <c r="Y18">
        <f>HYPERLINK("https://klasma.github.io/Logging_2082/tillsynsmail/A 60954-2022 tillsynsbegäran mail.docx", "A 60954-2022")</f>
        <v/>
      </c>
    </row>
    <row r="19" ht="15" customHeight="1">
      <c r="A19" t="inlineStr">
        <is>
          <t>A 3528-2023</t>
        </is>
      </c>
      <c r="B19" s="1" t="n">
        <v>44950</v>
      </c>
      <c r="C19" s="1" t="n">
        <v>45508</v>
      </c>
      <c r="D19" t="inlineStr">
        <is>
          <t>DALARNAS LÄN</t>
        </is>
      </c>
      <c r="E19" t="inlineStr">
        <is>
          <t>SÄTER</t>
        </is>
      </c>
      <c r="G19" t="n">
        <v>7.2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3528-2023 artfynd.xlsx", "A 3528-2023")</f>
        <v/>
      </c>
      <c r="T19">
        <f>HYPERLINK("https://klasma.github.io/Logging_2082/kartor/A 3528-2023 karta.png", "A 3528-2023")</f>
        <v/>
      </c>
      <c r="U19">
        <f>HYPERLINK("https://klasma.github.io/Logging_2082/knärot/A 3528-2023 karta knärot.png", "A 3528-2023")</f>
        <v/>
      </c>
      <c r="V19">
        <f>HYPERLINK("https://klasma.github.io/Logging_2082/klagomål/A 3528-2023 FSC-klagomål.docx", "A 3528-2023")</f>
        <v/>
      </c>
      <c r="W19">
        <f>HYPERLINK("https://klasma.github.io/Logging_2082/klagomålsmail/A 3528-2023 FSC-klagomål mail.docx", "A 3528-2023")</f>
        <v/>
      </c>
      <c r="X19">
        <f>HYPERLINK("https://klasma.github.io/Logging_2082/tillsyn/A 3528-2023 tillsynsbegäran.docx", "A 3528-2023")</f>
        <v/>
      </c>
      <c r="Y19">
        <f>HYPERLINK("https://klasma.github.io/Logging_2082/tillsynsmail/A 3528-2023 tillsynsbegäran mail.docx", "A 3528-2023")</f>
        <v/>
      </c>
    </row>
    <row r="20" ht="15" customHeight="1">
      <c r="A20" t="inlineStr">
        <is>
          <t>A 27715-2023</t>
        </is>
      </c>
      <c r="B20" s="1" t="n">
        <v>45098</v>
      </c>
      <c r="C20" s="1" t="n">
        <v>45508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HYPERLINK("https://klasma.github.io/Logging_2082/artfynd/A 27715-2023 artfynd.xlsx", "A 27715-2023")</f>
        <v/>
      </c>
      <c r="T20">
        <f>HYPERLINK("https://klasma.github.io/Logging_2082/kartor/A 27715-2023 karta.png", "A 27715-2023")</f>
        <v/>
      </c>
      <c r="V20">
        <f>HYPERLINK("https://klasma.github.io/Logging_2082/klagomål/A 27715-2023 FSC-klagomål.docx", "A 27715-2023")</f>
        <v/>
      </c>
      <c r="W20">
        <f>HYPERLINK("https://klasma.github.io/Logging_2082/klagomålsmail/A 27715-2023 FSC-klagomål mail.docx", "A 27715-2023")</f>
        <v/>
      </c>
      <c r="X20">
        <f>HYPERLINK("https://klasma.github.io/Logging_2082/tillsyn/A 27715-2023 tillsynsbegäran.docx", "A 27715-2023")</f>
        <v/>
      </c>
      <c r="Y20">
        <f>HYPERLINK("https://klasma.github.io/Logging_2082/tillsynsmail/A 27715-2023 tillsynsbegäran mail.docx", "A 27715-2023")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45508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570-2024</t>
        </is>
      </c>
      <c r="B22" s="1" t="n">
        <v>45299</v>
      </c>
      <c r="C22" s="1" t="n">
        <v>45508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HYPERLINK("https://klasma.github.io/Logging_2082/artfynd/A 570-2024 artfynd.xlsx", "A 570-2024")</f>
        <v/>
      </c>
      <c r="T22">
        <f>HYPERLINK("https://klasma.github.io/Logging_2082/kartor/A 570-2024 karta.png", "A 570-2024")</f>
        <v/>
      </c>
      <c r="V22">
        <f>HYPERLINK("https://klasma.github.io/Logging_2082/klagomål/A 570-2024 FSC-klagomål.docx", "A 570-2024")</f>
        <v/>
      </c>
      <c r="W22">
        <f>HYPERLINK("https://klasma.github.io/Logging_2082/klagomålsmail/A 570-2024 FSC-klagomål mail.docx", "A 570-2024")</f>
        <v/>
      </c>
      <c r="X22">
        <f>HYPERLINK("https://klasma.github.io/Logging_2082/tillsyn/A 570-2024 tillsynsbegäran.docx", "A 570-2024")</f>
        <v/>
      </c>
      <c r="Y22">
        <f>HYPERLINK("https://klasma.github.io/Logging_2082/tillsynsmail/A 570-2024 tillsynsbegäran mail.docx", "A 570-2024")</f>
        <v/>
      </c>
    </row>
    <row r="23" ht="15" customHeight="1">
      <c r="A23" t="inlineStr">
        <is>
          <t>A 16838-2024</t>
        </is>
      </c>
      <c r="B23" s="1" t="n">
        <v>45411</v>
      </c>
      <c r="C23" s="1" t="n">
        <v>45508</v>
      </c>
      <c r="D23" t="inlineStr">
        <is>
          <t>DALARNAS LÄN</t>
        </is>
      </c>
      <c r="E23" t="inlineStr">
        <is>
          <t>SÄTER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16838-2024 artfynd.xlsx", "A 16838-2024")</f>
        <v/>
      </c>
      <c r="T23">
        <f>HYPERLINK("https://klasma.github.io/Logging_2082/kartor/A 16838-2024 karta.png", "A 16838-2024")</f>
        <v/>
      </c>
      <c r="V23">
        <f>HYPERLINK("https://klasma.github.io/Logging_2082/klagomål/A 16838-2024 FSC-klagomål.docx", "A 16838-2024")</f>
        <v/>
      </c>
      <c r="W23">
        <f>HYPERLINK("https://klasma.github.io/Logging_2082/klagomålsmail/A 16838-2024 FSC-klagomål mail.docx", "A 16838-2024")</f>
        <v/>
      </c>
      <c r="X23">
        <f>HYPERLINK("https://klasma.github.io/Logging_2082/tillsyn/A 16838-2024 tillsynsbegäran.docx", "A 16838-2024")</f>
        <v/>
      </c>
      <c r="Y23">
        <f>HYPERLINK("https://klasma.github.io/Logging_2082/tillsynsmail/A 16838-2024 tillsynsbegäran mail.docx", "A 16838-2024")</f>
        <v/>
      </c>
    </row>
    <row r="24" ht="15" customHeight="1">
      <c r="A24" t="inlineStr">
        <is>
          <t>A 27834-2024</t>
        </is>
      </c>
      <c r="B24" s="1" t="n">
        <v>45475</v>
      </c>
      <c r="C24" s="1" t="n">
        <v>45508</v>
      </c>
      <c r="D24" t="inlineStr">
        <is>
          <t>DALARNAS LÄN</t>
        </is>
      </c>
      <c r="E24" t="inlineStr">
        <is>
          <t>SÄTER</t>
        </is>
      </c>
      <c r="G24" t="n">
        <v>7.7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Sexfläckig bastardsvärmare</t>
        </is>
      </c>
      <c r="S24">
        <f>HYPERLINK("https://klasma.github.io/Logging_2082/artfynd/A 27834-2024 artfynd.xlsx", "A 27834-2024")</f>
        <v/>
      </c>
      <c r="T24">
        <f>HYPERLINK("https://klasma.github.io/Logging_2082/kartor/A 27834-2024 karta.png", "A 27834-2024")</f>
        <v/>
      </c>
      <c r="V24">
        <f>HYPERLINK("https://klasma.github.io/Logging_2082/klagomål/A 27834-2024 FSC-klagomål.docx", "A 27834-2024")</f>
        <v/>
      </c>
      <c r="W24">
        <f>HYPERLINK("https://klasma.github.io/Logging_2082/klagomålsmail/A 27834-2024 FSC-klagomål mail.docx", "A 27834-2024")</f>
        <v/>
      </c>
      <c r="X24">
        <f>HYPERLINK("https://klasma.github.io/Logging_2082/tillsyn/A 27834-2024 tillsynsbegäran.docx", "A 27834-2024")</f>
        <v/>
      </c>
      <c r="Y24">
        <f>HYPERLINK("https://klasma.github.io/Logging_2082/tillsynsmail/A 27834-2024 tillsynsbegäran mail.docx", "A 27834-2024")</f>
        <v/>
      </c>
    </row>
    <row r="25" ht="15" customHeight="1">
      <c r="A25" t="inlineStr">
        <is>
          <t>A 19853-2019</t>
        </is>
      </c>
      <c r="B25" s="1" t="n">
        <v>43567</v>
      </c>
      <c r="C25" s="1" t="n">
        <v>45508</v>
      </c>
      <c r="D25" t="inlineStr">
        <is>
          <t>DALARNAS LÄN</t>
        </is>
      </c>
      <c r="E25" t="inlineStr">
        <is>
          <t>SÄTER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21282-2019</t>
        </is>
      </c>
      <c r="B26" s="1" t="n">
        <v>43579</v>
      </c>
      <c r="C26" s="1" t="n">
        <v>45508</v>
      </c>
      <c r="D26" t="inlineStr">
        <is>
          <t>DALARNAS LÄN</t>
        </is>
      </c>
      <c r="E26" t="inlineStr">
        <is>
          <t>SÄTER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23779-2019</t>
        </is>
      </c>
      <c r="B27" s="1" t="n">
        <v>43595</v>
      </c>
      <c r="C27" s="1" t="n">
        <v>45508</v>
      </c>
      <c r="D27" t="inlineStr">
        <is>
          <t>DALARNAS LÄN</t>
        </is>
      </c>
      <c r="E27" t="inlineStr">
        <is>
          <t>SÄTER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27207-2019</t>
        </is>
      </c>
      <c r="B28" s="1" t="n">
        <v>43614</v>
      </c>
      <c r="C28" s="1" t="n">
        <v>45508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27376-2019</t>
        </is>
      </c>
      <c r="B29" s="1" t="n">
        <v>43616</v>
      </c>
      <c r="C29" s="1" t="n">
        <v>45508</v>
      </c>
      <c r="D29" t="inlineStr">
        <is>
          <t>DALARNAS LÄN</t>
        </is>
      </c>
      <c r="E29" t="inlineStr">
        <is>
          <t>SÄTER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30302-2019</t>
        </is>
      </c>
      <c r="B30" s="1" t="n">
        <v>43633</v>
      </c>
      <c r="C30" s="1" t="n">
        <v>45508</v>
      </c>
      <c r="D30" t="inlineStr">
        <is>
          <t>DALARNAS LÄN</t>
        </is>
      </c>
      <c r="E30" t="inlineStr">
        <is>
          <t>SÄTER</t>
        </is>
      </c>
      <c r="F30" t="inlineStr">
        <is>
          <t>Bergvik skog väst AB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30307-2019</t>
        </is>
      </c>
      <c r="B31" s="1" t="n">
        <v>43633</v>
      </c>
      <c r="C31" s="1" t="n">
        <v>45508</v>
      </c>
      <c r="D31" t="inlineStr">
        <is>
          <t>DALARNAS LÄN</t>
        </is>
      </c>
      <c r="E31" t="inlineStr">
        <is>
          <t>SÄTER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30171-2019</t>
        </is>
      </c>
      <c r="B32" s="1" t="n">
        <v>43634</v>
      </c>
      <c r="C32" s="1" t="n">
        <v>45508</v>
      </c>
      <c r="D32" t="inlineStr">
        <is>
          <t>DALARNAS LÄN</t>
        </is>
      </c>
      <c r="E32" t="inlineStr">
        <is>
          <t>SÄTER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30144-2019</t>
        </is>
      </c>
      <c r="B33" s="1" t="n">
        <v>43634</v>
      </c>
      <c r="C33" s="1" t="n">
        <v>45508</v>
      </c>
      <c r="D33" t="inlineStr">
        <is>
          <t>DALARNAS LÄN</t>
        </is>
      </c>
      <c r="E33" t="inlineStr">
        <is>
          <t>SÄTER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30747-2019</t>
        </is>
      </c>
      <c r="B34" s="1" t="n">
        <v>43636</v>
      </c>
      <c r="C34" s="1" t="n">
        <v>45508</v>
      </c>
      <c r="D34" t="inlineStr">
        <is>
          <t>DALARNAS LÄN</t>
        </is>
      </c>
      <c r="E34" t="inlineStr">
        <is>
          <t>SÄTER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34198-2019</t>
        </is>
      </c>
      <c r="B35" s="1" t="n">
        <v>43655</v>
      </c>
      <c r="C35" s="1" t="n">
        <v>45508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34238-2019</t>
        </is>
      </c>
      <c r="B36" s="1" t="n">
        <v>43655</v>
      </c>
      <c r="C36" s="1" t="n">
        <v>45508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38157-2019</t>
        </is>
      </c>
      <c r="B37" s="1" t="n">
        <v>43684</v>
      </c>
      <c r="C37" s="1" t="n">
        <v>45508</v>
      </c>
      <c r="D37" t="inlineStr">
        <is>
          <t>DALARNAS LÄN</t>
        </is>
      </c>
      <c r="E37" t="inlineStr">
        <is>
          <t>SÄTER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40937-2019</t>
        </is>
      </c>
      <c r="B38" s="1" t="n">
        <v>43693</v>
      </c>
      <c r="C38" s="1" t="n">
        <v>45508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41087-2019</t>
        </is>
      </c>
      <c r="B39" s="1" t="n">
        <v>43693</v>
      </c>
      <c r="C39" s="1" t="n">
        <v>45508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40920-2019</t>
        </is>
      </c>
      <c r="B40" s="1" t="n">
        <v>43693</v>
      </c>
      <c r="C40" s="1" t="n">
        <v>45508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40568-2019</t>
        </is>
      </c>
      <c r="B41" s="1" t="n">
        <v>43696</v>
      </c>
      <c r="C41" s="1" t="n">
        <v>45508</v>
      </c>
      <c r="D41" t="inlineStr">
        <is>
          <t>DALARNAS LÄN</t>
        </is>
      </c>
      <c r="E41" t="inlineStr">
        <is>
          <t>SÄTER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41472-2019</t>
        </is>
      </c>
      <c r="B42" s="1" t="n">
        <v>43699</v>
      </c>
      <c r="C42" s="1" t="n">
        <v>45508</v>
      </c>
      <c r="D42" t="inlineStr">
        <is>
          <t>DALARNAS LÄN</t>
        </is>
      </c>
      <c r="E42" t="inlineStr">
        <is>
          <t>SÄTER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44601-2019</t>
        </is>
      </c>
      <c r="B43" s="1" t="n">
        <v>43711</v>
      </c>
      <c r="C43" s="1" t="n">
        <v>45508</v>
      </c>
      <c r="D43" t="inlineStr">
        <is>
          <t>DALARNAS LÄN</t>
        </is>
      </c>
      <c r="E43" t="inlineStr">
        <is>
          <t>SÄTER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46637-2019</t>
        </is>
      </c>
      <c r="B44" s="1" t="n">
        <v>43719</v>
      </c>
      <c r="C44" s="1" t="n">
        <v>45508</v>
      </c>
      <c r="D44" t="inlineStr">
        <is>
          <t>DALARNAS LÄN</t>
        </is>
      </c>
      <c r="E44" t="inlineStr">
        <is>
          <t>SÄTER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47831-2019</t>
        </is>
      </c>
      <c r="B45" s="1" t="n">
        <v>43725</v>
      </c>
      <c r="C45" s="1" t="n">
        <v>45508</v>
      </c>
      <c r="D45" t="inlineStr">
        <is>
          <t>DALARNAS LÄN</t>
        </is>
      </c>
      <c r="E45" t="inlineStr">
        <is>
          <t>SÄTER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49345-2019</t>
        </is>
      </c>
      <c r="B46" s="1" t="n">
        <v>43731</v>
      </c>
      <c r="C46" s="1" t="n">
        <v>45508</v>
      </c>
      <c r="D46" t="inlineStr">
        <is>
          <t>DALARNAS LÄN</t>
        </is>
      </c>
      <c r="E46" t="inlineStr">
        <is>
          <t>SÄTER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52431-2019</t>
        </is>
      </c>
      <c r="B47" s="1" t="n">
        <v>43735</v>
      </c>
      <c r="C47" s="1" t="n">
        <v>45508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52398-2019</t>
        </is>
      </c>
      <c r="B48" s="1" t="n">
        <v>43735</v>
      </c>
      <c r="C48" s="1" t="n">
        <v>45508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52423-2019</t>
        </is>
      </c>
      <c r="B49" s="1" t="n">
        <v>43735</v>
      </c>
      <c r="C49" s="1" t="n">
        <v>45508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51589-2019</t>
        </is>
      </c>
      <c r="B50" s="1" t="n">
        <v>43740</v>
      </c>
      <c r="C50" s="1" t="n">
        <v>45508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51740-2019</t>
        </is>
      </c>
      <c r="B51" s="1" t="n">
        <v>43741</v>
      </c>
      <c r="C51" s="1" t="n">
        <v>45508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52444-2019</t>
        </is>
      </c>
      <c r="B52" s="1" t="n">
        <v>43745</v>
      </c>
      <c r="C52" s="1" t="n">
        <v>45508</v>
      </c>
      <c r="D52" t="inlineStr">
        <is>
          <t>DALARNAS LÄN</t>
        </is>
      </c>
      <c r="E52" t="inlineStr">
        <is>
          <t>SÄTER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53404-2019</t>
        </is>
      </c>
      <c r="B53" s="1" t="n">
        <v>43748</v>
      </c>
      <c r="C53" s="1" t="n">
        <v>45508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54296-2019</t>
        </is>
      </c>
      <c r="B54" s="1" t="n">
        <v>43753</v>
      </c>
      <c r="C54" s="1" t="n">
        <v>45508</v>
      </c>
      <c r="D54" t="inlineStr">
        <is>
          <t>DALARNAS LÄN</t>
        </is>
      </c>
      <c r="E54" t="inlineStr">
        <is>
          <t>SÄTER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54304-2019</t>
        </is>
      </c>
      <c r="B55" s="1" t="n">
        <v>43753</v>
      </c>
      <c r="C55" s="1" t="n">
        <v>45508</v>
      </c>
      <c r="D55" t="inlineStr">
        <is>
          <t>DALARNAS LÄN</t>
        </is>
      </c>
      <c r="E55" t="inlineStr">
        <is>
          <t>SÄTER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56135-2019</t>
        </is>
      </c>
      <c r="B56" s="1" t="n">
        <v>43761</v>
      </c>
      <c r="C56" s="1" t="n">
        <v>45508</v>
      </c>
      <c r="D56" t="inlineStr">
        <is>
          <t>DALARNAS LÄN</t>
        </is>
      </c>
      <c r="E56" t="inlineStr">
        <is>
          <t>SÄTER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56456-2019</t>
        </is>
      </c>
      <c r="B57" s="1" t="n">
        <v>43762</v>
      </c>
      <c r="C57" s="1" t="n">
        <v>45508</v>
      </c>
      <c r="D57" t="inlineStr">
        <is>
          <t>DALARNAS LÄN</t>
        </is>
      </c>
      <c r="E57" t="inlineStr">
        <is>
          <t>SÄTER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58419-2019</t>
        </is>
      </c>
      <c r="B58" s="1" t="n">
        <v>43773</v>
      </c>
      <c r="C58" s="1" t="n">
        <v>45508</v>
      </c>
      <c r="D58" t="inlineStr">
        <is>
          <t>DALARNAS LÄN</t>
        </is>
      </c>
      <c r="E58" t="inlineStr">
        <is>
          <t>SÄTER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59180-2019</t>
        </is>
      </c>
      <c r="B59" s="1" t="n">
        <v>43775</v>
      </c>
      <c r="C59" s="1" t="n">
        <v>45508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59199-2019</t>
        </is>
      </c>
      <c r="B60" s="1" t="n">
        <v>43775</v>
      </c>
      <c r="C60" s="1" t="n">
        <v>45508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59241-2019</t>
        </is>
      </c>
      <c r="B61" s="1" t="n">
        <v>43775</v>
      </c>
      <c r="C61" s="1" t="n">
        <v>45508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59240-2019</t>
        </is>
      </c>
      <c r="B62" s="1" t="n">
        <v>43775</v>
      </c>
      <c r="C62" s="1" t="n">
        <v>45508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59189-2019</t>
        </is>
      </c>
      <c r="B63" s="1" t="n">
        <v>43775</v>
      </c>
      <c r="C63" s="1" t="n">
        <v>45508</v>
      </c>
      <c r="D63" t="inlineStr">
        <is>
          <t>DALARNAS LÄN</t>
        </is>
      </c>
      <c r="E63" t="inlineStr">
        <is>
          <t>SÄTER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60937-2019</t>
        </is>
      </c>
      <c r="B64" s="1" t="n">
        <v>43780</v>
      </c>
      <c r="C64" s="1" t="n">
        <v>45508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60810-2019</t>
        </is>
      </c>
      <c r="B65" s="1" t="n">
        <v>43781</v>
      </c>
      <c r="C65" s="1" t="n">
        <v>45508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60804-2019</t>
        </is>
      </c>
      <c r="B66" s="1" t="n">
        <v>43781</v>
      </c>
      <c r="C66" s="1" t="n">
        <v>45508</v>
      </c>
      <c r="D66" t="inlineStr">
        <is>
          <t>DALARNAS LÄN</t>
        </is>
      </c>
      <c r="E66" t="inlineStr">
        <is>
          <t>SÄTER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64757-2019</t>
        </is>
      </c>
      <c r="B67" s="1" t="n">
        <v>43801</v>
      </c>
      <c r="C67" s="1" t="n">
        <v>45508</v>
      </c>
      <c r="D67" t="inlineStr">
        <is>
          <t>DALARNAS LÄN</t>
        </is>
      </c>
      <c r="E67" t="inlineStr">
        <is>
          <t>SÄTER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66137-2019</t>
        </is>
      </c>
      <c r="B68" s="1" t="n">
        <v>43801</v>
      </c>
      <c r="C68" s="1" t="n">
        <v>45508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67625-2019</t>
        </is>
      </c>
      <c r="B69" s="1" t="n">
        <v>43815</v>
      </c>
      <c r="C69" s="1" t="n">
        <v>45508</v>
      </c>
      <c r="D69" t="inlineStr">
        <is>
          <t>DALARNAS LÄN</t>
        </is>
      </c>
      <c r="E69" t="inlineStr">
        <is>
          <t>SÄTER</t>
        </is>
      </c>
      <c r="F69" t="inlineStr">
        <is>
          <t>Kommuner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68894-2019</t>
        </is>
      </c>
      <c r="B70" s="1" t="n">
        <v>43822</v>
      </c>
      <c r="C70" s="1" t="n">
        <v>45508</v>
      </c>
      <c r="D70" t="inlineStr">
        <is>
          <t>DALARNAS LÄN</t>
        </is>
      </c>
      <c r="E70" t="inlineStr">
        <is>
          <t>SÄTER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10994-2020</t>
        </is>
      </c>
      <c r="B71" s="1" t="n">
        <v>43889</v>
      </c>
      <c r="C71" s="1" t="n">
        <v>45508</v>
      </c>
      <c r="D71" t="inlineStr">
        <is>
          <t>DALARNAS LÄN</t>
        </is>
      </c>
      <c r="E71" t="inlineStr">
        <is>
          <t>SÄTER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14447-2020</t>
        </is>
      </c>
      <c r="B72" s="1" t="n">
        <v>43900</v>
      </c>
      <c r="C72" s="1" t="n">
        <v>45508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13204-2020</t>
        </is>
      </c>
      <c r="B73" s="1" t="n">
        <v>43901</v>
      </c>
      <c r="C73" s="1" t="n">
        <v>45508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14119-2020</t>
        </is>
      </c>
      <c r="B74" s="1" t="n">
        <v>43907</v>
      </c>
      <c r="C74" s="1" t="n">
        <v>45508</v>
      </c>
      <c r="D74" t="inlineStr">
        <is>
          <t>DALARNAS LÄN</t>
        </is>
      </c>
      <c r="E74" t="inlineStr">
        <is>
          <t>SÄTER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14129-2020</t>
        </is>
      </c>
      <c r="B75" s="1" t="n">
        <v>43907</v>
      </c>
      <c r="C75" s="1" t="n">
        <v>45508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14188-2020</t>
        </is>
      </c>
      <c r="B76" s="1" t="n">
        <v>43907</v>
      </c>
      <c r="C76" s="1" t="n">
        <v>45508</v>
      </c>
      <c r="D76" t="inlineStr">
        <is>
          <t>DALARNAS LÄN</t>
        </is>
      </c>
      <c r="E76" t="inlineStr">
        <is>
          <t>SÄTER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14311-2020</t>
        </is>
      </c>
      <c r="B77" s="1" t="n">
        <v>43907</v>
      </c>
      <c r="C77" s="1" t="n">
        <v>45508</v>
      </c>
      <c r="D77" t="inlineStr">
        <is>
          <t>DALARNAS LÄN</t>
        </is>
      </c>
      <c r="E77" t="inlineStr">
        <is>
          <t>SÄTER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14146-2020</t>
        </is>
      </c>
      <c r="B78" s="1" t="n">
        <v>43907</v>
      </c>
      <c r="C78" s="1" t="n">
        <v>45508</v>
      </c>
      <c r="D78" t="inlineStr">
        <is>
          <t>DALARNAS LÄN</t>
        </is>
      </c>
      <c r="E78" t="inlineStr">
        <is>
          <t>SÄTER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14987-2020</t>
        </is>
      </c>
      <c r="B79" s="1" t="n">
        <v>43910</v>
      </c>
      <c r="C79" s="1" t="n">
        <v>45508</v>
      </c>
      <c r="D79" t="inlineStr">
        <is>
          <t>DALARNAS LÄN</t>
        </is>
      </c>
      <c r="E79" t="inlineStr">
        <is>
          <t>SÄTER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15779-2020</t>
        </is>
      </c>
      <c r="B80" s="1" t="n">
        <v>43915</v>
      </c>
      <c r="C80" s="1" t="n">
        <v>45508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17865-2020</t>
        </is>
      </c>
      <c r="B81" s="1" t="n">
        <v>43924</v>
      </c>
      <c r="C81" s="1" t="n">
        <v>45508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17708-2020</t>
        </is>
      </c>
      <c r="B82" s="1" t="n">
        <v>43924</v>
      </c>
      <c r="C82" s="1" t="n">
        <v>45508</v>
      </c>
      <c r="D82" t="inlineStr">
        <is>
          <t>DALARNAS LÄN</t>
        </is>
      </c>
      <c r="E82" t="inlineStr">
        <is>
          <t>SÄTER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17939-2020</t>
        </is>
      </c>
      <c r="B83" s="1" t="n">
        <v>43924</v>
      </c>
      <c r="C83" s="1" t="n">
        <v>45508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19695-2020</t>
        </is>
      </c>
      <c r="B84" s="1" t="n">
        <v>43941</v>
      </c>
      <c r="C84" s="1" t="n">
        <v>45508</v>
      </c>
      <c r="D84" t="inlineStr">
        <is>
          <t>DALARNAS LÄN</t>
        </is>
      </c>
      <c r="E84" t="inlineStr">
        <is>
          <t>SÄTER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20491-2020</t>
        </is>
      </c>
      <c r="B85" s="1" t="n">
        <v>43948</v>
      </c>
      <c r="C85" s="1" t="n">
        <v>45508</v>
      </c>
      <c r="D85" t="inlineStr">
        <is>
          <t>DALARNAS LÄN</t>
        </is>
      </c>
      <c r="E85" t="inlineStr">
        <is>
          <t>SÄTER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21630-2020</t>
        </is>
      </c>
      <c r="B86" s="1" t="n">
        <v>43957</v>
      </c>
      <c r="C86" s="1" t="n">
        <v>45508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24252-2020</t>
        </is>
      </c>
      <c r="B87" s="1" t="n">
        <v>43976</v>
      </c>
      <c r="C87" s="1" t="n">
        <v>45508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26952-2020</t>
        </is>
      </c>
      <c r="B88" s="1" t="n">
        <v>43990</v>
      </c>
      <c r="C88" s="1" t="n">
        <v>45508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29233-2020</t>
        </is>
      </c>
      <c r="B89" s="1" t="n">
        <v>44004</v>
      </c>
      <c r="C89" s="1" t="n">
        <v>45508</v>
      </c>
      <c r="D89" t="inlineStr">
        <is>
          <t>DALARNAS LÄN</t>
        </is>
      </c>
      <c r="E89" t="inlineStr">
        <is>
          <t>SÄTER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29639-2020</t>
        </is>
      </c>
      <c r="B90" s="1" t="n">
        <v>44005</v>
      </c>
      <c r="C90" s="1" t="n">
        <v>45508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30294-2020</t>
        </is>
      </c>
      <c r="B91" s="1" t="n">
        <v>44007</v>
      </c>
      <c r="C91" s="1" t="n">
        <v>45508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30906-2020</t>
        </is>
      </c>
      <c r="B92" s="1" t="n">
        <v>44011</v>
      </c>
      <c r="C92" s="1" t="n">
        <v>45508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30846-2020</t>
        </is>
      </c>
      <c r="B93" s="1" t="n">
        <v>44011</v>
      </c>
      <c r="C93" s="1" t="n">
        <v>45508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31553-2020</t>
        </is>
      </c>
      <c r="B94" s="1" t="n">
        <v>44013</v>
      </c>
      <c r="C94" s="1" t="n">
        <v>45508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32648-2020</t>
        </is>
      </c>
      <c r="B95" s="1" t="n">
        <v>44019</v>
      </c>
      <c r="C95" s="1" t="n">
        <v>45508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33252-2020</t>
        </is>
      </c>
      <c r="B96" s="1" t="n">
        <v>44022</v>
      </c>
      <c r="C96" s="1" t="n">
        <v>45508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33831-2020</t>
        </is>
      </c>
      <c r="B97" s="1" t="n">
        <v>44027</v>
      </c>
      <c r="C97" s="1" t="n">
        <v>45508</v>
      </c>
      <c r="D97" t="inlineStr">
        <is>
          <t>DALARNAS LÄN</t>
        </is>
      </c>
      <c r="E97" t="inlineStr">
        <is>
          <t>SÄTER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34042-2020</t>
        </is>
      </c>
      <c r="B98" s="1" t="n">
        <v>44028</v>
      </c>
      <c r="C98" s="1" t="n">
        <v>45508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37280-2020</t>
        </is>
      </c>
      <c r="B99" s="1" t="n">
        <v>44055</v>
      </c>
      <c r="C99" s="1" t="n">
        <v>45508</v>
      </c>
      <c r="D99" t="inlineStr">
        <is>
          <t>DALARNAS LÄN</t>
        </is>
      </c>
      <c r="E99" t="inlineStr">
        <is>
          <t>SÄTER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38961-2020</t>
        </is>
      </c>
      <c r="B100" s="1" t="n">
        <v>44062</v>
      </c>
      <c r="C100" s="1" t="n">
        <v>45508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40091-2020</t>
        </is>
      </c>
      <c r="B101" s="1" t="n">
        <v>44068</v>
      </c>
      <c r="C101" s="1" t="n">
        <v>45508</v>
      </c>
      <c r="D101" t="inlineStr">
        <is>
          <t>DALARNAS LÄN</t>
        </is>
      </c>
      <c r="E101" t="inlineStr">
        <is>
          <t>SÄTER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40844-2020</t>
        </is>
      </c>
      <c r="B102" s="1" t="n">
        <v>44070</v>
      </c>
      <c r="C102" s="1" t="n">
        <v>45508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40898-2020</t>
        </is>
      </c>
      <c r="B103" s="1" t="n">
        <v>44070</v>
      </c>
      <c r="C103" s="1" t="n">
        <v>45508</v>
      </c>
      <c r="D103" t="inlineStr">
        <is>
          <t>DALARNAS LÄN</t>
        </is>
      </c>
      <c r="E103" t="inlineStr">
        <is>
          <t>SÄTER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40974-2020</t>
        </is>
      </c>
      <c r="B104" s="1" t="n">
        <v>44070</v>
      </c>
      <c r="C104" s="1" t="n">
        <v>45508</v>
      </c>
      <c r="D104" t="inlineStr">
        <is>
          <t>DALARNAS LÄN</t>
        </is>
      </c>
      <c r="E104" t="inlineStr">
        <is>
          <t>SÄTER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40977-2020</t>
        </is>
      </c>
      <c r="B105" s="1" t="n">
        <v>44070</v>
      </c>
      <c r="C105" s="1" t="n">
        <v>45508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41567-2020</t>
        </is>
      </c>
      <c r="B106" s="1" t="n">
        <v>44074</v>
      </c>
      <c r="C106" s="1" t="n">
        <v>45508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42482-2020</t>
        </is>
      </c>
      <c r="B107" s="1" t="n">
        <v>44077</v>
      </c>
      <c r="C107" s="1" t="n">
        <v>45508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43234-2020</t>
        </is>
      </c>
      <c r="B108" s="1" t="n">
        <v>44081</v>
      </c>
      <c r="C108" s="1" t="n">
        <v>45508</v>
      </c>
      <c r="D108" t="inlineStr">
        <is>
          <t>DALARNAS LÄN</t>
        </is>
      </c>
      <c r="E108" t="inlineStr">
        <is>
          <t>SÄTER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44265-2020</t>
        </is>
      </c>
      <c r="B109" s="1" t="n">
        <v>44084</v>
      </c>
      <c r="C109" s="1" t="n">
        <v>45508</v>
      </c>
      <c r="D109" t="inlineStr">
        <is>
          <t>DALARNAS LÄN</t>
        </is>
      </c>
      <c r="E109" t="inlineStr">
        <is>
          <t>SÄTER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45728-2020</t>
        </is>
      </c>
      <c r="B110" s="1" t="n">
        <v>44090</v>
      </c>
      <c r="C110" s="1" t="n">
        <v>45508</v>
      </c>
      <c r="D110" t="inlineStr">
        <is>
          <t>DALARNAS LÄN</t>
        </is>
      </c>
      <c r="E110" t="inlineStr">
        <is>
          <t>SÄTER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46687-2020</t>
        </is>
      </c>
      <c r="B111" s="1" t="n">
        <v>44095</v>
      </c>
      <c r="C111" s="1" t="n">
        <v>45508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48500-2020</t>
        </is>
      </c>
      <c r="B112" s="1" t="n">
        <v>44102</v>
      </c>
      <c r="C112" s="1" t="n">
        <v>45508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48519-2020</t>
        </is>
      </c>
      <c r="B113" s="1" t="n">
        <v>44103</v>
      </c>
      <c r="C113" s="1" t="n">
        <v>45508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53518-2020</t>
        </is>
      </c>
      <c r="B114" s="1" t="n">
        <v>44124</v>
      </c>
      <c r="C114" s="1" t="n">
        <v>45508</v>
      </c>
      <c r="D114" t="inlineStr">
        <is>
          <t>DALARNAS LÄN</t>
        </is>
      </c>
      <c r="E114" t="inlineStr">
        <is>
          <t>SÄTER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54317-2020</t>
        </is>
      </c>
      <c r="B115" s="1" t="n">
        <v>44126</v>
      </c>
      <c r="C115" s="1" t="n">
        <v>45508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55911-2020</t>
        </is>
      </c>
      <c r="B116" s="1" t="n">
        <v>44132</v>
      </c>
      <c r="C116" s="1" t="n">
        <v>45508</v>
      </c>
      <c r="D116" t="inlineStr">
        <is>
          <t>DALARNAS LÄN</t>
        </is>
      </c>
      <c r="E116" t="inlineStr">
        <is>
          <t>SÄTER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56379-2020</t>
        </is>
      </c>
      <c r="B117" s="1" t="n">
        <v>44136</v>
      </c>
      <c r="C117" s="1" t="n">
        <v>45508</v>
      </c>
      <c r="D117" t="inlineStr">
        <is>
          <t>DALARNAS LÄN</t>
        </is>
      </c>
      <c r="E117" t="inlineStr">
        <is>
          <t>SÄTER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58309-2020</t>
        </is>
      </c>
      <c r="B118" s="1" t="n">
        <v>44141</v>
      </c>
      <c r="C118" s="1" t="n">
        <v>45508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59195-2020</t>
        </is>
      </c>
      <c r="B119" s="1" t="n">
        <v>44147</v>
      </c>
      <c r="C119" s="1" t="n">
        <v>45508</v>
      </c>
      <c r="D119" t="inlineStr">
        <is>
          <t>DALARNAS LÄN</t>
        </is>
      </c>
      <c r="E119" t="inlineStr">
        <is>
          <t>SÄTER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60639-2020</t>
        </is>
      </c>
      <c r="B120" s="1" t="n">
        <v>44153</v>
      </c>
      <c r="C120" s="1" t="n">
        <v>45508</v>
      </c>
      <c r="D120" t="inlineStr">
        <is>
          <t>DALARNAS LÄN</t>
        </is>
      </c>
      <c r="E120" t="inlineStr">
        <is>
          <t>SÄTER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60628-2020</t>
        </is>
      </c>
      <c r="B121" s="1" t="n">
        <v>44153</v>
      </c>
      <c r="C121" s="1" t="n">
        <v>45508</v>
      </c>
      <c r="D121" t="inlineStr">
        <is>
          <t>DALARNAS LÄN</t>
        </is>
      </c>
      <c r="E121" t="inlineStr">
        <is>
          <t>SÄTER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60882-2020</t>
        </is>
      </c>
      <c r="B122" s="1" t="n">
        <v>44154</v>
      </c>
      <c r="C122" s="1" t="n">
        <v>45508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64466-2020</t>
        </is>
      </c>
      <c r="B123" s="1" t="n">
        <v>44168</v>
      </c>
      <c r="C123" s="1" t="n">
        <v>45508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64469-2020</t>
        </is>
      </c>
      <c r="B124" s="1" t="n">
        <v>44168</v>
      </c>
      <c r="C124" s="1" t="n">
        <v>45508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64467-2020</t>
        </is>
      </c>
      <c r="B125" s="1" t="n">
        <v>44168</v>
      </c>
      <c r="C125" s="1" t="n">
        <v>45508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65998-2020</t>
        </is>
      </c>
      <c r="B126" s="1" t="n">
        <v>44175</v>
      </c>
      <c r="C126" s="1" t="n">
        <v>45508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65949-2020</t>
        </is>
      </c>
      <c r="B127" s="1" t="n">
        <v>44175</v>
      </c>
      <c r="C127" s="1" t="n">
        <v>45508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1915-2021</t>
        </is>
      </c>
      <c r="B128" s="1" t="n">
        <v>44210</v>
      </c>
      <c r="C128" s="1" t="n">
        <v>45508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1912-2021</t>
        </is>
      </c>
      <c r="B129" s="1" t="n">
        <v>44210</v>
      </c>
      <c r="C129" s="1" t="n">
        <v>45508</v>
      </c>
      <c r="D129" t="inlineStr">
        <is>
          <t>DALARNAS LÄN</t>
        </is>
      </c>
      <c r="E129" t="inlineStr">
        <is>
          <t>SÄTER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1918-2021</t>
        </is>
      </c>
      <c r="B130" s="1" t="n">
        <v>44210</v>
      </c>
      <c r="C130" s="1" t="n">
        <v>45508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2606-2021</t>
        </is>
      </c>
      <c r="B131" s="1" t="n">
        <v>44215</v>
      </c>
      <c r="C131" s="1" t="n">
        <v>45508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6772-2021</t>
        </is>
      </c>
      <c r="B132" s="1" t="n">
        <v>44236</v>
      </c>
      <c r="C132" s="1" t="n">
        <v>45508</v>
      </c>
      <c r="D132" t="inlineStr">
        <is>
          <t>DALARNAS LÄN</t>
        </is>
      </c>
      <c r="E132" t="inlineStr">
        <is>
          <t>SÄTER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9716-2021</t>
        </is>
      </c>
      <c r="B133" s="1" t="n">
        <v>44252</v>
      </c>
      <c r="C133" s="1" t="n">
        <v>45508</v>
      </c>
      <c r="D133" t="inlineStr">
        <is>
          <t>DALARNAS LÄN</t>
        </is>
      </c>
      <c r="E133" t="inlineStr">
        <is>
          <t>SÄTER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13363-2021</t>
        </is>
      </c>
      <c r="B134" s="1" t="n">
        <v>44273</v>
      </c>
      <c r="C134" s="1" t="n">
        <v>45508</v>
      </c>
      <c r="D134" t="inlineStr">
        <is>
          <t>DALARNAS LÄN</t>
        </is>
      </c>
      <c r="E134" t="inlineStr">
        <is>
          <t>SÄTER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15922-2021</t>
        </is>
      </c>
      <c r="B135" s="1" t="n">
        <v>44287</v>
      </c>
      <c r="C135" s="1" t="n">
        <v>45508</v>
      </c>
      <c r="D135" t="inlineStr">
        <is>
          <t>DALARNAS LÄN</t>
        </is>
      </c>
      <c r="E135" t="inlineStr">
        <is>
          <t>SÄTER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16519-2021</t>
        </is>
      </c>
      <c r="B136" s="1" t="n">
        <v>44293</v>
      </c>
      <c r="C136" s="1" t="n">
        <v>45508</v>
      </c>
      <c r="D136" t="inlineStr">
        <is>
          <t>DALARNAS LÄN</t>
        </is>
      </c>
      <c r="E136" t="inlineStr">
        <is>
          <t>SÄTER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17303-2021</t>
        </is>
      </c>
      <c r="B137" s="1" t="n">
        <v>44298</v>
      </c>
      <c r="C137" s="1" t="n">
        <v>45508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19125-2021</t>
        </is>
      </c>
      <c r="B138" s="1" t="n">
        <v>44308</v>
      </c>
      <c r="C138" s="1" t="n">
        <v>45508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19745-2021</t>
        </is>
      </c>
      <c r="B139" s="1" t="n">
        <v>44313</v>
      </c>
      <c r="C139" s="1" t="n">
        <v>45508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20956-2021</t>
        </is>
      </c>
      <c r="B140" s="1" t="n">
        <v>44319</v>
      </c>
      <c r="C140" s="1" t="n">
        <v>45508</v>
      </c>
      <c r="D140" t="inlineStr">
        <is>
          <t>DALARNAS LÄN</t>
        </is>
      </c>
      <c r="E140" t="inlineStr">
        <is>
          <t>SÄTER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22604-2021</t>
        </is>
      </c>
      <c r="B141" s="1" t="n">
        <v>44327</v>
      </c>
      <c r="C141" s="1" t="n">
        <v>45508</v>
      </c>
      <c r="D141" t="inlineStr">
        <is>
          <t>DALARNAS LÄN</t>
        </is>
      </c>
      <c r="E141" t="inlineStr">
        <is>
          <t>SÄTER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30047-2021</t>
        </is>
      </c>
      <c r="B142" s="1" t="n">
        <v>44363</v>
      </c>
      <c r="C142" s="1" t="n">
        <v>45508</v>
      </c>
      <c r="D142" t="inlineStr">
        <is>
          <t>DALARNAS LÄN</t>
        </is>
      </c>
      <c r="E142" t="inlineStr">
        <is>
          <t>SÄTER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31574-2021</t>
        </is>
      </c>
      <c r="B143" s="1" t="n">
        <v>44369</v>
      </c>
      <c r="C143" s="1" t="n">
        <v>45508</v>
      </c>
      <c r="D143" t="inlineStr">
        <is>
          <t>DALARNAS LÄN</t>
        </is>
      </c>
      <c r="E143" t="inlineStr">
        <is>
          <t>SÄTER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31610-2021</t>
        </is>
      </c>
      <c r="B144" s="1" t="n">
        <v>44369</v>
      </c>
      <c r="C144" s="1" t="n">
        <v>45508</v>
      </c>
      <c r="D144" t="inlineStr">
        <is>
          <t>DALARNAS LÄN</t>
        </is>
      </c>
      <c r="E144" t="inlineStr">
        <is>
          <t>SÄTER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34009-2021</t>
        </is>
      </c>
      <c r="B145" s="1" t="n">
        <v>44378</v>
      </c>
      <c r="C145" s="1" t="n">
        <v>45508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45508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45508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45508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45508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45508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45508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45508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45508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45508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45508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45508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45508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45508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45508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45508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45508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45508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45508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45508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45508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45508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45508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45508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45508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45508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45508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45508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45508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45508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45508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45508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45508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45508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45508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45508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45508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45508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45508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45508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45508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45508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45508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45508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45508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45508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45508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45508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45508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45508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45508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45508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45508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45508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45508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45508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45508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45508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45508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45508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45508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45508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45508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45508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45508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45508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45508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45508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45508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45508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45508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45508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45508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45508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45508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45508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45508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45508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45508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45508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45508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45508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45508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45508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45508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45508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45508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45508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45508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45508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45508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45508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45508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45508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45508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45508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45508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45508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45508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45508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45508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45508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45508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45508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45508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45508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45508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45508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45508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45508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45508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45508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45508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45508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45508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45508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45508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45508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45508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45508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45508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45508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45508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45508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45508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45508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45508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45508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45508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45508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45508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45508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45508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45508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45508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45508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45508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45508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45508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45508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45508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45508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45508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45508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45508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45508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45508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45508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45508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45508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45508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45508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45508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45508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45508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45508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45508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45508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45508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45508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45508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45508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45508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45508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45508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45508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45508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45508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45508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45508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45508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45508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45508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45508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45508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45508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45508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45508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45508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45508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45508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45508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45508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45508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45508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45508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45508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45508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45508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45508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45508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45508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45508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45508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45508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45508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45508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45508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45508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45508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45508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45508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45508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45508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45508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45508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45508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45508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45508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45508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45508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45508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45508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45508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45508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45508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45508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45508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45508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45508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45508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45508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45508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45508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45508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45508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45508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45508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45508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45508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45508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45508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45508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45508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45508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45508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45508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45508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45508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45508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45508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45508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45508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45508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45508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45508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45508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45508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45508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45508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45508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45508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45508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45508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45508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45508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45508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45508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45508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45508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45508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45508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45508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45508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45508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45508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45508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45508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45508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45508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45508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45508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45508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45508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45508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45508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45508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45508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45508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45508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45508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45508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45508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45508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45508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45508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45508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45508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45508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45508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45508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45508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45508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45508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45508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45508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45508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45508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45508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45508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45508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45508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45508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45508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45508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45508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45508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45508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45508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45508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45508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45508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45508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45508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45508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45508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45508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45508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31356-2024</t>
        </is>
      </c>
      <c r="B463" s="1" t="n">
        <v>45505</v>
      </c>
      <c r="C463" s="1" t="n">
        <v>45508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2024-08-04T11:24:25Z</dcterms:created>
  <dcterms:modified xmlns:dcterms="http://purl.org/dc/terms/" xmlns:xsi="http://www.w3.org/2001/XMLSchema-instance" xsi:type="dcterms:W3CDTF">2024-08-04T11:24:26Z</dcterms:modified>
</cp:coreProperties>
</file>