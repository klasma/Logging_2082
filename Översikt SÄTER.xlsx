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46308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46308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46308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46308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46308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46308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46308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46308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46308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46308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A 23464-2023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46308</v>
      </c>
      <c r="F12" t="inlineStr">
        <is>
          <t>DALARNAS LÄN</t>
        </is>
      </c>
      <c r="G12" t="inlineStr">
        <is>
          <t>SÄTER</t>
        </is>
      </c>
      <c r="I12" t="n">
        <v>4.6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23</v>
      </c>
      <c r="U12" t="n">
        <v>2</v>
      </c>
      <c r="V12" s="2" t="inlineStr">
        <is>
          <t>Lammticka
Dropptaggsvamp
Skarp dropptaggsvamp
Tallfingersvamp
Rökmusseron
Smal svampklubba</t>
        </is>
      </c>
      <c r="W12">
        <f>HYPERLINK("https://klasma.github.io/Logging_2082/artfynd/A 23464-2023 artfynd.xlsx", "A 23464-2023")</f>
        <v/>
      </c>
      <c r="X12">
        <f>HYPERLINK("https://klasma.github.io/Logging_2082/kartor/A 23464-2023 karta.png", "A 23464-2023")</f>
        <v/>
      </c>
      <c r="Y12">
        <f>HYPERLINK("https://klasma.github.io/Logging_2082/kartor_geotiff/A 23464-2023 georefererad karta.tif", "A 23464-2023")</f>
        <v/>
      </c>
      <c r="AA12">
        <f>HYPERLINK("https://klasma.github.io/Logging_2082/klagomål/A 23464-2023 FSC-klagomål.docx", "A 23464-2023")</f>
        <v/>
      </c>
      <c r="AB12">
        <f>HYPERLINK("https://klasma.github.io/Logging_2082/klagomålsmail/A 23464-2023 FSC-klagomål mail.docx", "A 23464-2023")</f>
        <v/>
      </c>
      <c r="AC12">
        <f>HYPERLINK("https://klasma.github.io/Logging_2082/tillsyn/A 23464-2023 tillsynsbegäran.docx", "A 23464-2023")</f>
        <v/>
      </c>
      <c r="AD12">
        <f>HYPERLINK("https://klasma.github.io/Logging_2082/tillsynsmail/A 23464-2023 tillsynsbegäran mail.docx", "A 23464-2023")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46308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46308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46308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46308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46308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46308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A 21382-2025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45781</v>
      </c>
      <c r="E19" s="1" t="n">
        <v>46308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37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Brudsporre
Revlummer
Äkta lopplummer</t>
        </is>
      </c>
      <c r="W19">
        <f>HYPERLINK("https://klasma.github.io/Logging_2082/artfynd/A 21382-2025 artfynd.xlsx", "A 21382-2025")</f>
        <v/>
      </c>
      <c r="X19">
        <f>HYPERLINK("https://klasma.github.io/Logging_2082/kartor/A 21382-2025 karta.png", "A 21382-2025")</f>
        <v/>
      </c>
      <c r="Y19">
        <f>HYPERLINK("https://klasma.github.io/Logging_2082/kartor_geotiff/A 21382-2025 georefererad karta.tif", "A 21382-2025")</f>
        <v/>
      </c>
      <c r="AA19">
        <f>HYPERLINK("https://klasma.github.io/Logging_2082/klagomål/A 21382-2025 FSC-klagomål.docx", "A 21382-2025")</f>
        <v/>
      </c>
      <c r="AB19">
        <f>HYPERLINK("https://klasma.github.io/Logging_2082/klagomålsmail/A 21382-2025 FSC-klagomål mail.docx", "A 21382-2025")</f>
        <v/>
      </c>
      <c r="AC19">
        <f>HYPERLINK("https://klasma.github.io/Logging_2082/tillsyn/A 21382-2025 tillsynsbegäran.docx", "A 21382-2025")</f>
        <v/>
      </c>
      <c r="AD19">
        <f>HYPERLINK("https://klasma.github.io/Logging_2082/tillsynsmail/A 21382-2025 tillsynsbegäran mail.docx", "A 21382-2025")</f>
        <v/>
      </c>
    </row>
    <row r="20" ht="15" customHeight="1">
      <c r="A20" t="inlineStr">
        <is>
          <t>A 64610-2023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46308</v>
      </c>
      <c r="F20" t="inlineStr">
        <is>
          <t>DALARNAS LÄN</t>
        </is>
      </c>
      <c r="G20" t="inlineStr">
        <is>
          <t>SÄTER</t>
        </is>
      </c>
      <c r="I20" t="n">
        <v>0.9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13</v>
      </c>
      <c r="U20" t="n">
        <v>13</v>
      </c>
      <c r="V20" s="2" t="inlineStr">
        <is>
          <t>Tvåblad
Brudborste
Fläcknycklar</t>
        </is>
      </c>
      <c r="W20">
        <f>HYPERLINK("https://klasma.github.io/Logging_2082/artfynd/A 64610-2023 artfynd.xlsx", "A 64610-2023")</f>
        <v/>
      </c>
      <c r="X20">
        <f>HYPERLINK("https://klasma.github.io/Logging_2082/kartor/A 64610-2023 karta.png", "A 64610-2023")</f>
        <v/>
      </c>
      <c r="Y20">
        <f>HYPERLINK("https://klasma.github.io/Logging_2082/kartor_geotiff/A 64610-2023 georefererad karta.tif", "A 64610-2023")</f>
        <v/>
      </c>
      <c r="AA20">
        <f>HYPERLINK("https://klasma.github.io/Logging_2082/klagomål/A 64610-2023 FSC-klagomål.docx", "A 64610-2023")</f>
        <v/>
      </c>
      <c r="AB20">
        <f>HYPERLINK("https://klasma.github.io/Logging_2082/klagomålsmail/A 64610-2023 FSC-klagomål mail.docx", "A 64610-2023")</f>
        <v/>
      </c>
      <c r="AC20">
        <f>HYPERLINK("https://klasma.github.io/Logging_2082/tillsyn/A 64610-2023 tillsynsbegäran.docx", "A 64610-2023")</f>
        <v/>
      </c>
      <c r="AD20">
        <f>HYPERLINK("https://klasma.github.io/Logging_2082/tillsynsmail/A 64610-2023 tillsynsbegäran mail.docx", "A 64610-2023")</f>
        <v/>
      </c>
    </row>
    <row r="21" ht="15" customHeight="1">
      <c r="A21" t="inlineStr">
        <is>
          <t>A 27374-2022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44742</v>
      </c>
      <c r="E21" s="1" t="n">
        <v>46308</v>
      </c>
      <c r="F21" t="inlineStr">
        <is>
          <t>DALARNAS LÄN</t>
        </is>
      </c>
      <c r="G21" t="inlineStr">
        <is>
          <t>SÄTER</t>
        </is>
      </c>
      <c r="H21" t="inlineStr">
        <is>
          <t>Kommuner</t>
        </is>
      </c>
      <c r="I21" t="n">
        <v>4.3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13</v>
      </c>
      <c r="U21" t="n">
        <v>0</v>
      </c>
      <c r="V21" s="2" t="inlineStr">
        <is>
          <t>Garnlav
Knärot
Nästrot</t>
        </is>
      </c>
      <c r="W21">
        <f>HYPERLINK("https://klasma.github.io/Logging_2082/artfynd/A 27374-2022 artfynd.xlsx", "A 27374-2022")</f>
        <v/>
      </c>
      <c r="X21">
        <f>HYPERLINK("https://klasma.github.io/Logging_2082/kartor/A 27374-2022 karta.png", "A 27374-2022")</f>
        <v/>
      </c>
      <c r="Y21">
        <f>HYPERLINK("https://klasma.github.io/Logging_2082/kartor_geotiff/A 27374-2022 georefererad karta.tif", "A 27374-2022")</f>
        <v/>
      </c>
      <c r="Z21">
        <f>HYPERLINK("https://klasma.github.io/Logging_2082/knärot/A 27374-2022 karta knärot.png", "A 27374-2022")</f>
        <v/>
      </c>
      <c r="AA21">
        <f>HYPERLINK("https://klasma.github.io/Logging_2082/klagomål/A 27374-2022 FSC-klagomål.docx", "A 27374-2022")</f>
        <v/>
      </c>
      <c r="AB21">
        <f>HYPERLINK("https://klasma.github.io/Logging_2082/klagomålsmail/A 27374-2022 FSC-klagomål mail.docx", "A 27374-2022")</f>
        <v/>
      </c>
      <c r="AC21">
        <f>HYPERLINK("https://klasma.github.io/Logging_2082/tillsyn/A 27374-2022 tillsynsbegäran.docx", "A 27374-2022")</f>
        <v/>
      </c>
      <c r="AD21">
        <f>HYPERLINK("https://klasma.github.io/Logging_2082/tillsynsmail/A 27374-2022 tillsynsbegäran mail.docx", "A 27374-2022")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46308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46308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46308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46308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16845-2024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45411</v>
      </c>
      <c r="E26" s="1" t="n">
        <v>46308</v>
      </c>
      <c r="F26" t="inlineStr">
        <is>
          <t>DALARNAS LÄN</t>
        </is>
      </c>
      <c r="G26" t="inlineStr">
        <is>
          <t>SÄTER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Järpe
Kungsfågel</t>
        </is>
      </c>
      <c r="W26">
        <f>HYPERLINK("https://klasma.github.io/Logging_2082/artfynd/A 16845-2024 artfynd.xlsx", "A 16845-2024")</f>
        <v/>
      </c>
      <c r="X26">
        <f>HYPERLINK("https://klasma.github.io/Logging_2082/kartor/A 16845-2024 karta.png", "A 16845-2024")</f>
        <v/>
      </c>
      <c r="Y26">
        <f>HYPERLINK("https://klasma.github.io/Logging_2082/kartor_geotiff/A 16845-2024 georefererad karta.tif", "A 16845-2024")</f>
        <v/>
      </c>
      <c r="AA26">
        <f>HYPERLINK("https://klasma.github.io/Logging_2082/klagomål/A 16845-2024 FSC-klagomål.docx", "A 16845-2024")</f>
        <v/>
      </c>
      <c r="AB26">
        <f>HYPERLINK("https://klasma.github.io/Logging_2082/klagomålsmail/A 16845-2024 FSC-klagomål mail.docx", "A 16845-2024")</f>
        <v/>
      </c>
      <c r="AC26">
        <f>HYPERLINK("https://klasma.github.io/Logging_2082/tillsyn/A 16845-2024 tillsynsbegäran.docx", "A 16845-2024")</f>
        <v/>
      </c>
      <c r="AD26">
        <f>HYPERLINK("https://klasma.github.io/Logging_2082/tillsynsmail/A 16845-2024 tillsynsbegäran mail.docx", "A 16845-2024")</f>
        <v/>
      </c>
      <c r="AE26">
        <f>HYPERLINK("https://klasma.github.io/Logging_2082/fåglar/A 16845-2024 prioriterade fågelarter.docx", "A 16845-2024")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46308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A 570-2024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45299</v>
      </c>
      <c r="E28" s="1" t="n">
        <v>46308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2.8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Motaggsvamp
Svavelriska</t>
        </is>
      </c>
      <c r="W28">
        <f>HYPERLINK("https://klasma.github.io/Logging_2082/artfynd/A 570-2024 artfynd.xlsx", "A 570-2024")</f>
        <v/>
      </c>
      <c r="X28">
        <f>HYPERLINK("https://klasma.github.io/Logging_2082/kartor/A 570-2024 karta.png", "A 570-2024")</f>
        <v/>
      </c>
      <c r="Y28">
        <f>HYPERLINK("https://klasma.github.io/Logging_2082/kartor_geotiff/A 570-2024 georefererad karta.tif", "A 570-2024")</f>
        <v/>
      </c>
      <c r="AA28">
        <f>HYPERLINK("https://klasma.github.io/Logging_2082/klagomål/A 570-2024 FSC-klagomål.docx", "A 570-2024")</f>
        <v/>
      </c>
      <c r="AB28">
        <f>HYPERLINK("https://klasma.github.io/Logging_2082/klagomålsmail/A 570-2024 FSC-klagomål mail.docx", "A 570-2024")</f>
        <v/>
      </c>
      <c r="AC28">
        <f>HYPERLINK("https://klasma.github.io/Logging_2082/tillsyn/A 570-2024 tillsynsbegäran.docx", "A 570-2024")</f>
        <v/>
      </c>
      <c r="AD28">
        <f>HYPERLINK("https://klasma.github.io/Logging_2082/tillsynsmail/A 570-2024 tillsynsbegäran mail.docx", "A 570-2024")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46308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5232-2022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46308</v>
      </c>
      <c r="F30" t="inlineStr">
        <is>
          <t>DALARNAS LÄN</t>
        </is>
      </c>
      <c r="G30" t="inlineStr">
        <is>
          <t>SÄTER</t>
        </is>
      </c>
      <c r="I30" t="n">
        <v>2.5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Tvåblad</t>
        </is>
      </c>
      <c r="W30">
        <f>HYPERLINK("https://klasma.github.io/Logging_2082/artfynd/A 5232-2022 artfynd.xlsx", "A 5232-2022")</f>
        <v/>
      </c>
      <c r="X30">
        <f>HYPERLINK("https://klasma.github.io/Logging_2082/kartor/A 5232-2022 karta.png", "A 5232-2022")</f>
        <v/>
      </c>
      <c r="Y30">
        <f>HYPERLINK("https://klasma.github.io/Logging_2082/kartor_geotiff/A 5232-2022 georefererad karta.tif", "A 5232-2022")</f>
        <v/>
      </c>
      <c r="AA30">
        <f>HYPERLINK("https://klasma.github.io/Logging_2082/klagomål/A 5232-2022 FSC-klagomål.docx", "A 5232-2022")</f>
        <v/>
      </c>
      <c r="AB30">
        <f>HYPERLINK("https://klasma.github.io/Logging_2082/klagomålsmail/A 5232-2022 FSC-klagomål mail.docx", "A 5232-2022")</f>
        <v/>
      </c>
      <c r="AC30">
        <f>HYPERLINK("https://klasma.github.io/Logging_2082/tillsyn/A 5232-2022 tillsynsbegäran.docx", "A 5232-2022")</f>
        <v/>
      </c>
      <c r="AD30">
        <f>HYPERLINK("https://klasma.github.io/Logging_2082/tillsynsmail/A 5232-2022 tillsynsbegäran mail.docx", "A 5232-2022")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46308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46308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27715-2023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46308</v>
      </c>
      <c r="F33" t="inlineStr">
        <is>
          <t>DALARNAS LÄN</t>
        </is>
      </c>
      <c r="G33" t="inlineStr">
        <is>
          <t>SÄTER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HYPERLINK("https://klasma.github.io/Logging_2082/artfynd/A 27715-2023 artfynd.xlsx", "A 27715-2023")</f>
        <v/>
      </c>
      <c r="X33">
        <f>HYPERLINK("https://klasma.github.io/Logging_2082/kartor/A 27715-2023 karta.png", "A 27715-2023")</f>
        <v/>
      </c>
      <c r="Y33">
        <f>HYPERLINK("https://klasma.github.io/Logging_2082/kartor_geotiff/A 27715-2023 georefererad karta.tif", "A 27715-2023")</f>
        <v/>
      </c>
      <c r="AA33">
        <f>HYPERLINK("https://klasma.github.io/Logging_2082/klagomål/A 27715-2023 FSC-klagomål.docx", "A 27715-2023")</f>
        <v/>
      </c>
      <c r="AB33">
        <f>HYPERLINK("https://klasma.github.io/Logging_2082/klagomålsmail/A 27715-2023 FSC-klagomål mail.docx", "A 27715-2023")</f>
        <v/>
      </c>
      <c r="AC33">
        <f>HYPERLINK("https://klasma.github.io/Logging_2082/tillsyn/A 27715-2023 tillsynsbegäran.docx", "A 27715-2023")</f>
        <v/>
      </c>
      <c r="AD33">
        <f>HYPERLINK("https://klasma.github.io/Logging_2082/tillsynsmail/A 27715-2023 tillsynsbegäran mail.docx", "A 27715-2023")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46308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44992-2024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45575</v>
      </c>
      <c r="E35" s="1" t="n">
        <v>46308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9.9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HYPERLINK("https://klasma.github.io/Logging_2082/artfynd/A 44992-2024 artfynd.xlsx", "A 44992-2024")</f>
        <v/>
      </c>
      <c r="X35">
        <f>HYPERLINK("https://klasma.github.io/Logging_2082/kartor/A 44992-2024 karta.png", "A 44992-2024")</f>
        <v/>
      </c>
      <c r="Y35">
        <f>HYPERLINK("https://klasma.github.io/Logging_2082/kartor_geotiff/A 44992-2024 georefererad karta.tif", "A 44992-2024")</f>
        <v/>
      </c>
      <c r="AA35">
        <f>HYPERLINK("https://klasma.github.io/Logging_2082/klagomål/A 44992-2024 FSC-klagomål.docx", "A 44992-2024")</f>
        <v/>
      </c>
      <c r="AB35">
        <f>HYPERLINK("https://klasma.github.io/Logging_2082/klagomålsmail/A 44992-2024 FSC-klagomål mail.docx", "A 44992-2024")</f>
        <v/>
      </c>
      <c r="AC35">
        <f>HYPERLINK("https://klasma.github.io/Logging_2082/tillsyn/A 44992-2024 tillsynsbegäran.docx", "A 44992-2024")</f>
        <v/>
      </c>
      <c r="AD35">
        <f>HYPERLINK("https://klasma.github.io/Logging_2082/tillsynsmail/A 44992-2024 tillsynsbegäran mail.docx", "A 44992-2024")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46308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36969-2026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46273</v>
      </c>
      <c r="E37" s="1" t="n">
        <v>46308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1.5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Bronshjon</t>
        </is>
      </c>
      <c r="W37">
        <f>HYPERLINK("https://klasma.github.io/Logging_2082/artfynd/A 36969-2026 artfynd.xlsx", "A 36969-2026")</f>
        <v/>
      </c>
      <c r="X37">
        <f>HYPERLINK("https://klasma.github.io/Logging_2082/kartor/A 36969-2026 karta.png", "A 36969-2026")</f>
        <v/>
      </c>
      <c r="Y37">
        <f>HYPERLINK("https://klasma.github.io/Logging_2082/kartor_geotiff/A 36969-2026 georefererad karta.tif", "A 36969-2026")</f>
        <v/>
      </c>
      <c r="AA37">
        <f>HYPERLINK("https://klasma.github.io/Logging_2082/klagomål/A 36969-2026 FSC-klagomål.docx", "A 36969-2026")</f>
        <v/>
      </c>
      <c r="AB37">
        <f>HYPERLINK("https://klasma.github.io/Logging_2082/klagomålsmail/A 36969-2026 FSC-klagomål mail.docx", "A 36969-2026")</f>
        <v/>
      </c>
      <c r="AC37">
        <f>HYPERLINK("https://klasma.github.io/Logging_2082/tillsyn/A 36969-2026 tillsynsbegäran.docx", "A 36969-2026")</f>
        <v/>
      </c>
      <c r="AD37">
        <f>HYPERLINK("https://klasma.github.io/Logging_2082/tillsynsmail/A 36969-2026 tillsynsbegäran mail.docx", "A 36969-2026")</f>
        <v/>
      </c>
    </row>
    <row r="38" ht="15" customHeight="1">
      <c r="A38" t="inlineStr">
        <is>
          <t>A 37896-2026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46279</v>
      </c>
      <c r="E38" s="1" t="n">
        <v>46308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16.9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Gräddticka</t>
        </is>
      </c>
      <c r="W38">
        <f>HYPERLINK("https://klasma.github.io/Logging_2082/artfynd/A 37896-2026 artfynd.xlsx", "A 37896-2026")</f>
        <v/>
      </c>
      <c r="X38">
        <f>HYPERLINK("https://klasma.github.io/Logging_2082/kartor/A 37896-2026 karta.png", "A 37896-2026")</f>
        <v/>
      </c>
      <c r="Y38">
        <f>HYPERLINK("https://klasma.github.io/Logging_2082/kartor_geotiff/A 37896-2026 georefererad karta.tif", "A 37896-2026")</f>
        <v/>
      </c>
      <c r="AA38">
        <f>HYPERLINK("https://klasma.github.io/Logging_2082/klagomål/A 37896-2026 FSC-klagomål.docx", "A 37896-2026")</f>
        <v/>
      </c>
      <c r="AB38">
        <f>HYPERLINK("https://klasma.github.io/Logging_2082/klagomålsmail/A 37896-2026 FSC-klagomål mail.docx", "A 37896-2026")</f>
        <v/>
      </c>
      <c r="AC38">
        <f>HYPERLINK("https://klasma.github.io/Logging_2082/tillsyn/A 37896-2026 tillsynsbegäran.docx", "A 37896-2026")</f>
        <v/>
      </c>
      <c r="AD38">
        <f>HYPERLINK("https://klasma.github.io/Logging_2082/tillsynsmail/A 37896-2026 tillsynsbegäran mail.docx", "A 37896-2026")</f>
        <v/>
      </c>
    </row>
    <row r="39" ht="15" customHeight="1">
      <c r="A39" t="inlineStr">
        <is>
          <t>A 34938-2025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46308</v>
      </c>
      <c r="F39" t="inlineStr">
        <is>
          <t>DALARNAS LÄN</t>
        </is>
      </c>
      <c r="G39" t="inlineStr">
        <is>
          <t>SÄTER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HYPERLINK("https://klasma.github.io/Logging_2082/artfynd/A 34938-2025 artfynd.xlsx", "A 34938-2025")</f>
        <v/>
      </c>
      <c r="X39">
        <f>HYPERLINK("https://klasma.github.io/Logging_2082/kartor/A 34938-2025 karta.png", "A 34938-2025")</f>
        <v/>
      </c>
      <c r="Y39">
        <f>HYPERLINK("https://klasma.github.io/Logging_2082/kartor_geotiff/A 34938-2025 georefererad karta.tif", "A 34938-2025")</f>
        <v/>
      </c>
      <c r="AA39">
        <f>HYPERLINK("https://klasma.github.io/Logging_2082/klagomål/A 34938-2025 FSC-klagomål.docx", "A 34938-2025")</f>
        <v/>
      </c>
      <c r="AB39">
        <f>HYPERLINK("https://klasma.github.io/Logging_2082/klagomålsmail/A 34938-2025 FSC-klagomål mail.docx", "A 34938-2025")</f>
        <v/>
      </c>
      <c r="AC39">
        <f>HYPERLINK("https://klasma.github.io/Logging_2082/tillsyn/A 34938-2025 tillsynsbegäran.docx", "A 34938-2025")</f>
        <v/>
      </c>
      <c r="AD39">
        <f>HYPERLINK("https://klasma.github.io/Logging_2082/tillsynsmail/A 34938-2025 tillsynsbegäran mail.docx", "A 34938-2025")</f>
        <v/>
      </c>
    </row>
    <row r="40" ht="15" customHeight="1">
      <c r="A40" t="inlineStr">
        <is>
          <t>A 35221-2025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45853</v>
      </c>
      <c r="E40" s="1" t="n">
        <v>46308</v>
      </c>
      <c r="F40" t="inlineStr">
        <is>
          <t>DALARNAS LÄN</t>
        </is>
      </c>
      <c r="G40" t="inlineStr">
        <is>
          <t>SÄTER</t>
        </is>
      </c>
      <c r="I40" t="n">
        <v>9.5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Vedskivlav</t>
        </is>
      </c>
      <c r="W40">
        <f>HYPERLINK("https://klasma.github.io/Logging_2082/artfynd/A 35221-2025 artfynd.xlsx", "A 35221-2025")</f>
        <v/>
      </c>
      <c r="X40">
        <f>HYPERLINK("https://klasma.github.io/Logging_2082/kartor/A 35221-2025 karta.png", "A 35221-2025")</f>
        <v/>
      </c>
      <c r="Y40">
        <f>HYPERLINK("https://klasma.github.io/Logging_2082/kartor_geotiff/A 35221-2025 georefererad karta.tif", "A 35221-2025")</f>
        <v/>
      </c>
      <c r="AA40">
        <f>HYPERLINK("https://klasma.github.io/Logging_2082/klagomål/A 35221-2025 FSC-klagomål.docx", "A 35221-2025")</f>
        <v/>
      </c>
      <c r="AB40">
        <f>HYPERLINK("https://klasma.github.io/Logging_2082/klagomålsmail/A 35221-2025 FSC-klagomål mail.docx", "A 35221-2025")</f>
        <v/>
      </c>
      <c r="AC40">
        <f>HYPERLINK("https://klasma.github.io/Logging_2082/tillsyn/A 35221-2025 tillsynsbegäran.docx", "A 35221-2025")</f>
        <v/>
      </c>
      <c r="AD40">
        <f>HYPERLINK("https://klasma.github.io/Logging_2082/tillsynsmail/A 35221-2025 tillsynsbegäran mail.docx", "A 35221-2025")</f>
        <v/>
      </c>
    </row>
    <row r="41" ht="15" customHeight="1">
      <c r="A41" t="inlineStr">
        <is>
          <t>A 39406-2024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45551</v>
      </c>
      <c r="E41" s="1" t="n">
        <v>46308</v>
      </c>
      <c r="F41" t="inlineStr">
        <is>
          <t>DALARNAS LÄN</t>
        </is>
      </c>
      <c r="G41" t="inlineStr">
        <is>
          <t>SÄTER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Sotriska</t>
        </is>
      </c>
      <c r="W41">
        <f>HYPERLINK("https://klasma.github.io/Logging_2082/artfynd/A 39406-2024 artfynd.xlsx", "A 39406-2024")</f>
        <v/>
      </c>
      <c r="X41">
        <f>HYPERLINK("https://klasma.github.io/Logging_2082/kartor/A 39406-2024 karta.png", "A 39406-2024")</f>
        <v/>
      </c>
      <c r="Y41">
        <f>HYPERLINK("https://klasma.github.io/Logging_2082/kartor_geotiff/A 39406-2024 georefererad karta.tif", "A 39406-2024")</f>
        <v/>
      </c>
      <c r="AA41">
        <f>HYPERLINK("https://klasma.github.io/Logging_2082/klagomål/A 39406-2024 FSC-klagomål.docx", "A 39406-2024")</f>
        <v/>
      </c>
      <c r="AB41">
        <f>HYPERLINK("https://klasma.github.io/Logging_2082/klagomålsmail/A 39406-2024 FSC-klagomål mail.docx", "A 39406-2024")</f>
        <v/>
      </c>
      <c r="AC41">
        <f>HYPERLINK("https://klasma.github.io/Logging_2082/tillsyn/A 39406-2024 tillsynsbegäran.docx", "A 39406-2024")</f>
        <v/>
      </c>
      <c r="AD41">
        <f>HYPERLINK("https://klasma.github.io/Logging_2082/tillsynsmail/A 39406-2024 tillsynsbegäran mail.docx", "A 39406-2024")</f>
        <v/>
      </c>
    </row>
    <row r="42" ht="15" customHeight="1">
      <c r="A42" t="inlineStr">
        <is>
          <t>A 11533-2026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46083</v>
      </c>
      <c r="E42" s="1" t="n">
        <v>46308</v>
      </c>
      <c r="F42" t="inlineStr">
        <is>
          <t>DALARNAS LÄN</t>
        </is>
      </c>
      <c r="G42" t="inlineStr">
        <is>
          <t>SÄTER</t>
        </is>
      </c>
      <c r="H42" t="inlineStr">
        <is>
          <t>Kommuner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Fläcknycklar</t>
        </is>
      </c>
      <c r="W42">
        <f>HYPERLINK("https://klasma.github.io/Logging_2082/artfynd/A 11533-2026 artfynd.xlsx", "A 11533-2026")</f>
        <v/>
      </c>
      <c r="X42">
        <f>HYPERLINK("https://klasma.github.io/Logging_2082/kartor/A 11533-2026 karta.png", "A 11533-2026")</f>
        <v/>
      </c>
      <c r="Y42">
        <f>HYPERLINK("https://klasma.github.io/Logging_2082/kartor_geotiff/A 11533-2026 georefererad karta.tif", "A 11533-2026")</f>
        <v/>
      </c>
      <c r="AA42">
        <f>HYPERLINK("https://klasma.github.io/Logging_2082/klagomål/A 11533-2026 FSC-klagomål.docx", "A 11533-2026")</f>
        <v/>
      </c>
      <c r="AB42">
        <f>HYPERLINK("https://klasma.github.io/Logging_2082/klagomålsmail/A 11533-2026 FSC-klagomål mail.docx", "A 11533-2026")</f>
        <v/>
      </c>
      <c r="AC42">
        <f>HYPERLINK("https://klasma.github.io/Logging_2082/tillsyn/A 11533-2026 tillsynsbegäran.docx", "A 11533-2026")</f>
        <v/>
      </c>
      <c r="AD42">
        <f>HYPERLINK("https://klasma.github.io/Logging_2082/tillsynsmail/A 11533-2026 tillsynsbegäran mail.docx", "A 11533-2026")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46308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21120-2026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46308</v>
      </c>
      <c r="F44" t="inlineStr">
        <is>
          <t>DALARNAS LÄN</t>
        </is>
      </c>
      <c r="G44" t="inlineStr">
        <is>
          <t>SÄTER</t>
        </is>
      </c>
      <c r="I44" t="n">
        <v>4.8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21120-2026 artfynd.xlsx", "A 21120-2026")</f>
        <v/>
      </c>
      <c r="X44">
        <f>HYPERLINK("https://klasma.github.io/Logging_2082/kartor/A 21120-2026 karta.png", "A 21120-2026")</f>
        <v/>
      </c>
      <c r="Y44">
        <f>HYPERLINK("https://klasma.github.io/Logging_2082/kartor_geotiff/A 21120-2026 georefererad karta.tif", "A 21120-2026")</f>
        <v/>
      </c>
      <c r="Z44">
        <f>HYPERLINK("https://klasma.github.io/Logging_2082/knärot/A 21120-2026 karta knärot.png", "A 21120-2026")</f>
        <v/>
      </c>
      <c r="AA44">
        <f>HYPERLINK("https://klasma.github.io/Logging_2082/klagomål/A 21120-2026 FSC-klagomål.docx", "A 21120-2026")</f>
        <v/>
      </c>
      <c r="AB44">
        <f>HYPERLINK("https://klasma.github.io/Logging_2082/klagomålsmail/A 21120-2026 FSC-klagomål mail.docx", "A 21120-2026")</f>
        <v/>
      </c>
      <c r="AC44">
        <f>HYPERLINK("https://klasma.github.io/Logging_2082/tillsyn/A 21120-2026 tillsynsbegäran.docx", "A 21120-2026")</f>
        <v/>
      </c>
      <c r="AD44">
        <f>HYPERLINK("https://klasma.github.io/Logging_2082/tillsynsmail/A 21120-2026 tillsynsbegäran mail.docx", "A 21120-2026")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46308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9682-2025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45716</v>
      </c>
      <c r="E46" s="1" t="n">
        <v>46308</v>
      </c>
      <c r="F46" t="inlineStr">
        <is>
          <t>DALARNAS LÄN</t>
        </is>
      </c>
      <c r="G46" t="inlineStr">
        <is>
          <t>SÄTER</t>
        </is>
      </c>
      <c r="I46" t="n">
        <v>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Ögonpyrola</t>
        </is>
      </c>
      <c r="W46">
        <f>HYPERLINK("https://klasma.github.io/Logging_2082/artfynd/A 9682-2025 artfynd.xlsx", "A 9682-2025")</f>
        <v/>
      </c>
      <c r="X46">
        <f>HYPERLINK("https://klasma.github.io/Logging_2082/kartor/A 9682-2025 karta.png", "A 9682-2025")</f>
        <v/>
      </c>
      <c r="Y46">
        <f>HYPERLINK("https://klasma.github.io/Logging_2082/kartor_geotiff/A 9682-2025 georefererad karta.tif", "A 9682-2025")</f>
        <v/>
      </c>
      <c r="AA46">
        <f>HYPERLINK("https://klasma.github.io/Logging_2082/klagomål/A 9682-2025 FSC-klagomål.docx", "A 9682-2025")</f>
        <v/>
      </c>
      <c r="AB46">
        <f>HYPERLINK("https://klasma.github.io/Logging_2082/klagomålsmail/A 9682-2025 FSC-klagomål mail.docx", "A 9682-2025")</f>
        <v/>
      </c>
      <c r="AC46">
        <f>HYPERLINK("https://klasma.github.io/Logging_2082/tillsyn/A 9682-2025 tillsynsbegäran.docx", "A 9682-2025")</f>
        <v/>
      </c>
      <c r="AD46">
        <f>HYPERLINK("https://klasma.github.io/Logging_2082/tillsynsmail/A 9682-2025 tillsynsbegäran mail.docx", "A 9682-2025")</f>
        <v/>
      </c>
    </row>
    <row r="47" ht="15" customHeight="1">
      <c r="A47" t="inlineStr">
        <is>
          <t>A 32383-2022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44781</v>
      </c>
      <c r="E47" s="1" t="n">
        <v>46308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4.1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HYPERLINK("https://klasma.github.io/Logging_2082/artfynd/A 32383-2022 artfynd.xlsx", "A 32383-2022")</f>
        <v/>
      </c>
      <c r="X47">
        <f>HYPERLINK("https://klasma.github.io/Logging_2082/kartor/A 32383-2022 karta.png", "A 32383-2022")</f>
        <v/>
      </c>
      <c r="Y47">
        <f>HYPERLINK("https://klasma.github.io/Logging_2082/kartor_geotiff/A 32383-2022 georefererad karta.tif", "A 32383-2022")</f>
        <v/>
      </c>
      <c r="Z47">
        <f>HYPERLINK("https://klasma.github.io/Logging_2082/knärot/A 32383-2022 karta knärot.png", "A 32383-2022")</f>
        <v/>
      </c>
      <c r="AA47">
        <f>HYPERLINK("https://klasma.github.io/Logging_2082/klagomål/A 32383-2022 FSC-klagomål.docx", "A 32383-2022")</f>
        <v/>
      </c>
      <c r="AB47">
        <f>HYPERLINK("https://klasma.github.io/Logging_2082/klagomålsmail/A 32383-2022 FSC-klagomål mail.docx", "A 32383-2022")</f>
        <v/>
      </c>
      <c r="AC47">
        <f>HYPERLINK("https://klasma.github.io/Logging_2082/tillsyn/A 32383-2022 tillsynsbegäran.docx", "A 32383-2022")</f>
        <v/>
      </c>
      <c r="AD47">
        <f>HYPERLINK("https://klasma.github.io/Logging_2082/tillsynsmail/A 32383-2022 tillsynsbegäran mail.docx", "A 32383-2022")</f>
        <v/>
      </c>
    </row>
    <row r="48" ht="15" customHeight="1">
      <c r="A48" t="inlineStr">
        <is>
          <t>A 33605-2022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44789</v>
      </c>
      <c r="E48" s="1" t="n">
        <v>46308</v>
      </c>
      <c r="F48" t="inlineStr">
        <is>
          <t>DALARNAS LÄN</t>
        </is>
      </c>
      <c r="G48" t="inlineStr">
        <is>
          <t>SÄTER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Ullticka</t>
        </is>
      </c>
      <c r="W48">
        <f>HYPERLINK("https://klasma.github.io/Logging_2082/artfynd/A 33605-2022 artfynd.xlsx", "A 33605-2022")</f>
        <v/>
      </c>
      <c r="X48">
        <f>HYPERLINK("https://klasma.github.io/Logging_2082/kartor/A 33605-2022 karta.png", "A 33605-2022")</f>
        <v/>
      </c>
      <c r="Y48">
        <f>HYPERLINK("https://klasma.github.io/Logging_2082/kartor_geotiff/A 33605-2022 georefererad karta.tif", "A 33605-2022")</f>
        <v/>
      </c>
      <c r="AA48">
        <f>HYPERLINK("https://klasma.github.io/Logging_2082/klagomål/A 33605-2022 FSC-klagomål.docx", "A 33605-2022")</f>
        <v/>
      </c>
      <c r="AB48">
        <f>HYPERLINK("https://klasma.github.io/Logging_2082/klagomålsmail/A 33605-2022 FSC-klagomål mail.docx", "A 33605-2022")</f>
        <v/>
      </c>
      <c r="AC48">
        <f>HYPERLINK("https://klasma.github.io/Logging_2082/tillsyn/A 33605-2022 tillsynsbegäran.docx", "A 33605-2022")</f>
        <v/>
      </c>
      <c r="AD48">
        <f>HYPERLINK("https://klasma.github.io/Logging_2082/tillsynsmail/A 33605-2022 tillsynsbegäran mail.docx", "A 33605-2022")</f>
        <v/>
      </c>
    </row>
    <row r="49" ht="15" customHeight="1">
      <c r="A49" t="inlineStr">
        <is>
          <t>A 57427-2022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44896</v>
      </c>
      <c r="E49" s="1" t="n">
        <v>46308</v>
      </c>
      <c r="F49" t="inlineStr">
        <is>
          <t>DALARNAS LÄN</t>
        </is>
      </c>
      <c r="G49" t="inlineStr">
        <is>
          <t>SÄTER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HYPERLINK("https://klasma.github.io/Logging_2082/artfynd/A 57427-2022 artfynd.xlsx", "A 57427-2022")</f>
        <v/>
      </c>
      <c r="X49">
        <f>HYPERLINK("https://klasma.github.io/Logging_2082/kartor/A 57427-2022 karta.png", "A 57427-2022")</f>
        <v/>
      </c>
      <c r="Y49">
        <f>HYPERLINK("https://klasma.github.io/Logging_2082/kartor_geotiff/A 57427-2022 georefererad karta.tif", "A 57427-2022")</f>
        <v/>
      </c>
      <c r="AA49">
        <f>HYPERLINK("https://klasma.github.io/Logging_2082/klagomål/A 57427-2022 FSC-klagomål.docx", "A 57427-2022")</f>
        <v/>
      </c>
      <c r="AB49">
        <f>HYPERLINK("https://klasma.github.io/Logging_2082/klagomålsmail/A 57427-2022 FSC-klagomål mail.docx", "A 57427-2022")</f>
        <v/>
      </c>
      <c r="AC49">
        <f>HYPERLINK("https://klasma.github.io/Logging_2082/tillsyn/A 57427-2022 tillsynsbegäran.docx", "A 57427-2022")</f>
        <v/>
      </c>
      <c r="AD49">
        <f>HYPERLINK("https://klasma.github.io/Logging_2082/tillsynsmail/A 57427-2022 tillsynsbegäran mail.docx", "A 57427-2022")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46308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46308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46308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46308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46308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46308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46308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46308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46308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46308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46308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46308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46308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46308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46308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46308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46308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46308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46308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46308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46308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46308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46308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46308</v>
      </c>
      <c r="F73" t="inlineStr">
        <is>
          <t>DALARNAS LÄN</t>
        </is>
      </c>
      <c r="G73" t="inlineStr">
        <is>
          <t>SÄTER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46308</v>
      </c>
      <c r="F74" t="inlineStr">
        <is>
          <t>DALARNAS LÄN</t>
        </is>
      </c>
      <c r="G74" t="inlineStr">
        <is>
          <t>SÄTER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45273</v>
      </c>
      <c r="E75" s="1" t="n">
        <v>46308</v>
      </c>
      <c r="F75" t="inlineStr">
        <is>
          <t>DALARNAS LÄN</t>
        </is>
      </c>
      <c r="G75" t="inlineStr">
        <is>
          <t>SÄTER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46308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34497-2023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45140</v>
      </c>
      <c r="E77" s="1" t="n">
        <v>46308</v>
      </c>
      <c r="F77" t="inlineStr">
        <is>
          <t>DALARNAS LÄN</t>
        </is>
      </c>
      <c r="G77" t="inlineStr">
        <is>
          <t>SÄTER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46308</v>
      </c>
      <c r="F78" t="inlineStr">
        <is>
          <t>DALARNAS LÄN</t>
        </is>
      </c>
      <c r="G78" t="inlineStr">
        <is>
          <t>SÄTER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46308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51339-2024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46308</v>
      </c>
      <c r="F80" t="inlineStr">
        <is>
          <t>DALARNAS LÄN</t>
        </is>
      </c>
      <c r="G80" t="inlineStr">
        <is>
          <t>SÄTER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44630</v>
      </c>
      <c r="E81" s="1" t="n">
        <v>46308</v>
      </c>
      <c r="F81" t="inlineStr">
        <is>
          <t>DALARNAS LÄN</t>
        </is>
      </c>
      <c r="G81" t="inlineStr">
        <is>
          <t>SÄTER</t>
        </is>
      </c>
      <c r="I81" t="n">
        <v>10.1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46308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45268</v>
      </c>
      <c r="E83" s="1" t="n">
        <v>46308</v>
      </c>
      <c r="F83" t="inlineStr">
        <is>
          <t>DALARNAS LÄN</t>
        </is>
      </c>
      <c r="G83" t="inlineStr">
        <is>
          <t>SÄTER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46308</v>
      </c>
      <c r="F84" t="inlineStr">
        <is>
          <t>DALARNAS LÄN</t>
        </is>
      </c>
      <c r="G84" t="inlineStr">
        <is>
          <t>SÄTER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46308</v>
      </c>
      <c r="F85" t="inlineStr">
        <is>
          <t>DALARNAS LÄN</t>
        </is>
      </c>
      <c r="G85" t="inlineStr">
        <is>
          <t>SÄTER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46308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5.2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46308</v>
      </c>
      <c r="F87" t="inlineStr">
        <is>
          <t>DALARNAS LÄN</t>
        </is>
      </c>
      <c r="G87" t="inlineStr">
        <is>
          <t>SÄTER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45911</v>
      </c>
      <c r="E88" s="1" t="n">
        <v>46308</v>
      </c>
      <c r="F88" t="inlineStr">
        <is>
          <t>DALARNAS LÄN</t>
        </is>
      </c>
      <c r="G88" t="inlineStr">
        <is>
          <t>SÄTER</t>
        </is>
      </c>
      <c r="H88" t="inlineStr">
        <is>
          <t>Bergvik skog väst AB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45527</v>
      </c>
      <c r="E89" s="1" t="n">
        <v>46308</v>
      </c>
      <c r="F89" t="inlineStr">
        <is>
          <t>DALARNAS LÄN</t>
        </is>
      </c>
      <c r="G89" t="inlineStr">
        <is>
          <t>SÄTER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46308</v>
      </c>
      <c r="F90" t="inlineStr">
        <is>
          <t>DALARNAS LÄN</t>
        </is>
      </c>
      <c r="G90" t="inlineStr">
        <is>
          <t>SÄTER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12957-2022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46308</v>
      </c>
      <c r="F91" t="inlineStr">
        <is>
          <t>DALARNAS LÄN</t>
        </is>
      </c>
      <c r="G91" t="inlineStr">
        <is>
          <t>SÄTER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46308</v>
      </c>
      <c r="F92" t="inlineStr">
        <is>
          <t>DALARNAS LÄN</t>
        </is>
      </c>
      <c r="G92" t="inlineStr">
        <is>
          <t>SÄTER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46308</v>
      </c>
      <c r="F93" t="inlineStr">
        <is>
          <t>DALARNAS LÄN</t>
        </is>
      </c>
      <c r="G93" t="inlineStr">
        <is>
          <t>SÄTER</t>
        </is>
      </c>
      <c r="H93" t="inlineStr">
        <is>
          <t>Övriga statliga verk och myndigheter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46494-2025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46308</v>
      </c>
      <c r="F94" t="inlineStr">
        <is>
          <t>DALARNAS LÄN</t>
        </is>
      </c>
      <c r="G94" t="inlineStr">
        <is>
          <t>SÄTER</t>
        </is>
      </c>
      <c r="H94" t="inlineStr">
        <is>
          <t>Bergvik skog väst AB</t>
        </is>
      </c>
      <c r="I94" t="n">
        <v>15.2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10285-2026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46076</v>
      </c>
      <c r="E95" s="1" t="n">
        <v>46308</v>
      </c>
      <c r="F95" t="inlineStr">
        <is>
          <t>DALARNAS LÄN</t>
        </is>
      </c>
      <c r="G95" t="inlineStr">
        <is>
          <t>SÄTER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46495-2025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45925</v>
      </c>
      <c r="E96" s="1" t="n">
        <v>46308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41.4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46308</v>
      </c>
      <c r="F97" t="inlineStr">
        <is>
          <t>DALARNAS LÄN</t>
        </is>
      </c>
      <c r="G97" t="inlineStr">
        <is>
          <t>SÄTER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56827-2024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46308</v>
      </c>
      <c r="F98" t="inlineStr">
        <is>
          <t>DALARNAS LÄN</t>
        </is>
      </c>
      <c r="G98" t="inlineStr">
        <is>
          <t>SÄTER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45232</v>
      </c>
      <c r="E99" s="1" t="n">
        <v>46308</v>
      </c>
      <c r="F99" t="inlineStr">
        <is>
          <t>DALARNAS LÄN</t>
        </is>
      </c>
      <c r="G99" t="inlineStr">
        <is>
          <t>SÄTER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44953</v>
      </c>
      <c r="E100" s="1" t="n">
        <v>46308</v>
      </c>
      <c r="F100" t="inlineStr">
        <is>
          <t>DALARNAS LÄN</t>
        </is>
      </c>
      <c r="G100" t="inlineStr">
        <is>
          <t>SÄTER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44964</v>
      </c>
      <c r="E101" s="1" t="n">
        <v>46308</v>
      </c>
      <c r="F101" t="inlineStr">
        <is>
          <t>DALARNAS LÄN</t>
        </is>
      </c>
      <c r="G101" t="inlineStr">
        <is>
          <t>SÄTER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46308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44581</v>
      </c>
      <c r="E103" s="1" t="n">
        <v>46308</v>
      </c>
      <c r="F103" t="inlineStr">
        <is>
          <t>DALARNAS LÄN</t>
        </is>
      </c>
      <c r="G103" t="inlineStr">
        <is>
          <t>SÄTER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45520</v>
      </c>
      <c r="E104" s="1" t="n">
        <v>46308</v>
      </c>
      <c r="F104" t="inlineStr">
        <is>
          <t>DALARNAS LÄN</t>
        </is>
      </c>
      <c r="G104" t="inlineStr">
        <is>
          <t>SÄTER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42998-2023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45182</v>
      </c>
      <c r="E105" s="1" t="n">
        <v>46308</v>
      </c>
      <c r="F105" t="inlineStr">
        <is>
          <t>DALARNAS LÄN</t>
        </is>
      </c>
      <c r="G105" t="inlineStr">
        <is>
          <t>SÄTER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46308</v>
      </c>
      <c r="F106" t="inlineStr">
        <is>
          <t>DALARNAS LÄN</t>
        </is>
      </c>
      <c r="G106" t="inlineStr">
        <is>
          <t>SÄTER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46308</v>
      </c>
      <c r="F107" t="inlineStr">
        <is>
          <t>DALARNAS LÄN</t>
        </is>
      </c>
      <c r="G107" t="inlineStr">
        <is>
          <t>SÄTER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46308</v>
      </c>
      <c r="F108" t="inlineStr">
        <is>
          <t>DALARNAS LÄN</t>
        </is>
      </c>
      <c r="G108" t="inlineStr">
        <is>
          <t>SÄTER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51847-2024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45604</v>
      </c>
      <c r="E109" s="1" t="n">
        <v>46308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50649-2025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45945</v>
      </c>
      <c r="E110" s="1" t="n">
        <v>46308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46190</v>
      </c>
      <c r="E111" s="1" t="n">
        <v>46308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46308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45232</v>
      </c>
      <c r="E113" s="1" t="n">
        <v>46308</v>
      </c>
      <c r="F113" t="inlineStr">
        <is>
          <t>DALARNAS LÄN</t>
        </is>
      </c>
      <c r="G113" t="inlineStr">
        <is>
          <t>SÄTER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46191</v>
      </c>
      <c r="E114" s="1" t="n">
        <v>46308</v>
      </c>
      <c r="F114" t="inlineStr">
        <is>
          <t>DALARNAS LÄN</t>
        </is>
      </c>
      <c r="G114" t="inlineStr">
        <is>
          <t>SÄTER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51826-2025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45951</v>
      </c>
      <c r="E115" s="1" t="n">
        <v>46308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51824-2025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45951</v>
      </c>
      <c r="E116" s="1" t="n">
        <v>46308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46092</v>
      </c>
      <c r="E117" s="1" t="n">
        <v>46308</v>
      </c>
      <c r="F117" t="inlineStr">
        <is>
          <t>DALARNAS LÄN</t>
        </is>
      </c>
      <c r="G117" t="inlineStr">
        <is>
          <t>SÄTER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46308</v>
      </c>
      <c r="F118" t="inlineStr">
        <is>
          <t>DALARNAS LÄN</t>
        </is>
      </c>
      <c r="G118" t="inlineStr">
        <is>
          <t>SÄTER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33473-2022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46308</v>
      </c>
      <c r="F119" t="inlineStr">
        <is>
          <t>DALARNAS LÄN</t>
        </is>
      </c>
      <c r="G119" t="inlineStr">
        <is>
          <t>SÄTER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44748</v>
      </c>
      <c r="E120" s="1" t="n">
        <v>46308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45954</v>
      </c>
      <c r="E121" s="1" t="n">
        <v>46308</v>
      </c>
      <c r="F121" t="inlineStr">
        <is>
          <t>DALARNAS LÄN</t>
        </is>
      </c>
      <c r="G121" t="inlineStr">
        <is>
          <t>SÄTER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46308</v>
      </c>
      <c r="F122" t="inlineStr">
        <is>
          <t>DALARNAS LÄN</t>
        </is>
      </c>
      <c r="G122" t="inlineStr">
        <is>
          <t>SÄTER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46308</v>
      </c>
      <c r="F123" t="inlineStr">
        <is>
          <t>DALARNAS LÄN</t>
        </is>
      </c>
      <c r="G123" t="inlineStr">
        <is>
          <t>SÄTER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53559-2025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45960</v>
      </c>
      <c r="E124" s="1" t="n">
        <v>46308</v>
      </c>
      <c r="F124" t="inlineStr">
        <is>
          <t>DALARNAS LÄN</t>
        </is>
      </c>
      <c r="G124" t="inlineStr">
        <is>
          <t>SÄTER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46308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41471-2023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45171</v>
      </c>
      <c r="E126" s="1" t="n">
        <v>46308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45783</v>
      </c>
      <c r="E127" s="1" t="n">
        <v>46308</v>
      </c>
      <c r="F127" t="inlineStr">
        <is>
          <t>DALARNAS LÄN</t>
        </is>
      </c>
      <c r="G127" t="inlineStr">
        <is>
          <t>SÄTER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45596</v>
      </c>
      <c r="E128" s="1" t="n">
        <v>46308</v>
      </c>
      <c r="F128" t="inlineStr">
        <is>
          <t>DALARNAS LÄN</t>
        </is>
      </c>
      <c r="G128" t="inlineStr">
        <is>
          <t>SÄTER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45971</v>
      </c>
      <c r="E129" s="1" t="n">
        <v>46308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45428</v>
      </c>
      <c r="E130" s="1" t="n">
        <v>46308</v>
      </c>
      <c r="F130" t="inlineStr">
        <is>
          <t>DALARNAS LÄN</t>
        </is>
      </c>
      <c r="G130" t="inlineStr">
        <is>
          <t>SÄTER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19767-2024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45432</v>
      </c>
      <c r="E131" s="1" t="n">
        <v>46308</v>
      </c>
      <c r="F131" t="inlineStr">
        <is>
          <t>DALARNAS LÄN</t>
        </is>
      </c>
      <c r="G131" t="inlineStr">
        <is>
          <t>SÄTER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46066</v>
      </c>
      <c r="E132" s="1" t="n">
        <v>46308</v>
      </c>
      <c r="F132" t="inlineStr">
        <is>
          <t>DALARNAS LÄN</t>
        </is>
      </c>
      <c r="G132" t="inlineStr">
        <is>
          <t>SÄTER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46308</v>
      </c>
      <c r="F133" t="inlineStr">
        <is>
          <t>DALARNAS LÄN</t>
        </is>
      </c>
      <c r="G133" t="inlineStr">
        <is>
          <t>SÄTER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46308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46211</v>
      </c>
      <c r="E135" s="1" t="n">
        <v>46308</v>
      </c>
      <c r="F135" t="inlineStr">
        <is>
          <t>DALARNAS LÄN</t>
        </is>
      </c>
      <c r="G135" t="inlineStr">
        <is>
          <t>SÄTER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45664</v>
      </c>
      <c r="E136" s="1" t="n">
        <v>46308</v>
      </c>
      <c r="F136" t="inlineStr">
        <is>
          <t>DALARNAS LÄN</t>
        </is>
      </c>
      <c r="G136" t="inlineStr">
        <is>
          <t>SÄTER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  <c r="Z136">
        <f>HYPERLINK("https://klasma.github.io/Logging_2082/knärot/A 498-2025 karta knärot.png", "A 498-2025")</f>
        <v/>
      </c>
      <c r="AA136">
        <f>HYPERLINK("https://klasma.github.io/Logging_2082/klagomål/A 498-2025 FSC-klagomål.docx", "A 498-2025")</f>
        <v/>
      </c>
      <c r="AB136">
        <f>HYPERLINK("https://klasma.github.io/Logging_2082/klagomålsmail/A 498-2025 FSC-klagomål mail.docx", "A 498-2025")</f>
        <v/>
      </c>
      <c r="AC136">
        <f>HYPERLINK("https://klasma.github.io/Logging_2082/tillsyn/A 498-2025 tillsynsbegäran.docx", "A 498-2025")</f>
        <v/>
      </c>
      <c r="AD136">
        <f>HYPERLINK("https://klasma.github.io/Logging_2082/tillsynsmail/A 498-2025 tillsynsbegäran mail.docx", "A 498-2025")</f>
        <v/>
      </c>
    </row>
    <row r="137" ht="15" customHeight="1">
      <c r="A137" t="inlineStr">
        <is>
          <t>A 8697-2023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46308</v>
      </c>
      <c r="F137" t="inlineStr">
        <is>
          <t>DALARNAS LÄN</t>
        </is>
      </c>
      <c r="G137" t="inlineStr">
        <is>
          <t>SÄTER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46308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45365</v>
      </c>
      <c r="E139" s="1" t="n">
        <v>46308</v>
      </c>
      <c r="F139" t="inlineStr">
        <is>
          <t>DALARNAS LÄN</t>
        </is>
      </c>
      <c r="G139" t="inlineStr">
        <is>
          <t>SÄTER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45666</v>
      </c>
      <c r="E140" s="1" t="n">
        <v>46308</v>
      </c>
      <c r="F140" t="inlineStr">
        <is>
          <t>DALARNAS LÄN</t>
        </is>
      </c>
      <c r="G140" t="inlineStr">
        <is>
          <t>SÄTER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45118</v>
      </c>
      <c r="E141" s="1" t="n">
        <v>46308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21911-2024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46308</v>
      </c>
      <c r="F142" t="inlineStr">
        <is>
          <t>DALARNAS LÄN</t>
        </is>
      </c>
      <c r="G142" t="inlineStr">
        <is>
          <t>SÄTER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46308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45960</v>
      </c>
      <c r="E144" s="1" t="n">
        <v>46308</v>
      </c>
      <c r="F144" t="inlineStr">
        <is>
          <t>DALARNAS LÄN</t>
        </is>
      </c>
      <c r="G144" t="inlineStr">
        <is>
          <t>SÄTER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46308</v>
      </c>
      <c r="F145" t="inlineStr">
        <is>
          <t>DALARNAS LÄN</t>
        </is>
      </c>
      <c r="G145" t="inlineStr">
        <is>
          <t>SÄTER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46308</v>
      </c>
      <c r="F146" t="inlineStr">
        <is>
          <t>DALARNAS LÄN</t>
        </is>
      </c>
      <c r="G146" t="inlineStr">
        <is>
          <t>SÄTER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45992</v>
      </c>
      <c r="E147" s="1" t="n">
        <v>46308</v>
      </c>
      <c r="F147" t="inlineStr">
        <is>
          <t>DALARNAS LÄN</t>
        </is>
      </c>
      <c r="G147" t="inlineStr">
        <is>
          <t>SÄTER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46308</v>
      </c>
      <c r="F148" t="inlineStr">
        <is>
          <t>DALARNAS LÄN</t>
        </is>
      </c>
      <c r="G148" t="inlineStr">
        <is>
          <t>SÄTER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41961-2024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45561</v>
      </c>
      <c r="E149" s="1" t="n">
        <v>46308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46308</v>
      </c>
      <c r="F150" t="inlineStr">
        <is>
          <t>DALARNAS LÄN</t>
        </is>
      </c>
      <c r="G150" t="inlineStr">
        <is>
          <t>SÄTER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46308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46308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46000</v>
      </c>
      <c r="E153" s="1" t="n">
        <v>46308</v>
      </c>
      <c r="F153" t="inlineStr">
        <is>
          <t>DALARNAS LÄN</t>
        </is>
      </c>
      <c r="G153" t="inlineStr">
        <is>
          <t>SÄTER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27057-2025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45811</v>
      </c>
      <c r="E154" s="1" t="n">
        <v>46308</v>
      </c>
      <c r="F154" t="inlineStr">
        <is>
          <t>DALARNAS LÄN</t>
        </is>
      </c>
      <c r="G154" t="inlineStr">
        <is>
          <t>SÄTER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45552</v>
      </c>
      <c r="E155" s="1" t="n">
        <v>46308</v>
      </c>
      <c r="F155" t="inlineStr">
        <is>
          <t>DALARNAS LÄN</t>
        </is>
      </c>
      <c r="G155" t="inlineStr">
        <is>
          <t>SÄTER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46275</v>
      </c>
      <c r="E156" s="1" t="n">
        <v>46308</v>
      </c>
      <c r="F156" t="inlineStr">
        <is>
          <t>DALARNAS LÄN</t>
        </is>
      </c>
      <c r="G156" t="inlineStr">
        <is>
          <t>SÄTER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44784</v>
      </c>
      <c r="E157" s="1" t="n">
        <v>46308</v>
      </c>
      <c r="F157" t="inlineStr">
        <is>
          <t>DALARNAS LÄN</t>
        </is>
      </c>
      <c r="G157" t="inlineStr">
        <is>
          <t>SÄTER</t>
        </is>
      </c>
      <c r="I157" t="n">
        <v>10.9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46308</v>
      </c>
      <c r="F158" t="inlineStr">
        <is>
          <t>DALARNAS LÄN</t>
        </is>
      </c>
      <c r="G158" t="inlineStr">
        <is>
          <t>SÄTER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32122-2026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46234</v>
      </c>
      <c r="E159" s="1" t="n">
        <v>46308</v>
      </c>
      <c r="F159" t="inlineStr">
        <is>
          <t>DALARNAS LÄN</t>
        </is>
      </c>
      <c r="G159" t="inlineStr">
        <is>
          <t>SÄTER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46308</v>
      </c>
      <c r="F160" t="inlineStr">
        <is>
          <t>DALARNAS LÄN</t>
        </is>
      </c>
      <c r="G160" t="inlineStr">
        <is>
          <t>SÄTER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46308</v>
      </c>
      <c r="F161" t="inlineStr">
        <is>
          <t>DALARNAS LÄN</t>
        </is>
      </c>
      <c r="G161" t="inlineStr">
        <is>
          <t>SÄTER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46308</v>
      </c>
      <c r="F162" t="inlineStr">
        <is>
          <t>DALARNAS LÄN</t>
        </is>
      </c>
      <c r="G162" t="inlineStr">
        <is>
          <t>SÄTER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63684-2025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46014</v>
      </c>
      <c r="E163" s="1" t="n">
        <v>46308</v>
      </c>
      <c r="F163" t="inlineStr">
        <is>
          <t>DALARNAS LÄN</t>
        </is>
      </c>
      <c r="G163" t="inlineStr">
        <is>
          <t>SÄTER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46308</v>
      </c>
      <c r="F164" t="inlineStr">
        <is>
          <t>DALARNAS LÄN</t>
        </is>
      </c>
      <c r="G164" t="inlineStr">
        <is>
          <t>SÄTER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46308</v>
      </c>
      <c r="F165" t="inlineStr">
        <is>
          <t>DALARNAS LÄN</t>
        </is>
      </c>
      <c r="G165" t="inlineStr">
        <is>
          <t>SÄTER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46026</v>
      </c>
      <c r="E166" s="1" t="n">
        <v>46308</v>
      </c>
      <c r="F166" t="inlineStr">
        <is>
          <t>DALARNAS LÄN</t>
        </is>
      </c>
      <c r="G166" t="inlineStr">
        <is>
          <t>SÄTER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46308</v>
      </c>
      <c r="F167" t="inlineStr">
        <is>
          <t>DALARNAS LÄN</t>
        </is>
      </c>
      <c r="G167" t="inlineStr">
        <is>
          <t>SÄTER</t>
        </is>
      </c>
      <c r="I167" t="n">
        <v>12.1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46030</v>
      </c>
      <c r="E168" s="1" t="n">
        <v>46308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46308</v>
      </c>
      <c r="F169" t="inlineStr">
        <is>
          <t>DALARNAS LÄN</t>
        </is>
      </c>
      <c r="G169" t="inlineStr">
        <is>
          <t>SÄTER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46308</v>
      </c>
      <c r="F170" t="inlineStr">
        <is>
          <t>DALARNAS LÄN</t>
        </is>
      </c>
      <c r="G170" t="inlineStr">
        <is>
          <t>SÄTER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46308</v>
      </c>
      <c r="F171" t="inlineStr">
        <is>
          <t>DALARNAS LÄN</t>
        </is>
      </c>
      <c r="G171" t="inlineStr">
        <is>
          <t>SÄTER</t>
        </is>
      </c>
      <c r="H171" t="inlineStr">
        <is>
          <t>Kommuner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46308</v>
      </c>
      <c r="F172" t="inlineStr">
        <is>
          <t>DALARNAS LÄN</t>
        </is>
      </c>
      <c r="G172" t="inlineStr">
        <is>
          <t>SÄTER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46308</v>
      </c>
      <c r="F173" t="inlineStr">
        <is>
          <t>DALARNAS LÄN</t>
        </is>
      </c>
      <c r="G173" t="inlineStr">
        <is>
          <t>SÄTER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46308</v>
      </c>
      <c r="F174" t="inlineStr">
        <is>
          <t>DALARNAS LÄN</t>
        </is>
      </c>
      <c r="G174" t="inlineStr">
        <is>
          <t>SÄTER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46283</v>
      </c>
      <c r="E175" s="1" t="n">
        <v>46308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46308</v>
      </c>
      <c r="F176" t="inlineStr">
        <is>
          <t>DALARNAS LÄN</t>
        </is>
      </c>
      <c r="G176" t="inlineStr">
        <is>
          <t>SÄTER</t>
        </is>
      </c>
      <c r="I176" t="n">
        <v>10.9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46308</v>
      </c>
      <c r="F177" t="inlineStr">
        <is>
          <t>DALARNAS LÄN</t>
        </is>
      </c>
      <c r="G177" t="inlineStr">
        <is>
          <t>SÄTER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46308</v>
      </c>
      <c r="F178" t="inlineStr">
        <is>
          <t>DALARNAS LÄN</t>
        </is>
      </c>
      <c r="G178" t="inlineStr">
        <is>
          <t>SÄTER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46042</v>
      </c>
      <c r="E179" s="1" t="n">
        <v>46308</v>
      </c>
      <c r="F179" t="inlineStr">
        <is>
          <t>DALARNAS LÄN</t>
        </is>
      </c>
      <c r="G179" t="inlineStr">
        <is>
          <t>SÄTER</t>
        </is>
      </c>
      <c r="I179" t="n">
        <v>10.6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46045</v>
      </c>
      <c r="E180" s="1" t="n">
        <v>46308</v>
      </c>
      <c r="F180" t="inlineStr">
        <is>
          <t>DALARNAS LÄN</t>
        </is>
      </c>
      <c r="G180" t="inlineStr">
        <is>
          <t>SÄTER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46308</v>
      </c>
      <c r="F181" t="inlineStr">
        <is>
          <t>DALARNAS LÄN</t>
        </is>
      </c>
      <c r="G181" t="inlineStr">
        <is>
          <t>SÄTER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44739</v>
      </c>
      <c r="E182" s="1" t="n">
        <v>46308</v>
      </c>
      <c r="F182" t="inlineStr">
        <is>
          <t>DALARNAS LÄN</t>
        </is>
      </c>
      <c r="G182" t="inlineStr">
        <is>
          <t>SÄTER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46308</v>
      </c>
      <c r="F183" t="inlineStr">
        <is>
          <t>DALARNAS LÄN</t>
        </is>
      </c>
      <c r="G183" t="inlineStr">
        <is>
          <t>SÄTER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44956</v>
      </c>
      <c r="E184" s="1" t="n">
        <v>46308</v>
      </c>
      <c r="F184" t="inlineStr">
        <is>
          <t>DALARNAS LÄN</t>
        </is>
      </c>
      <c r="G184" t="inlineStr">
        <is>
          <t>SÄTER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45855</v>
      </c>
      <c r="E185" s="1" t="n">
        <v>46308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46051</v>
      </c>
      <c r="E186" s="1" t="n">
        <v>46308</v>
      </c>
      <c r="F186" t="inlineStr">
        <is>
          <t>DALARNAS LÄN</t>
        </is>
      </c>
      <c r="G186" t="inlineStr">
        <is>
          <t>SÄTER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45855</v>
      </c>
      <c r="E187" s="1" t="n">
        <v>46308</v>
      </c>
      <c r="F187" t="inlineStr">
        <is>
          <t>DALARNAS LÄN</t>
        </is>
      </c>
      <c r="G187" t="inlineStr">
        <is>
          <t>SÄTER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46308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46308</v>
      </c>
      <c r="F189" t="inlineStr">
        <is>
          <t>DALARNAS LÄN</t>
        </is>
      </c>
      <c r="G189" t="inlineStr">
        <is>
          <t>SÄTER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46308</v>
      </c>
      <c r="F190" t="inlineStr">
        <is>
          <t>DALARNAS LÄN</t>
        </is>
      </c>
      <c r="G190" t="inlineStr">
        <is>
          <t>SÄTER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45870</v>
      </c>
      <c r="E191" s="1" t="n">
        <v>46308</v>
      </c>
      <c r="F191" t="inlineStr">
        <is>
          <t>DALARNAS LÄN</t>
        </is>
      </c>
      <c r="G191" t="inlineStr">
        <is>
          <t>SÄTER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46308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46065</v>
      </c>
      <c r="E193" s="1" t="n">
        <v>46308</v>
      </c>
      <c r="F193" t="inlineStr">
        <is>
          <t>DALARNAS LÄN</t>
        </is>
      </c>
      <c r="G193" t="inlineStr">
        <is>
          <t>SÄTER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8355-2026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46064</v>
      </c>
      <c r="E194" s="1" t="n">
        <v>46308</v>
      </c>
      <c r="F194" t="inlineStr">
        <is>
          <t>DALARNAS LÄN</t>
        </is>
      </c>
      <c r="G194" t="inlineStr">
        <is>
          <t>SÄTER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45875</v>
      </c>
      <c r="E195" s="1" t="n">
        <v>46308</v>
      </c>
      <c r="F195" t="inlineStr">
        <is>
          <t>DALARNAS LÄN</t>
        </is>
      </c>
      <c r="G195" t="inlineStr">
        <is>
          <t>SÄTER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46308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46308</v>
      </c>
      <c r="F197" t="inlineStr">
        <is>
          <t>DALARNAS LÄN</t>
        </is>
      </c>
      <c r="G197" t="inlineStr">
        <is>
          <t>SÄTER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46308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10173-2026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46308</v>
      </c>
      <c r="F199" t="inlineStr">
        <is>
          <t>DALARNAS LÄN</t>
        </is>
      </c>
      <c r="G199" t="inlineStr">
        <is>
          <t>SÄTER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46293</v>
      </c>
      <c r="E200" s="1" t="n">
        <v>46308</v>
      </c>
      <c r="F200" t="inlineStr">
        <is>
          <t>DALARNAS LÄN</t>
        </is>
      </c>
      <c r="G200" t="inlineStr">
        <is>
          <t>SÄTER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10214-2026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46076</v>
      </c>
      <c r="E201" s="1" t="n">
        <v>46308</v>
      </c>
      <c r="F201" t="inlineStr">
        <is>
          <t>DALARNAS LÄN</t>
        </is>
      </c>
      <c r="G201" t="inlineStr">
        <is>
          <t>SÄTER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46196</v>
      </c>
      <c r="E202" s="1" t="n">
        <v>46308</v>
      </c>
      <c r="F202" t="inlineStr">
        <is>
          <t>DALARNAS LÄN</t>
        </is>
      </c>
      <c r="G202" t="inlineStr">
        <is>
          <t>SÄTER</t>
        </is>
      </c>
      <c r="H202" t="inlineStr">
        <is>
          <t>Sveaskog</t>
        </is>
      </c>
      <c r="I202" t="n">
        <v>19.8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46308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44924</v>
      </c>
      <c r="E204" s="1" t="n">
        <v>46308</v>
      </c>
      <c r="F204" t="inlineStr">
        <is>
          <t>DALARNAS LÄN</t>
        </is>
      </c>
      <c r="G204" t="inlineStr">
        <is>
          <t>SÄTER</t>
        </is>
      </c>
      <c r="H204" t="inlineStr">
        <is>
          <t>Kommuner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46077</v>
      </c>
      <c r="E205" s="1" t="n">
        <v>46308</v>
      </c>
      <c r="F205" t="inlineStr">
        <is>
          <t>DALARNAS LÄN</t>
        </is>
      </c>
      <c r="G205" t="inlineStr">
        <is>
          <t>SÄTER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46083</v>
      </c>
      <c r="E206" s="1" t="n">
        <v>46308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12322-2026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46308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46308</v>
      </c>
      <c r="F208" t="inlineStr">
        <is>
          <t>DALARNAS LÄN</t>
        </is>
      </c>
      <c r="G208" t="inlineStr">
        <is>
          <t>SÄTER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46308</v>
      </c>
      <c r="F209" t="inlineStr">
        <is>
          <t>DALARNAS LÄN</t>
        </is>
      </c>
      <c r="G209" t="inlineStr">
        <is>
          <t>SÄTER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46308</v>
      </c>
      <c r="F210" t="inlineStr">
        <is>
          <t>DALARNAS LÄN</t>
        </is>
      </c>
      <c r="G210" t="inlineStr">
        <is>
          <t>SÄTER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46308</v>
      </c>
      <c r="F211" t="inlineStr">
        <is>
          <t>DALARNAS LÄN</t>
        </is>
      </c>
      <c r="G211" t="inlineStr">
        <is>
          <t>SÄTER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46308</v>
      </c>
      <c r="F212" t="inlineStr">
        <is>
          <t>DALARNAS LÄN</t>
        </is>
      </c>
      <c r="G212" t="inlineStr">
        <is>
          <t>SÄTER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13888-2026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46098</v>
      </c>
      <c r="E213" s="1" t="n">
        <v>46308</v>
      </c>
      <c r="F213" t="inlineStr">
        <is>
          <t>DALARNAS LÄN</t>
        </is>
      </c>
      <c r="G213" t="inlineStr">
        <is>
          <t>SÄTER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13899-2026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46308</v>
      </c>
      <c r="F214" t="inlineStr">
        <is>
          <t>DALARNAS LÄN</t>
        </is>
      </c>
      <c r="G214" t="inlineStr">
        <is>
          <t>SÄTER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46254</v>
      </c>
      <c r="E215" s="1" t="n">
        <v>46308</v>
      </c>
      <c r="F215" t="inlineStr">
        <is>
          <t>DALARNAS LÄN</t>
        </is>
      </c>
      <c r="G215" t="inlineStr">
        <is>
          <t>SÄTER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46308</v>
      </c>
      <c r="F216" t="inlineStr">
        <is>
          <t>DALARNAS LÄN</t>
        </is>
      </c>
      <c r="G216" t="inlineStr">
        <is>
          <t>SÄTER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46577-2023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46308</v>
      </c>
      <c r="F217" t="inlineStr">
        <is>
          <t>DALARNAS LÄN</t>
        </is>
      </c>
      <c r="G217" t="inlineStr">
        <is>
          <t>SÄTER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46119</v>
      </c>
      <c r="E218" s="1" t="n">
        <v>46308</v>
      </c>
      <c r="F218" t="inlineStr">
        <is>
          <t>DALARNAS LÄN</t>
        </is>
      </c>
      <c r="G218" t="inlineStr">
        <is>
          <t>SÄTER</t>
        </is>
      </c>
      <c r="H218" t="inlineStr">
        <is>
          <t>Kommuner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46076</v>
      </c>
      <c r="E219" s="1" t="n">
        <v>46308</v>
      </c>
      <c r="F219" t="inlineStr">
        <is>
          <t>DALARNAS LÄN</t>
        </is>
      </c>
      <c r="G219" t="inlineStr">
        <is>
          <t>SÄTER</t>
        </is>
      </c>
      <c r="I219" t="n">
        <v>15.2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18888-2022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44690</v>
      </c>
      <c r="E220" s="1" t="n">
        <v>46308</v>
      </c>
      <c r="F220" t="inlineStr">
        <is>
          <t>DALARNAS LÄN</t>
        </is>
      </c>
      <c r="G220" t="inlineStr">
        <is>
          <t>SÄTER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12942-2026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46092</v>
      </c>
      <c r="E221" s="1" t="n">
        <v>46308</v>
      </c>
      <c r="F221" t="inlineStr">
        <is>
          <t>DALARNAS LÄN</t>
        </is>
      </c>
      <c r="G221" t="inlineStr">
        <is>
          <t>SÄTER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39998-2026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46293</v>
      </c>
      <c r="E222" s="1" t="n">
        <v>46308</v>
      </c>
      <c r="F222" t="inlineStr">
        <is>
          <t>DALARNAS LÄN</t>
        </is>
      </c>
      <c r="G222" t="inlineStr">
        <is>
          <t>SÄTER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46308</v>
      </c>
      <c r="F223" t="inlineStr">
        <is>
          <t>DALARNAS LÄN</t>
        </is>
      </c>
      <c r="G223" t="inlineStr">
        <is>
          <t>SÄTER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23737-2026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46308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35564-2026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46262</v>
      </c>
      <c r="E225" s="1" t="n">
        <v>46308</v>
      </c>
      <c r="F225" t="inlineStr">
        <is>
          <t>DALARNAS LÄN</t>
        </is>
      </c>
      <c r="G225" t="inlineStr">
        <is>
          <t>SÄTER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46204</v>
      </c>
      <c r="E226" s="1" t="n">
        <v>46308</v>
      </c>
      <c r="F226" t="inlineStr">
        <is>
          <t>DALARNAS LÄN</t>
        </is>
      </c>
      <c r="G226" t="inlineStr">
        <is>
          <t>SÄTER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56225-2023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46308</v>
      </c>
      <c r="F227" t="inlineStr">
        <is>
          <t>DALARNAS LÄN</t>
        </is>
      </c>
      <c r="G227" t="inlineStr">
        <is>
          <t>SÄTER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46308</v>
      </c>
      <c r="F228" t="inlineStr">
        <is>
          <t>DALARNAS LÄN</t>
        </is>
      </c>
      <c r="G228" t="inlineStr">
        <is>
          <t>SÄTER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46308</v>
      </c>
      <c r="F229" t="inlineStr">
        <is>
          <t>DALARNAS LÄN</t>
        </is>
      </c>
      <c r="G229" t="inlineStr">
        <is>
          <t>SÄTER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46308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46308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35385-2026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46261</v>
      </c>
      <c r="E232" s="1" t="n">
        <v>46308</v>
      </c>
      <c r="F232" t="inlineStr">
        <is>
          <t>DALARNAS LÄN</t>
        </is>
      </c>
      <c r="G232" t="inlineStr">
        <is>
          <t>SÄTER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46300</v>
      </c>
      <c r="E233" s="1" t="n">
        <v>46308</v>
      </c>
      <c r="F233" t="inlineStr">
        <is>
          <t>DALARNAS LÄN</t>
        </is>
      </c>
      <c r="G233" t="inlineStr">
        <is>
          <t>SÄTER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46308</v>
      </c>
      <c r="F234" t="inlineStr">
        <is>
          <t>DALARNAS LÄN</t>
        </is>
      </c>
      <c r="G234" t="inlineStr">
        <is>
          <t>SÄTER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44585</v>
      </c>
      <c r="E235" s="1" t="n">
        <v>46308</v>
      </c>
      <c r="F235" t="inlineStr">
        <is>
          <t>DALARNAS LÄN</t>
        </is>
      </c>
      <c r="G235" t="inlineStr">
        <is>
          <t>SÄTER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44719-2024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45574</v>
      </c>
      <c r="E236" s="1" t="n">
        <v>46308</v>
      </c>
      <c r="F236" t="inlineStr">
        <is>
          <t>DALARNAS LÄN</t>
        </is>
      </c>
      <c r="G236" t="inlineStr">
        <is>
          <t>SÄTER</t>
        </is>
      </c>
      <c r="H236" t="inlineStr">
        <is>
          <t>Bergvik skog väst AB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64788-2023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45282</v>
      </c>
      <c r="E237" s="1" t="n">
        <v>46308</v>
      </c>
      <c r="F237" t="inlineStr">
        <is>
          <t>DALARNAS LÄN</t>
        </is>
      </c>
      <c r="G237" t="inlineStr">
        <is>
          <t>SÄTER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46308</v>
      </c>
      <c r="F238" t="inlineStr">
        <is>
          <t>DALARNAS LÄN</t>
        </is>
      </c>
      <c r="G238" t="inlineStr">
        <is>
          <t>SÄTER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46308</v>
      </c>
      <c r="F239" t="inlineStr">
        <is>
          <t>DALARNAS LÄN</t>
        </is>
      </c>
      <c r="G239" t="inlineStr">
        <is>
          <t>SÄTER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46308</v>
      </c>
      <c r="F240" t="inlineStr">
        <is>
          <t>DALARNAS LÄN</t>
        </is>
      </c>
      <c r="G240" t="inlineStr">
        <is>
          <t>SÄTER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46308</v>
      </c>
      <c r="F241" t="inlineStr">
        <is>
          <t>DALARNAS LÄN</t>
        </is>
      </c>
      <c r="G241" t="inlineStr">
        <is>
          <t>SÄTER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46308</v>
      </c>
      <c r="F242" t="inlineStr">
        <is>
          <t>DALARNAS LÄN</t>
        </is>
      </c>
      <c r="G242" t="inlineStr">
        <is>
          <t>SÄTER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45561</v>
      </c>
      <c r="E243" s="1" t="n">
        <v>46308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46308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10.8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46073</v>
      </c>
      <c r="E245" s="1" t="n">
        <v>46308</v>
      </c>
      <c r="F245" t="inlineStr">
        <is>
          <t>DALARNAS LÄN</t>
        </is>
      </c>
      <c r="G245" t="inlineStr">
        <is>
          <t>SÄTER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46308</v>
      </c>
      <c r="F246" t="inlineStr">
        <is>
          <t>DALARNAS LÄN</t>
        </is>
      </c>
      <c r="G246" t="inlineStr">
        <is>
          <t>SÄTER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44727</v>
      </c>
      <c r="E247" s="1" t="n">
        <v>46308</v>
      </c>
      <c r="F247" t="inlineStr">
        <is>
          <t>DALARNAS LÄN</t>
        </is>
      </c>
      <c r="G247" t="inlineStr">
        <is>
          <t>SÄTER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46308</v>
      </c>
      <c r="F248" t="inlineStr">
        <is>
          <t>DALARNAS LÄN</t>
        </is>
      </c>
      <c r="G248" t="inlineStr">
        <is>
          <t>SÄTER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46308</v>
      </c>
      <c r="F249" t="inlineStr">
        <is>
          <t>DALARNAS LÄN</t>
        </is>
      </c>
      <c r="G249" t="inlineStr">
        <is>
          <t>SÄTER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46308</v>
      </c>
      <c r="F250" t="inlineStr">
        <is>
          <t>DALARNAS LÄN</t>
        </is>
      </c>
      <c r="G250" t="inlineStr">
        <is>
          <t>SÄTER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46308</v>
      </c>
      <c r="F251" t="inlineStr">
        <is>
          <t>DALARNAS LÄN</t>
        </is>
      </c>
      <c r="G251" t="inlineStr">
        <is>
          <t>SÄTER</t>
        </is>
      </c>
      <c r="H251" t="inlineStr">
        <is>
          <t>Kommuner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45232</v>
      </c>
      <c r="E252" s="1" t="n">
        <v>46308</v>
      </c>
      <c r="F252" t="inlineStr">
        <is>
          <t>DALARNAS LÄN</t>
        </is>
      </c>
      <c r="G252" t="inlineStr">
        <is>
          <t>SÄTER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12330-2026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46308</v>
      </c>
      <c r="F253" t="inlineStr">
        <is>
          <t>DALARNAS LÄN</t>
        </is>
      </c>
      <c r="G253" t="inlineStr">
        <is>
          <t>SÄTER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46308</v>
      </c>
      <c r="F254" t="inlineStr">
        <is>
          <t>DALARNAS LÄN</t>
        </is>
      </c>
      <c r="G254" t="inlineStr">
        <is>
          <t>SÄTER</t>
        </is>
      </c>
      <c r="I254" t="n">
        <v>8.1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46308</v>
      </c>
      <c r="F255" t="inlineStr">
        <is>
          <t>DALARNAS LÄN</t>
        </is>
      </c>
      <c r="G255" t="inlineStr">
        <is>
          <t>SÄTER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45811</v>
      </c>
      <c r="E256" s="1" t="n">
        <v>46308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46308</v>
      </c>
      <c r="F257" t="inlineStr">
        <is>
          <t>DALARNAS LÄN</t>
        </is>
      </c>
      <c r="G257" t="inlineStr">
        <is>
          <t>SÄTER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46308</v>
      </c>
      <c r="F258" t="inlineStr">
        <is>
          <t>DALARNAS LÄN</t>
        </is>
      </c>
      <c r="G258" t="inlineStr">
        <is>
          <t>SÄTER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46308</v>
      </c>
      <c r="F259" t="inlineStr">
        <is>
          <t>DALARNAS LÄN</t>
        </is>
      </c>
      <c r="G259" t="inlineStr">
        <is>
          <t>SÄTER</t>
        </is>
      </c>
      <c r="H259" t="inlineStr">
        <is>
          <t>Kommuner</t>
        </is>
      </c>
      <c r="I259" t="n">
        <v>42.6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8117-2022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44609</v>
      </c>
      <c r="E260" s="1" t="n">
        <v>46308</v>
      </c>
      <c r="F260" t="inlineStr">
        <is>
          <t>DALARNAS LÄN</t>
        </is>
      </c>
      <c r="G260" t="inlineStr">
        <is>
          <t>SÄTER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46091</v>
      </c>
      <c r="E261" s="1" t="n">
        <v>46308</v>
      </c>
      <c r="F261" t="inlineStr">
        <is>
          <t>DALARNAS LÄN</t>
        </is>
      </c>
      <c r="G261" t="inlineStr">
        <is>
          <t>SÄTER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46308</v>
      </c>
      <c r="F262" t="inlineStr">
        <is>
          <t>DALARNAS LÄN</t>
        </is>
      </c>
      <c r="G262" t="inlineStr">
        <is>
          <t>SÄTER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46308</v>
      </c>
      <c r="F263" t="inlineStr">
        <is>
          <t>DALARNAS LÄN</t>
        </is>
      </c>
      <c r="G263" t="inlineStr">
        <is>
          <t>SÄTER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46308</v>
      </c>
      <c r="F264" t="inlineStr">
        <is>
          <t>DALARNAS LÄN</t>
        </is>
      </c>
      <c r="G264" t="inlineStr">
        <is>
          <t>SÄTER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45107</v>
      </c>
      <c r="E265" s="1" t="n">
        <v>46308</v>
      </c>
      <c r="F265" t="inlineStr">
        <is>
          <t>DALARNAS LÄN</t>
        </is>
      </c>
      <c r="G265" t="inlineStr">
        <is>
          <t>SÄTER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46308</v>
      </c>
      <c r="F266" t="inlineStr">
        <is>
          <t>DALARNAS LÄN</t>
        </is>
      </c>
      <c r="G266" t="inlineStr">
        <is>
          <t>SÄTER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44572</v>
      </c>
      <c r="E267" s="1" t="n">
        <v>46308</v>
      </c>
      <c r="F267" t="inlineStr">
        <is>
          <t>DALARNAS LÄN</t>
        </is>
      </c>
      <c r="G267" t="inlineStr">
        <is>
          <t>SÄTER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46308</v>
      </c>
      <c r="F268" t="inlineStr">
        <is>
          <t>DALARNAS LÄN</t>
        </is>
      </c>
      <c r="G268" t="inlineStr">
        <is>
          <t>SÄTER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45599</v>
      </c>
      <c r="E269" s="1" t="n">
        <v>46308</v>
      </c>
      <c r="F269" t="inlineStr">
        <is>
          <t>DALARNAS LÄN</t>
        </is>
      </c>
      <c r="G269" t="inlineStr">
        <is>
          <t>SÄTER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12265-2026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46087</v>
      </c>
      <c r="E270" s="1" t="n">
        <v>46308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23547-2026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46308</v>
      </c>
      <c r="F271" t="inlineStr">
        <is>
          <t>DALARNAS LÄN</t>
        </is>
      </c>
      <c r="G271" t="inlineStr">
        <is>
          <t>SÄTER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46163</v>
      </c>
      <c r="E272" s="1" t="n">
        <v>46308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23736-2026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46308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23736-2026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46308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51474-2024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45604</v>
      </c>
      <c r="E275" s="1" t="n">
        <v>46308</v>
      </c>
      <c r="F275" t="inlineStr">
        <is>
          <t>DALARNAS LÄN</t>
        </is>
      </c>
      <c r="G275" t="inlineStr">
        <is>
          <t>SÄTER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23679-2026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46164</v>
      </c>
      <c r="E276" s="1" t="n">
        <v>46308</v>
      </c>
      <c r="F276" t="inlineStr">
        <is>
          <t>DALARNAS LÄN</t>
        </is>
      </c>
      <c r="G276" t="inlineStr">
        <is>
          <t>SÄTER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46308</v>
      </c>
      <c r="F277" t="inlineStr">
        <is>
          <t>DALARNAS LÄN</t>
        </is>
      </c>
      <c r="G277" t="inlineStr">
        <is>
          <t>SÄTER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59390-2024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45638</v>
      </c>
      <c r="E278" s="1" t="n">
        <v>46308</v>
      </c>
      <c r="F278" t="inlineStr">
        <is>
          <t>DALARNAS LÄN</t>
        </is>
      </c>
      <c r="G278" t="inlineStr">
        <is>
          <t>SÄTER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45145</v>
      </c>
      <c r="E279" s="1" t="n">
        <v>46308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45138</v>
      </c>
      <c r="E280" s="1" t="n">
        <v>46308</v>
      </c>
      <c r="F280" t="inlineStr">
        <is>
          <t>DALARNAS LÄN</t>
        </is>
      </c>
      <c r="G280" t="inlineStr">
        <is>
          <t>SÄTER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46308</v>
      </c>
      <c r="F281" t="inlineStr">
        <is>
          <t>DALARNAS LÄN</t>
        </is>
      </c>
      <c r="G281" t="inlineStr">
        <is>
          <t>SÄTER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46308</v>
      </c>
      <c r="F282" t="inlineStr">
        <is>
          <t>DALARNAS LÄN</t>
        </is>
      </c>
      <c r="G282" t="inlineStr">
        <is>
          <t>SÄTER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21696-2023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45063</v>
      </c>
      <c r="E283" s="1" t="n">
        <v>46308</v>
      </c>
      <c r="F283" t="inlineStr">
        <is>
          <t>DALARNAS LÄN</t>
        </is>
      </c>
      <c r="G283" t="inlineStr">
        <is>
          <t>SÄTER</t>
        </is>
      </c>
      <c r="H283" t="inlineStr">
        <is>
          <t>Kommuner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44960</v>
      </c>
      <c r="E284" s="1" t="n">
        <v>46308</v>
      </c>
      <c r="F284" t="inlineStr">
        <is>
          <t>DALARNAS LÄN</t>
        </is>
      </c>
      <c r="G284" t="inlineStr">
        <is>
          <t>SÄTER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45190</v>
      </c>
      <c r="E285" s="1" t="n">
        <v>46308</v>
      </c>
      <c r="F285" t="inlineStr">
        <is>
          <t>DALARNAS LÄN</t>
        </is>
      </c>
      <c r="G285" t="inlineStr">
        <is>
          <t>SÄTER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46308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42806-2024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45566</v>
      </c>
      <c r="E287" s="1" t="n">
        <v>46308</v>
      </c>
      <c r="F287" t="inlineStr">
        <is>
          <t>DALARNAS LÄN</t>
        </is>
      </c>
      <c r="G287" t="inlineStr">
        <is>
          <t>SÄTER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10406-2024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46308</v>
      </c>
      <c r="F288" t="inlineStr">
        <is>
          <t>DALARNAS LÄN</t>
        </is>
      </c>
      <c r="G288" t="inlineStr">
        <is>
          <t>SÄTER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46308</v>
      </c>
      <c r="F289" t="inlineStr">
        <is>
          <t>DALARNAS LÄN</t>
        </is>
      </c>
      <c r="G289" t="inlineStr">
        <is>
          <t>SÄTER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45670</v>
      </c>
      <c r="E290" s="1" t="n">
        <v>46308</v>
      </c>
      <c r="F290" t="inlineStr">
        <is>
          <t>DALARNAS LÄN</t>
        </is>
      </c>
      <c r="G290" t="inlineStr">
        <is>
          <t>SÄTER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44972</v>
      </c>
      <c r="E291" s="1" t="n">
        <v>46308</v>
      </c>
      <c r="F291" t="inlineStr">
        <is>
          <t>DALARNAS LÄN</t>
        </is>
      </c>
      <c r="G291" t="inlineStr">
        <is>
          <t>SÄTER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45098</v>
      </c>
      <c r="E292" s="1" t="n">
        <v>46308</v>
      </c>
      <c r="F292" t="inlineStr">
        <is>
          <t>DALARNAS LÄN</t>
        </is>
      </c>
      <c r="G292" t="inlineStr">
        <is>
          <t>SÄTER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43770-2024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45569</v>
      </c>
      <c r="E293" s="1" t="n">
        <v>46308</v>
      </c>
      <c r="F293" t="inlineStr">
        <is>
          <t>DALARNAS LÄN</t>
        </is>
      </c>
      <c r="G293" t="inlineStr">
        <is>
          <t>SÄTER</t>
        </is>
      </c>
      <c r="I293" t="n">
        <v>13.2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25690-2022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44732</v>
      </c>
      <c r="E294" s="1" t="n">
        <v>46308</v>
      </c>
      <c r="F294" t="inlineStr">
        <is>
          <t>DALARNAS LÄN</t>
        </is>
      </c>
      <c r="G294" t="inlineStr">
        <is>
          <t>SÄTER</t>
        </is>
      </c>
      <c r="H294" t="inlineStr">
        <is>
          <t>Bergvik skog väst AB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44982</v>
      </c>
      <c r="E295" s="1" t="n">
        <v>46308</v>
      </c>
      <c r="F295" t="inlineStr">
        <is>
          <t>DALARNAS LÄN</t>
        </is>
      </c>
      <c r="G295" t="inlineStr">
        <is>
          <t>SÄTER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54440-2022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46308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54826-2023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45236</v>
      </c>
      <c r="E297" s="1" t="n">
        <v>46308</v>
      </c>
      <c r="F297" t="inlineStr">
        <is>
          <t>DALARNAS LÄN</t>
        </is>
      </c>
      <c r="G297" t="inlineStr">
        <is>
          <t>SÄTER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46308</v>
      </c>
      <c r="F298" t="inlineStr">
        <is>
          <t>DALARNAS LÄN</t>
        </is>
      </c>
      <c r="G298" t="inlineStr">
        <is>
          <t>SÄTER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  <c r="Z298">
        <f>HYPERLINK("https://klasma.github.io/Logging_2082/knärot/A 57416-2022 karta knärot.png", "A 57416-2022")</f>
        <v/>
      </c>
      <c r="AA298">
        <f>HYPERLINK("https://klasma.github.io/Logging_2082/klagomål/A 57416-2022 FSC-klagomål.docx", "A 57416-2022")</f>
        <v/>
      </c>
      <c r="AB298">
        <f>HYPERLINK("https://klasma.github.io/Logging_2082/klagomålsmail/A 57416-2022 FSC-klagomål mail.docx", "A 57416-2022")</f>
        <v/>
      </c>
      <c r="AC298">
        <f>HYPERLINK("https://klasma.github.io/Logging_2082/tillsyn/A 57416-2022 tillsynsbegäran.docx", "A 57416-2022")</f>
        <v/>
      </c>
      <c r="AD298">
        <f>HYPERLINK("https://klasma.github.io/Logging_2082/tillsynsmail/A 57416-2022 tillsynsbegäran mail.docx", "A 57416-2022")</f>
        <v/>
      </c>
    </row>
    <row r="299" ht="15" customHeight="1">
      <c r="A299" t="inlineStr">
        <is>
          <t>A 21859-2022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44711</v>
      </c>
      <c r="E299" s="1" t="n">
        <v>46308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45006</v>
      </c>
      <c r="E300" s="1" t="n">
        <v>46308</v>
      </c>
      <c r="F300" t="inlineStr">
        <is>
          <t>DALARNAS LÄN</t>
        </is>
      </c>
      <c r="G300" t="inlineStr">
        <is>
          <t>SÄTER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42225-2022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44830</v>
      </c>
      <c r="E301" s="1" t="n">
        <v>46308</v>
      </c>
      <c r="F301" t="inlineStr">
        <is>
          <t>DALARNAS LÄN</t>
        </is>
      </c>
      <c r="G301" t="inlineStr">
        <is>
          <t>SÄTER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46308</v>
      </c>
      <c r="F302" t="inlineStr">
        <is>
          <t>DALARNAS LÄN</t>
        </is>
      </c>
      <c r="G302" t="inlineStr">
        <is>
          <t>SÄTER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44869</v>
      </c>
      <c r="E303" s="1" t="n">
        <v>46308</v>
      </c>
      <c r="F303" t="inlineStr">
        <is>
          <t>DALARNAS LÄN</t>
        </is>
      </c>
      <c r="G303" t="inlineStr">
        <is>
          <t>SÄTER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45216</v>
      </c>
      <c r="E304" s="1" t="n">
        <v>46308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46308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46308</v>
      </c>
      <c r="F306" t="inlineStr">
        <is>
          <t>DALARNAS LÄN</t>
        </is>
      </c>
      <c r="G306" t="inlineStr">
        <is>
          <t>SÄTER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41643-2023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46308</v>
      </c>
      <c r="F307" t="inlineStr">
        <is>
          <t>DALARNAS LÄN</t>
        </is>
      </c>
      <c r="G307" t="inlineStr">
        <is>
          <t>SÄTER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51320-2024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45604</v>
      </c>
      <c r="E308" s="1" t="n">
        <v>46308</v>
      </c>
      <c r="F308" t="inlineStr">
        <is>
          <t>DALARNAS LÄN</t>
        </is>
      </c>
      <c r="G308" t="inlineStr">
        <is>
          <t>SÄTER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51324-2024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45604</v>
      </c>
      <c r="E309" s="1" t="n">
        <v>46308</v>
      </c>
      <c r="F309" t="inlineStr">
        <is>
          <t>DALARNAS LÄN</t>
        </is>
      </c>
      <c r="G309" t="inlineStr">
        <is>
          <t>SÄTER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29635-2024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45484</v>
      </c>
      <c r="E310" s="1" t="n">
        <v>46308</v>
      </c>
      <c r="F310" t="inlineStr">
        <is>
          <t>DALARNAS LÄN</t>
        </is>
      </c>
      <c r="G310" t="inlineStr">
        <is>
          <t>SÄTER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59386-2024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46308</v>
      </c>
      <c r="F311" t="inlineStr">
        <is>
          <t>DALARNAS LÄN</t>
        </is>
      </c>
      <c r="G311" t="inlineStr">
        <is>
          <t>SÄTER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51323-2024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45604</v>
      </c>
      <c r="E312" s="1" t="n">
        <v>46308</v>
      </c>
      <c r="F312" t="inlineStr">
        <is>
          <t>DALARNAS LÄN</t>
        </is>
      </c>
      <c r="G312" t="inlineStr">
        <is>
          <t>SÄTER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34990-2024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45527</v>
      </c>
      <c r="E313" s="1" t="n">
        <v>46308</v>
      </c>
      <c r="F313" t="inlineStr">
        <is>
          <t>DALARNAS LÄN</t>
        </is>
      </c>
      <c r="G313" t="inlineStr">
        <is>
          <t>SÄTER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45527</v>
      </c>
      <c r="E314" s="1" t="n">
        <v>46308</v>
      </c>
      <c r="F314" t="inlineStr">
        <is>
          <t>DALARNAS LÄN</t>
        </is>
      </c>
      <c r="G314" t="inlineStr">
        <is>
          <t>SÄTER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51468-2024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45604</v>
      </c>
      <c r="E315" s="1" t="n">
        <v>46308</v>
      </c>
      <c r="F315" t="inlineStr">
        <is>
          <t>DALARNAS LÄN</t>
        </is>
      </c>
      <c r="G315" t="inlineStr">
        <is>
          <t>SÄTER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45527</v>
      </c>
      <c r="E316" s="1" t="n">
        <v>46308</v>
      </c>
      <c r="F316" t="inlineStr">
        <is>
          <t>DALARNAS LÄN</t>
        </is>
      </c>
      <c r="G316" t="inlineStr">
        <is>
          <t>SÄTER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6767-2024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45342</v>
      </c>
      <c r="E317" s="1" t="n">
        <v>46308</v>
      </c>
      <c r="F317" t="inlineStr">
        <is>
          <t>DALARNAS LÄN</t>
        </is>
      </c>
      <c r="G317" t="inlineStr">
        <is>
          <t>SÄTER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44729-2024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46308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46308</v>
      </c>
      <c r="F319" t="inlineStr">
        <is>
          <t>DALARNAS LÄN</t>
        </is>
      </c>
      <c r="G319" t="inlineStr">
        <is>
          <t>SÄTER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46308</v>
      </c>
      <c r="F320" t="inlineStr">
        <is>
          <t>DALARNAS LÄN</t>
        </is>
      </c>
      <c r="G320" t="inlineStr">
        <is>
          <t>SÄTER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45268</v>
      </c>
      <c r="E321" s="1" t="n">
        <v>46308</v>
      </c>
      <c r="F321" t="inlineStr">
        <is>
          <t>DALARNAS LÄN</t>
        </is>
      </c>
      <c r="G321" t="inlineStr">
        <is>
          <t>SÄTER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45330</v>
      </c>
      <c r="E322" s="1" t="n">
        <v>46308</v>
      </c>
      <c r="F322" t="inlineStr">
        <is>
          <t>DALARNAS LÄN</t>
        </is>
      </c>
      <c r="G322" t="inlineStr">
        <is>
          <t>SÄTER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16836-2024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45411</v>
      </c>
      <c r="E323" s="1" t="n">
        <v>46308</v>
      </c>
      <c r="F323" t="inlineStr">
        <is>
          <t>DALARNAS LÄN</t>
        </is>
      </c>
      <c r="G323" t="inlineStr">
        <is>
          <t>SÄTER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46308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45576</v>
      </c>
      <c r="E325" s="1" t="n">
        <v>46308</v>
      </c>
      <c r="F325" t="inlineStr">
        <is>
          <t>DALARNAS LÄN</t>
        </is>
      </c>
      <c r="G325" t="inlineStr">
        <is>
          <t>SÄTER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46308</v>
      </c>
      <c r="F326" t="inlineStr">
        <is>
          <t>DALARNAS LÄN</t>
        </is>
      </c>
      <c r="G326" t="inlineStr">
        <is>
          <t>SÄTER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46308</v>
      </c>
      <c r="F327" t="inlineStr">
        <is>
          <t>DALARNAS LÄN</t>
        </is>
      </c>
      <c r="G327" t="inlineStr">
        <is>
          <t>SÄTER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45398</v>
      </c>
      <c r="E328" s="1" t="n">
        <v>46308</v>
      </c>
      <c r="F328" t="inlineStr">
        <is>
          <t>DALARNAS LÄN</t>
        </is>
      </c>
      <c r="G328" t="inlineStr">
        <is>
          <t>SÄTER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7188-2023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44965</v>
      </c>
      <c r="E329" s="1" t="n">
        <v>46308</v>
      </c>
      <c r="F329" t="inlineStr">
        <is>
          <t>DALARNAS LÄN</t>
        </is>
      </c>
      <c r="G329" t="inlineStr">
        <is>
          <t>SÄTER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46308</v>
      </c>
      <c r="F330" t="inlineStr">
        <is>
          <t>DALARNAS LÄN</t>
        </is>
      </c>
      <c r="G330" t="inlineStr">
        <is>
          <t>SÄTER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45526</v>
      </c>
      <c r="E331" s="1" t="n">
        <v>46308</v>
      </c>
      <c r="F331" t="inlineStr">
        <is>
          <t>DALARNAS LÄN</t>
        </is>
      </c>
      <c r="G331" t="inlineStr">
        <is>
          <t>SÄTER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45264</v>
      </c>
      <c r="E332" s="1" t="n">
        <v>46308</v>
      </c>
      <c r="F332" t="inlineStr">
        <is>
          <t>DALARNAS LÄN</t>
        </is>
      </c>
      <c r="G332" t="inlineStr">
        <is>
          <t>SÄTER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45427</v>
      </c>
      <c r="E333" s="1" t="n">
        <v>46308</v>
      </c>
      <c r="F333" t="inlineStr">
        <is>
          <t>DALARNAS LÄN</t>
        </is>
      </c>
      <c r="G333" t="inlineStr">
        <is>
          <t>SÄTER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21697-2023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45063</v>
      </c>
      <c r="E334" s="1" t="n">
        <v>46308</v>
      </c>
      <c r="F334" t="inlineStr">
        <is>
          <t>DALARNAS LÄN</t>
        </is>
      </c>
      <c r="G334" t="inlineStr">
        <is>
          <t>SÄTER</t>
        </is>
      </c>
      <c r="H334" t="inlineStr">
        <is>
          <t>Kommuner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45110</v>
      </c>
      <c r="E335" s="1" t="n">
        <v>46308</v>
      </c>
      <c r="F335" t="inlineStr">
        <is>
          <t>DALARNAS LÄN</t>
        </is>
      </c>
      <c r="G335" t="inlineStr">
        <is>
          <t>SÄTER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46308</v>
      </c>
      <c r="F336" t="inlineStr">
        <is>
          <t>DALARNAS LÄN</t>
        </is>
      </c>
      <c r="G336" t="inlineStr">
        <is>
          <t>SÄTER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19773-2024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46308</v>
      </c>
      <c r="F337" t="inlineStr">
        <is>
          <t>DALARNAS LÄN</t>
        </is>
      </c>
      <c r="G337" t="inlineStr">
        <is>
          <t>SÄTER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10540-2024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45366</v>
      </c>
      <c r="E338" s="1" t="n">
        <v>46308</v>
      </c>
      <c r="F338" t="inlineStr">
        <is>
          <t>DALARNAS LÄN</t>
        </is>
      </c>
      <c r="G338" t="inlineStr">
        <is>
          <t>SÄTER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44812</v>
      </c>
      <c r="E339" s="1" t="n">
        <v>46308</v>
      </c>
      <c r="F339" t="inlineStr">
        <is>
          <t>DALARNAS LÄN</t>
        </is>
      </c>
      <c r="G339" t="inlineStr">
        <is>
          <t>SÄTER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19162-2022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44691</v>
      </c>
      <c r="E340" s="1" t="n">
        <v>46308</v>
      </c>
      <c r="F340" t="inlineStr">
        <is>
          <t>DALARNAS LÄN</t>
        </is>
      </c>
      <c r="G340" t="inlineStr">
        <is>
          <t>SÄTER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44908</v>
      </c>
      <c r="E341" s="1" t="n">
        <v>46308</v>
      </c>
      <c r="F341" t="inlineStr">
        <is>
          <t>DALARNAS LÄN</t>
        </is>
      </c>
      <c r="G341" t="inlineStr">
        <is>
          <t>SÄTER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45005</v>
      </c>
      <c r="E342" s="1" t="n">
        <v>46308</v>
      </c>
      <c r="F342" t="inlineStr">
        <is>
          <t>DALARNAS LÄN</t>
        </is>
      </c>
      <c r="G342" t="inlineStr">
        <is>
          <t>SÄTER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69744-2021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44532</v>
      </c>
      <c r="E343" s="1" t="n">
        <v>46308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46308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45665</v>
      </c>
      <c r="E345" s="1" t="n">
        <v>46308</v>
      </c>
      <c r="F345" t="inlineStr">
        <is>
          <t>DALARNAS LÄN</t>
        </is>
      </c>
      <c r="G345" t="inlineStr">
        <is>
          <t>SÄTER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44595</v>
      </c>
      <c r="E346" s="1" t="n">
        <v>46308</v>
      </c>
      <c r="F346" t="inlineStr">
        <is>
          <t>DALARNAS LÄN</t>
        </is>
      </c>
      <c r="G346" t="inlineStr">
        <is>
          <t>SÄTER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60655-2024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45644</v>
      </c>
      <c r="E347" s="1" t="n">
        <v>46308</v>
      </c>
      <c r="F347" t="inlineStr">
        <is>
          <t>DALARNAS LÄN</t>
        </is>
      </c>
      <c r="G347" t="inlineStr">
        <is>
          <t>SÄTER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46308</v>
      </c>
      <c r="F348" t="inlineStr">
        <is>
          <t>DALARNAS LÄN</t>
        </is>
      </c>
      <c r="G348" t="inlineStr">
        <is>
          <t>SÄTER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46308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38700-2023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45163</v>
      </c>
      <c r="E350" s="1" t="n">
        <v>46308</v>
      </c>
      <c r="F350" t="inlineStr">
        <is>
          <t>DALARNAS LÄN</t>
        </is>
      </c>
      <c r="G350" t="inlineStr">
        <is>
          <t>SÄTER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39487-2022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46308</v>
      </c>
      <c r="F351" t="inlineStr">
        <is>
          <t>DALARNAS LÄN</t>
        </is>
      </c>
      <c r="G351" t="inlineStr">
        <is>
          <t>SÄTER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45334</v>
      </c>
      <c r="E352" s="1" t="n">
        <v>46308</v>
      </c>
      <c r="F352" t="inlineStr">
        <is>
          <t>DALARNAS LÄN</t>
        </is>
      </c>
      <c r="G352" t="inlineStr">
        <is>
          <t>SÄTER</t>
        </is>
      </c>
      <c r="H352" t="inlineStr">
        <is>
          <t>Kommuner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38521-2024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45546</v>
      </c>
      <c r="E353" s="1" t="n">
        <v>46308</v>
      </c>
      <c r="F353" t="inlineStr">
        <is>
          <t>DALARNAS LÄN</t>
        </is>
      </c>
      <c r="G353" t="inlineStr">
        <is>
          <t>SÄTER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45622</v>
      </c>
      <c r="E354" s="1" t="n">
        <v>46308</v>
      </c>
      <c r="F354" t="inlineStr">
        <is>
          <t>DALARNAS LÄN</t>
        </is>
      </c>
      <c r="G354" t="inlineStr">
        <is>
          <t>SÄTER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32904-2022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44784</v>
      </c>
      <c r="E355" s="1" t="n">
        <v>46308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45247</v>
      </c>
      <c r="E356" s="1" t="n">
        <v>46308</v>
      </c>
      <c r="F356" t="inlineStr">
        <is>
          <t>DALARNAS LÄN</t>
        </is>
      </c>
      <c r="G356" t="inlineStr">
        <is>
          <t>SÄTER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47044-2023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45201</v>
      </c>
      <c r="E357" s="1" t="n">
        <v>46308</v>
      </c>
      <c r="F357" t="inlineStr">
        <is>
          <t>DALARNAS LÄN</t>
        </is>
      </c>
      <c r="G357" t="inlineStr">
        <is>
          <t>SÄTER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51333-2024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45604</v>
      </c>
      <c r="E358" s="1" t="n">
        <v>46308</v>
      </c>
      <c r="F358" t="inlineStr">
        <is>
          <t>DALARNAS LÄN</t>
        </is>
      </c>
      <c r="G358" t="inlineStr">
        <is>
          <t>SÄTER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45771</v>
      </c>
      <c r="E359" s="1" t="n">
        <v>46308</v>
      </c>
      <c r="F359" t="inlineStr">
        <is>
          <t>DALARNAS LÄN</t>
        </is>
      </c>
      <c r="G359" t="inlineStr">
        <is>
          <t>SÄTER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46308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46308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46308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46308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46308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46308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46308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46308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46308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2026-10-13T02:04:06Z</dcterms:created>
  <dcterms:modified xmlns:dcterms="http://purl.org/dc/terms/" xmlns:xsi="http://www.w3.org/2001/XMLSchema-instance" xsi:type="dcterms:W3CDTF">2026-10-13T02:04:06Z</dcterms:modified>
</cp:coreProperties>
</file>