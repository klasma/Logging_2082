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46248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46248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46248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46248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46248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46248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46248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46248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46248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46248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46248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46248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46248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35916-2022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46248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2.6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7</v>
      </c>
      <c r="U15" t="n">
        <v>1</v>
      </c>
      <c r="V15" s="2" t="inlineStr">
        <is>
          <t>Slåttergubbe
Slåtterfibbla
Huggorm</t>
        </is>
      </c>
      <c r="W15">
        <f>HYPERLINK("https://klasma.github.io/Logging_2082/artfynd/A 35916-2022 artfynd.xlsx", "A 35916-2022")</f>
        <v/>
      </c>
      <c r="X15">
        <f>HYPERLINK("https://klasma.github.io/Logging_2082/kartor/A 35916-2022 karta.png", "A 35916-2022")</f>
        <v/>
      </c>
      <c r="Y15">
        <f>HYPERLINK("https://klasma.github.io/Logging_2082/kartor_geotiff/A 35916-2022 georefererad karta.tif", "A 35916-2022")</f>
        <v/>
      </c>
      <c r="AA15">
        <f>HYPERLINK("https://klasma.github.io/Logging_2082/klagomål/A 35916-2022 FSC-klagomål.docx", "A 35916-2022")</f>
        <v/>
      </c>
      <c r="AB15">
        <f>HYPERLINK("https://klasma.github.io/Logging_2082/klagomålsmail/A 35916-2022 FSC-klagomål mail.docx", "A 35916-2022")</f>
        <v/>
      </c>
      <c r="AC15">
        <f>HYPERLINK("https://klasma.github.io/Logging_2082/tillsyn/A 35916-2022 tillsynsbegäran.docx", "A 35916-2022")</f>
        <v/>
      </c>
      <c r="AD15">
        <f>HYPERLINK("https://klasma.github.io/Logging_2082/tillsynsmail/A 35916-2022 tillsynsbegäran mail.docx", "A 35916-2022")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46248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46248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12817-2026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46091</v>
      </c>
      <c r="E18" s="1" t="n">
        <v>46248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28.2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Ask
Grönsångare
Kransmossa</t>
        </is>
      </c>
      <c r="W18">
        <f>HYPERLINK("https://klasma.github.io/Logging_2082/artfynd/A 12817-2026 artfynd.xlsx", "A 12817-2026")</f>
        <v/>
      </c>
      <c r="X18">
        <f>HYPERLINK("https://klasma.github.io/Logging_2082/kartor/A 12817-2026 karta.png", "A 12817-2026")</f>
        <v/>
      </c>
      <c r="Y18">
        <f>HYPERLINK("https://klasma.github.io/Logging_2082/kartor_geotiff/A 12817-2026 georefererad karta.tif", "A 12817-2026")</f>
        <v/>
      </c>
      <c r="AA18">
        <f>HYPERLINK("https://klasma.github.io/Logging_2082/klagomål/A 12817-2026 FSC-klagomål.docx", "A 12817-2026")</f>
        <v/>
      </c>
      <c r="AB18">
        <f>HYPERLINK("https://klasma.github.io/Logging_2082/klagomålsmail/A 12817-2026 FSC-klagomål mail.docx", "A 12817-2026")</f>
        <v/>
      </c>
      <c r="AC18">
        <f>HYPERLINK("https://klasma.github.io/Logging_2082/tillsyn/A 12817-2026 tillsynsbegäran.docx", "A 12817-2026")</f>
        <v/>
      </c>
      <c r="AD18">
        <f>HYPERLINK("https://klasma.github.io/Logging_2082/tillsynsmail/A 12817-2026 tillsynsbegäran mail.docx", "A 12817-2026")</f>
        <v/>
      </c>
      <c r="AE18">
        <f>HYPERLINK("https://klasma.github.io/Logging_2082/fåglar/A 12817-2026 prioriterade fågelarter.docx", "A 12817-2026")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46248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46248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46248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46248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46248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46248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16845-2024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45411</v>
      </c>
      <c r="E25" s="1" t="n">
        <v>46248</v>
      </c>
      <c r="F25" t="inlineStr">
        <is>
          <t>DALARNAS LÄN</t>
        </is>
      </c>
      <c r="G25" t="inlineStr">
        <is>
          <t>SÄTER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Järpe
Kungsfågel</t>
        </is>
      </c>
      <c r="W25">
        <f>HYPERLINK("https://klasma.github.io/Logging_2082/artfynd/A 16845-2024 artfynd.xlsx", "A 16845-2024")</f>
        <v/>
      </c>
      <c r="X25">
        <f>HYPERLINK("https://klasma.github.io/Logging_2082/kartor/A 16845-2024 karta.png", "A 16845-2024")</f>
        <v/>
      </c>
      <c r="Y25">
        <f>HYPERLINK("https://klasma.github.io/Logging_2082/kartor_geotiff/A 16845-2024 georefererad karta.tif", "A 16845-2024")</f>
        <v/>
      </c>
      <c r="AA25">
        <f>HYPERLINK("https://klasma.github.io/Logging_2082/klagomål/A 16845-2024 FSC-klagomål.docx", "A 16845-2024")</f>
        <v/>
      </c>
      <c r="AB25">
        <f>HYPERLINK("https://klasma.github.io/Logging_2082/klagomålsmail/A 16845-2024 FSC-klagomål mail.docx", "A 16845-2024")</f>
        <v/>
      </c>
      <c r="AC25">
        <f>HYPERLINK("https://klasma.github.io/Logging_2082/tillsyn/A 16845-2024 tillsynsbegäran.docx", "A 16845-2024")</f>
        <v/>
      </c>
      <c r="AD25">
        <f>HYPERLINK("https://klasma.github.io/Logging_2082/tillsynsmail/A 16845-2024 tillsynsbegäran mail.docx", "A 16845-2024")</f>
        <v/>
      </c>
      <c r="AE25">
        <f>HYPERLINK("https://klasma.github.io/Logging_2082/fåglar/A 16845-2024 prioriterade fågelarter.docx", "A 16845-2024")</f>
        <v/>
      </c>
    </row>
    <row r="26" ht="15" customHeight="1">
      <c r="A26" t="inlineStr">
        <is>
          <t>A 193-2022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46248</v>
      </c>
      <c r="F26" t="inlineStr">
        <is>
          <t>DALARNAS LÄN</t>
        </is>
      </c>
      <c r="G26" t="inlineStr">
        <is>
          <t>SÄTER</t>
        </is>
      </c>
      <c r="I26" t="n">
        <v>1.9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Dropptaggsvamp
Talltita</t>
        </is>
      </c>
      <c r="W26">
        <f>HYPERLINK("https://klasma.github.io/Logging_2082/artfynd/A 193-2022 artfynd.xlsx", "A 193-2022")</f>
        <v/>
      </c>
      <c r="X26">
        <f>HYPERLINK("https://klasma.github.io/Logging_2082/kartor/A 193-2022 karta.png", "A 193-2022")</f>
        <v/>
      </c>
      <c r="Y26">
        <f>HYPERLINK("https://klasma.github.io/Logging_2082/kartor_geotiff/A 193-2022 georefererad karta.tif", "A 193-2022")</f>
        <v/>
      </c>
      <c r="AA26">
        <f>HYPERLINK("https://klasma.github.io/Logging_2082/klagomål/A 193-2022 FSC-klagomål.docx", "A 193-2022")</f>
        <v/>
      </c>
      <c r="AB26">
        <f>HYPERLINK("https://klasma.github.io/Logging_2082/klagomålsmail/A 193-2022 FSC-klagomål mail.docx", "A 193-2022")</f>
        <v/>
      </c>
      <c r="AC26">
        <f>HYPERLINK("https://klasma.github.io/Logging_2082/tillsyn/A 193-2022 tillsynsbegäran.docx", "A 193-2022")</f>
        <v/>
      </c>
      <c r="AD26">
        <f>HYPERLINK("https://klasma.github.io/Logging_2082/tillsynsmail/A 193-2022 tillsynsbegäran mail.docx", "A 193-2022")</f>
        <v/>
      </c>
      <c r="AE26">
        <f>HYPERLINK("https://klasma.github.io/Logging_2082/fåglar/A 193-2022 prioriterade fågelarter.docx", "A 193-2022")</f>
        <v/>
      </c>
    </row>
    <row r="27" ht="15" customHeight="1">
      <c r="A27" t="inlineStr">
        <is>
          <t>A 49656-2025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46248</v>
      </c>
      <c r="F27" t="inlineStr">
        <is>
          <t>DALARNAS LÄN</t>
        </is>
      </c>
      <c r="G27" t="inlineStr">
        <is>
          <t>SÄTER</t>
        </is>
      </c>
      <c r="I27" t="n">
        <v>0.6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Motaggsvamp</t>
        </is>
      </c>
      <c r="W27">
        <f>HYPERLINK("https://klasma.github.io/Logging_2082/artfynd/A 49656-2025 artfynd.xlsx", "A 49656-2025")</f>
        <v/>
      </c>
      <c r="X27">
        <f>HYPERLINK("https://klasma.github.io/Logging_2082/kartor/A 49656-2025 karta.png", "A 49656-2025")</f>
        <v/>
      </c>
      <c r="Y27">
        <f>HYPERLINK("https://klasma.github.io/Logging_2082/kartor_geotiff/A 49656-2025 georefererad karta.tif", "A 49656-2025")</f>
        <v/>
      </c>
      <c r="Z27">
        <f>HYPERLINK("https://klasma.github.io/Logging_2082/knärot/A 49656-2025 karta knärot.png", "A 49656-2025")</f>
        <v/>
      </c>
      <c r="AA27">
        <f>HYPERLINK("https://klasma.github.io/Logging_2082/klagomål/A 49656-2025 FSC-klagomål.docx", "A 49656-2025")</f>
        <v/>
      </c>
      <c r="AB27">
        <f>HYPERLINK("https://klasma.github.io/Logging_2082/klagomålsmail/A 49656-2025 FSC-klagomål mail.docx", "A 49656-2025")</f>
        <v/>
      </c>
      <c r="AC27">
        <f>HYPERLINK("https://klasma.github.io/Logging_2082/tillsyn/A 49656-2025 tillsynsbegäran.docx", "A 49656-2025")</f>
        <v/>
      </c>
      <c r="AD27">
        <f>HYPERLINK("https://klasma.github.io/Logging_2082/tillsynsmail/A 49656-2025 tillsynsbegäran mail.docx", "A 49656-2025")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46248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46248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46248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46248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46248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33605-2022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44789</v>
      </c>
      <c r="E33" s="1" t="n">
        <v>46248</v>
      </c>
      <c r="F33" t="inlineStr">
        <is>
          <t>DALARNAS LÄN</t>
        </is>
      </c>
      <c r="G33" t="inlineStr">
        <is>
          <t>SÄTER</t>
        </is>
      </c>
      <c r="I33" t="n">
        <v>1.2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33605-2022 artfynd.xlsx", "A 33605-2022")</f>
        <v/>
      </c>
      <c r="X33">
        <f>HYPERLINK("https://klasma.github.io/Logging_2082/kartor/A 33605-2022 karta.png", "A 33605-2022")</f>
        <v/>
      </c>
      <c r="Y33">
        <f>HYPERLINK("https://klasma.github.io/Logging_2082/kartor_geotiff/A 33605-2022 georefererad karta.tif", "A 33605-2022")</f>
        <v/>
      </c>
      <c r="AA33">
        <f>HYPERLINK("https://klasma.github.io/Logging_2082/klagomål/A 33605-2022 FSC-klagomål.docx", "A 33605-2022")</f>
        <v/>
      </c>
      <c r="AB33">
        <f>HYPERLINK("https://klasma.github.io/Logging_2082/klagomålsmail/A 33605-2022 FSC-klagomål mail.docx", "A 33605-2022")</f>
        <v/>
      </c>
      <c r="AC33">
        <f>HYPERLINK("https://klasma.github.io/Logging_2082/tillsyn/A 33605-2022 tillsynsbegäran.docx", "A 33605-2022")</f>
        <v/>
      </c>
      <c r="AD33">
        <f>HYPERLINK("https://klasma.github.io/Logging_2082/tillsynsmail/A 33605-2022 tillsynsbegäran mail.docx", "A 33605-2022")</f>
        <v/>
      </c>
    </row>
    <row r="34" ht="15" customHeight="1">
      <c r="A34" t="inlineStr">
        <is>
          <t>A 9682-2025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46248</v>
      </c>
      <c r="F34" t="inlineStr">
        <is>
          <t>DALARNAS LÄN</t>
        </is>
      </c>
      <c r="G34" t="inlineStr">
        <is>
          <t>SÄTER</t>
        </is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Ögonpyrola</t>
        </is>
      </c>
      <c r="W34">
        <f>HYPERLINK("https://klasma.github.io/Logging_2082/artfynd/A 9682-2025 artfynd.xlsx", "A 9682-2025")</f>
        <v/>
      </c>
      <c r="X34">
        <f>HYPERLINK("https://klasma.github.io/Logging_2082/kartor/A 9682-2025 karta.png", "A 9682-2025")</f>
        <v/>
      </c>
      <c r="Y34">
        <f>HYPERLINK("https://klasma.github.io/Logging_2082/kartor_geotiff/A 9682-2025 georefererad karta.tif", "A 9682-2025")</f>
        <v/>
      </c>
      <c r="AA34">
        <f>HYPERLINK("https://klasma.github.io/Logging_2082/klagomål/A 9682-2025 FSC-klagomål.docx", "A 9682-2025")</f>
        <v/>
      </c>
      <c r="AB34">
        <f>HYPERLINK("https://klasma.github.io/Logging_2082/klagomålsmail/A 9682-2025 FSC-klagomål mail.docx", "A 9682-2025")</f>
        <v/>
      </c>
      <c r="AC34">
        <f>HYPERLINK("https://klasma.github.io/Logging_2082/tillsyn/A 9682-2025 tillsynsbegäran.docx", "A 9682-2025")</f>
        <v/>
      </c>
      <c r="AD34">
        <f>HYPERLINK("https://klasma.github.io/Logging_2082/tillsynsmail/A 9682-2025 tillsynsbegäran mail.docx", "A 9682-2025")</f>
        <v/>
      </c>
    </row>
    <row r="35" ht="15" customHeight="1">
      <c r="A35" t="inlineStr">
        <is>
          <t>A 47064-2021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44446</v>
      </c>
      <c r="E35" s="1" t="n">
        <v>46248</v>
      </c>
      <c r="F35" t="inlineStr">
        <is>
          <t>DALARNAS LÄN</t>
        </is>
      </c>
      <c r="G35" t="inlineStr">
        <is>
          <t>SÄTER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Sädesärla</t>
        </is>
      </c>
      <c r="W35">
        <f>HYPERLINK("https://klasma.github.io/Logging_2082/artfynd/A 47064-2021 artfynd.xlsx", "A 47064-2021")</f>
        <v/>
      </c>
      <c r="X35">
        <f>HYPERLINK("https://klasma.github.io/Logging_2082/kartor/A 47064-2021 karta.png", "A 47064-2021")</f>
        <v/>
      </c>
      <c r="Y35">
        <f>HYPERLINK("https://klasma.github.io/Logging_2082/kartor_geotiff/A 47064-2021 georefererad karta.tif", "A 47064-2021")</f>
        <v/>
      </c>
      <c r="AA35">
        <f>HYPERLINK("https://klasma.github.io/Logging_2082/klagomål/A 47064-2021 FSC-klagomål.docx", "A 47064-2021")</f>
        <v/>
      </c>
      <c r="AB35">
        <f>HYPERLINK("https://klasma.github.io/Logging_2082/klagomålsmail/A 47064-2021 FSC-klagomål mail.docx", "A 47064-2021")</f>
        <v/>
      </c>
      <c r="AC35">
        <f>HYPERLINK("https://klasma.github.io/Logging_2082/tillsyn/A 47064-2021 tillsynsbegäran.docx", "A 47064-2021")</f>
        <v/>
      </c>
      <c r="AD35">
        <f>HYPERLINK("https://klasma.github.io/Logging_2082/tillsynsmail/A 47064-2021 tillsynsbegäran mail.docx", "A 47064-2021")</f>
        <v/>
      </c>
      <c r="AE35">
        <f>HYPERLINK("https://klasma.github.io/Logging_2082/fåglar/A 47064-2021 prioriterade fågelarter.docx", "A 47064-2021")</f>
        <v/>
      </c>
    </row>
    <row r="36" ht="15" customHeight="1">
      <c r="A36" t="inlineStr">
        <is>
          <t>A 32383-2022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46248</v>
      </c>
      <c r="F36" t="inlineStr">
        <is>
          <t>DALARNAS LÄN</t>
        </is>
      </c>
      <c r="G36" t="inlineStr">
        <is>
          <t>SÄTER</t>
        </is>
      </c>
      <c r="H36" t="inlineStr">
        <is>
          <t>Bergvik skog väst AB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32383-2022 artfynd.xlsx", "A 32383-2022")</f>
        <v/>
      </c>
      <c r="X36">
        <f>HYPERLINK("https://klasma.github.io/Logging_2082/kartor/A 32383-2022 karta.png", "A 32383-2022")</f>
        <v/>
      </c>
      <c r="Y36">
        <f>HYPERLINK("https://klasma.github.io/Logging_2082/kartor_geotiff/A 32383-2022 georefererad karta.tif", "A 32383-2022")</f>
        <v/>
      </c>
      <c r="Z36">
        <f>HYPERLINK("https://klasma.github.io/Logging_2082/knärot/A 32383-2022 karta knärot.png", "A 32383-2022")</f>
        <v/>
      </c>
      <c r="AA36">
        <f>HYPERLINK("https://klasma.github.io/Logging_2082/klagomål/A 32383-2022 FSC-klagomål.docx", "A 32383-2022")</f>
        <v/>
      </c>
      <c r="AB36">
        <f>HYPERLINK("https://klasma.github.io/Logging_2082/klagomålsmail/A 32383-2022 FSC-klagomål mail.docx", "A 32383-2022")</f>
        <v/>
      </c>
      <c r="AC36">
        <f>HYPERLINK("https://klasma.github.io/Logging_2082/tillsyn/A 32383-2022 tillsynsbegäran.docx", "A 32383-2022")</f>
        <v/>
      </c>
      <c r="AD36">
        <f>HYPERLINK("https://klasma.github.io/Logging_2082/tillsynsmail/A 32383-2022 tillsynsbegäran mail.docx", "A 32383-2022")</f>
        <v/>
      </c>
    </row>
    <row r="37" ht="15" customHeight="1">
      <c r="A37" t="inlineStr">
        <is>
          <t>A 57427-2022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46248</v>
      </c>
      <c r="F37" t="inlineStr">
        <is>
          <t>DALARNAS LÄN</t>
        </is>
      </c>
      <c r="G37" t="inlineStr">
        <is>
          <t>SÄTER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HYPERLINK("https://klasma.github.io/Logging_2082/artfynd/A 57427-2022 artfynd.xlsx", "A 57427-2022")</f>
        <v/>
      </c>
      <c r="X37">
        <f>HYPERLINK("https://klasma.github.io/Logging_2082/kartor/A 57427-2022 karta.png", "A 57427-2022")</f>
        <v/>
      </c>
      <c r="Y37">
        <f>HYPERLINK("https://klasma.github.io/Logging_2082/kartor_geotiff/A 57427-2022 georefererad karta.tif", "A 57427-2022")</f>
        <v/>
      </c>
      <c r="AA37">
        <f>HYPERLINK("https://klasma.github.io/Logging_2082/klagomål/A 57427-2022 FSC-klagomål.docx", "A 57427-2022")</f>
        <v/>
      </c>
      <c r="AB37">
        <f>HYPERLINK("https://klasma.github.io/Logging_2082/klagomålsmail/A 57427-2022 FSC-klagomål mail.docx", "A 57427-2022")</f>
        <v/>
      </c>
      <c r="AC37">
        <f>HYPERLINK("https://klasma.github.io/Logging_2082/tillsyn/A 57427-2022 tillsynsbegäran.docx", "A 57427-2022")</f>
        <v/>
      </c>
      <c r="AD37">
        <f>HYPERLINK("https://klasma.github.io/Logging_2082/tillsynsmail/A 57427-2022 tillsynsbegäran mail.docx", "A 57427-2022")</f>
        <v/>
      </c>
    </row>
    <row r="38" ht="15" customHeight="1">
      <c r="A38" t="inlineStr">
        <is>
          <t>A 5232-2022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46248</v>
      </c>
      <c r="F38" t="inlineStr">
        <is>
          <t>DALARNAS LÄN</t>
        </is>
      </c>
      <c r="G38" t="inlineStr">
        <is>
          <t>SÄTER</t>
        </is>
      </c>
      <c r="I38" t="n">
        <v>2.5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Tvåblad</t>
        </is>
      </c>
      <c r="W38">
        <f>HYPERLINK("https://klasma.github.io/Logging_2082/artfynd/A 5232-2022 artfynd.xlsx", "A 5232-2022")</f>
        <v/>
      </c>
      <c r="X38">
        <f>HYPERLINK("https://klasma.github.io/Logging_2082/kartor/A 5232-2022 karta.png", "A 5232-2022")</f>
        <v/>
      </c>
      <c r="Y38">
        <f>HYPERLINK("https://klasma.github.io/Logging_2082/kartor_geotiff/A 5232-2022 georefererad karta.tif", "A 5232-2022")</f>
        <v/>
      </c>
      <c r="AA38">
        <f>HYPERLINK("https://klasma.github.io/Logging_2082/klagomål/A 5232-2022 FSC-klagomål.docx", "A 5232-2022")</f>
        <v/>
      </c>
      <c r="AB38">
        <f>HYPERLINK("https://klasma.github.io/Logging_2082/klagomålsmail/A 5232-2022 FSC-klagomål mail.docx", "A 5232-2022")</f>
        <v/>
      </c>
      <c r="AC38">
        <f>HYPERLINK("https://klasma.github.io/Logging_2082/tillsyn/A 5232-2022 tillsynsbegäran.docx", "A 5232-2022")</f>
        <v/>
      </c>
      <c r="AD38">
        <f>HYPERLINK("https://klasma.github.io/Logging_2082/tillsynsmail/A 5232-2022 tillsynsbegäran mail.docx", "A 5232-2022")</f>
        <v/>
      </c>
    </row>
    <row r="39" ht="15" customHeight="1">
      <c r="A39" t="inlineStr">
        <is>
          <t>A 34938-2025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46248</v>
      </c>
      <c r="F39" t="inlineStr">
        <is>
          <t>DALARNAS LÄN</t>
        </is>
      </c>
      <c r="G39" t="inlineStr">
        <is>
          <t>SÄTER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HYPERLINK("https://klasma.github.io/Logging_2082/artfynd/A 34938-2025 artfynd.xlsx", "A 34938-2025")</f>
        <v/>
      </c>
      <c r="X39">
        <f>HYPERLINK("https://klasma.github.io/Logging_2082/kartor/A 34938-2025 karta.png", "A 34938-2025")</f>
        <v/>
      </c>
      <c r="Y39">
        <f>HYPERLINK("https://klasma.github.io/Logging_2082/kartor_geotiff/A 34938-2025 georefererad karta.tif", "A 34938-2025")</f>
        <v/>
      </c>
      <c r="AA39">
        <f>HYPERLINK("https://klasma.github.io/Logging_2082/klagomål/A 34938-2025 FSC-klagomål.docx", "A 34938-2025")</f>
        <v/>
      </c>
      <c r="AB39">
        <f>HYPERLINK("https://klasma.github.io/Logging_2082/klagomålsmail/A 34938-2025 FSC-klagomål mail.docx", "A 34938-2025")</f>
        <v/>
      </c>
      <c r="AC39">
        <f>HYPERLINK("https://klasma.github.io/Logging_2082/tillsyn/A 34938-2025 tillsynsbegäran.docx", "A 34938-2025")</f>
        <v/>
      </c>
      <c r="AD39">
        <f>HYPERLINK("https://klasma.github.io/Logging_2082/tillsynsmail/A 34938-2025 tillsynsbegäran mail.docx", "A 34938-2025")</f>
        <v/>
      </c>
    </row>
    <row r="40" ht="15" customHeight="1">
      <c r="A40" t="inlineStr">
        <is>
          <t>A 35221-2025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45853</v>
      </c>
      <c r="E40" s="1" t="n">
        <v>46248</v>
      </c>
      <c r="F40" t="inlineStr">
        <is>
          <t>DALARNAS LÄN</t>
        </is>
      </c>
      <c r="G40" t="inlineStr">
        <is>
          <t>SÄTER</t>
        </is>
      </c>
      <c r="I40" t="n">
        <v>9.5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Vedskivlav</t>
        </is>
      </c>
      <c r="W40">
        <f>HYPERLINK("https://klasma.github.io/Logging_2082/artfynd/A 35221-2025 artfynd.xlsx", "A 35221-2025")</f>
        <v/>
      </c>
      <c r="X40">
        <f>HYPERLINK("https://klasma.github.io/Logging_2082/kartor/A 35221-2025 karta.png", "A 35221-2025")</f>
        <v/>
      </c>
      <c r="Y40">
        <f>HYPERLINK("https://klasma.github.io/Logging_2082/kartor_geotiff/A 35221-2025 georefererad karta.tif", "A 35221-2025")</f>
        <v/>
      </c>
      <c r="AA40">
        <f>HYPERLINK("https://klasma.github.io/Logging_2082/klagomål/A 35221-2025 FSC-klagomål.docx", "A 35221-2025")</f>
        <v/>
      </c>
      <c r="AB40">
        <f>HYPERLINK("https://klasma.github.io/Logging_2082/klagomålsmail/A 35221-2025 FSC-klagomål mail.docx", "A 35221-2025")</f>
        <v/>
      </c>
      <c r="AC40">
        <f>HYPERLINK("https://klasma.github.io/Logging_2082/tillsyn/A 35221-2025 tillsynsbegäran.docx", "A 35221-2025")</f>
        <v/>
      </c>
      <c r="AD40">
        <f>HYPERLINK("https://klasma.github.io/Logging_2082/tillsynsmail/A 35221-2025 tillsynsbegäran mail.docx", "A 35221-2025")</f>
        <v/>
      </c>
    </row>
    <row r="41" ht="15" customHeight="1">
      <c r="A41" t="inlineStr">
        <is>
          <t>A 21111-2026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46248</v>
      </c>
      <c r="F41" t="inlineStr">
        <is>
          <t>DALARNAS LÄN</t>
        </is>
      </c>
      <c r="G41" t="inlineStr">
        <is>
          <t>SÄTER</t>
        </is>
      </c>
      <c r="I41" t="n">
        <v>4.6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Fjällig taggsvamp s.str.</t>
        </is>
      </c>
      <c r="W41">
        <f>HYPERLINK("https://klasma.github.io/Logging_2082/artfynd/A 21111-2026 artfynd.xlsx", "A 21111-2026")</f>
        <v/>
      </c>
      <c r="X41">
        <f>HYPERLINK("https://klasma.github.io/Logging_2082/kartor/A 21111-2026 karta.png", "A 21111-2026")</f>
        <v/>
      </c>
      <c r="Y41">
        <f>HYPERLINK("https://klasma.github.io/Logging_2082/kartor_geotiff/A 21111-2026 georefererad karta.tif", "A 21111-2026")</f>
        <v/>
      </c>
      <c r="AA41">
        <f>HYPERLINK("https://klasma.github.io/Logging_2082/klagomål/A 21111-2026 FSC-klagomål.docx", "A 21111-2026")</f>
        <v/>
      </c>
      <c r="AB41">
        <f>HYPERLINK("https://klasma.github.io/Logging_2082/klagomålsmail/A 21111-2026 FSC-klagomål mail.docx", "A 21111-2026")</f>
        <v/>
      </c>
      <c r="AC41">
        <f>HYPERLINK("https://klasma.github.io/Logging_2082/tillsyn/A 21111-2026 tillsynsbegäran.docx", "A 21111-2026")</f>
        <v/>
      </c>
      <c r="AD41">
        <f>HYPERLINK("https://klasma.github.io/Logging_2082/tillsynsmail/A 21111-2026 tillsynsbegäran mail.docx", "A 21111-2026")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46248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46248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47661-2025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45931</v>
      </c>
      <c r="E44" s="1" t="n">
        <v>46248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13.8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Järnsparv</t>
        </is>
      </c>
      <c r="W44">
        <f>HYPERLINK("https://klasma.github.io/Logging_2082/artfynd/A 47661-2025 artfynd.xlsx", "A 47661-2025")</f>
        <v/>
      </c>
      <c r="X44">
        <f>HYPERLINK("https://klasma.github.io/Logging_2082/kartor/A 47661-2025 karta.png", "A 47661-2025")</f>
        <v/>
      </c>
      <c r="Y44">
        <f>HYPERLINK("https://klasma.github.io/Logging_2082/kartor_geotiff/A 47661-2025 georefererad karta.tif", "A 47661-2025")</f>
        <v/>
      </c>
      <c r="AA44">
        <f>HYPERLINK("https://klasma.github.io/Logging_2082/klagomål/A 47661-2025 FSC-klagomål.docx", "A 47661-2025")</f>
        <v/>
      </c>
      <c r="AB44">
        <f>HYPERLINK("https://klasma.github.io/Logging_2082/klagomålsmail/A 47661-2025 FSC-klagomål mail.docx", "A 47661-2025")</f>
        <v/>
      </c>
      <c r="AC44">
        <f>HYPERLINK("https://klasma.github.io/Logging_2082/tillsyn/A 47661-2025 tillsynsbegäran.docx", "A 47661-2025")</f>
        <v/>
      </c>
      <c r="AD44">
        <f>HYPERLINK("https://klasma.github.io/Logging_2082/tillsynsmail/A 47661-2025 tillsynsbegäran mail.docx", "A 47661-2025")</f>
        <v/>
      </c>
      <c r="AE44">
        <f>HYPERLINK("https://klasma.github.io/Logging_2082/fåglar/A 47661-2025 prioriterade fågelarter.docx", "A 47661-2025")</f>
        <v/>
      </c>
    </row>
    <row r="45" ht="15" customHeight="1">
      <c r="A45" t="inlineStr">
        <is>
          <t>A 49653-2025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45939</v>
      </c>
      <c r="E45" s="1" t="n">
        <v>46248</v>
      </c>
      <c r="F45" t="inlineStr">
        <is>
          <t>DALARNAS LÄN</t>
        </is>
      </c>
      <c r="G45" t="inlineStr">
        <is>
          <t>SÄTER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Ullticka</t>
        </is>
      </c>
      <c r="W45">
        <f>HYPERLINK("https://klasma.github.io/Logging_2082/artfynd/A 49653-2025 artfynd.xlsx", "A 49653-2025")</f>
        <v/>
      </c>
      <c r="X45">
        <f>HYPERLINK("https://klasma.github.io/Logging_2082/kartor/A 49653-2025 karta.png", "A 49653-2025")</f>
        <v/>
      </c>
      <c r="Y45">
        <f>HYPERLINK("https://klasma.github.io/Logging_2082/kartor_geotiff/A 49653-2025 georefererad karta.tif", "A 49653-2025")</f>
        <v/>
      </c>
      <c r="AA45">
        <f>HYPERLINK("https://klasma.github.io/Logging_2082/klagomål/A 49653-2025 FSC-klagomål.docx", "A 49653-2025")</f>
        <v/>
      </c>
      <c r="AB45">
        <f>HYPERLINK("https://klasma.github.io/Logging_2082/klagomålsmail/A 49653-2025 FSC-klagomål mail.docx", "A 49653-2025")</f>
        <v/>
      </c>
      <c r="AC45">
        <f>HYPERLINK("https://klasma.github.io/Logging_2082/tillsyn/A 49653-2025 tillsynsbegäran.docx", "A 49653-2025")</f>
        <v/>
      </c>
      <c r="AD45">
        <f>HYPERLINK("https://klasma.github.io/Logging_2082/tillsynsmail/A 49653-2025 tillsynsbegäran mail.docx", "A 49653-2025")</f>
        <v/>
      </c>
    </row>
    <row r="46" ht="15" customHeight="1">
      <c r="A46" t="inlineStr">
        <is>
          <t>A 61197-2025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46000</v>
      </c>
      <c r="E46" s="1" t="n">
        <v>46248</v>
      </c>
      <c r="F46" t="inlineStr">
        <is>
          <t>DALARNAS LÄN</t>
        </is>
      </c>
      <c r="G46" t="inlineStr">
        <is>
          <t>SÄTER</t>
        </is>
      </c>
      <c r="I46" t="n">
        <v>4.1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HYPERLINK("https://klasma.github.io/Logging_2082/artfynd/A 61197-2025 artfynd.xlsx", "A 61197-2025")</f>
        <v/>
      </c>
      <c r="X46">
        <f>HYPERLINK("https://klasma.github.io/Logging_2082/kartor/A 61197-2025 karta.png", "A 61197-2025")</f>
        <v/>
      </c>
      <c r="Y46">
        <f>HYPERLINK("https://klasma.github.io/Logging_2082/kartor_geotiff/A 61197-2025 georefererad karta.tif", "A 61197-2025")</f>
        <v/>
      </c>
      <c r="Z46">
        <f>HYPERLINK("https://klasma.github.io/Logging_2082/knärot/A 61197-2025 karta knärot.png", "A 61197-2025")</f>
        <v/>
      </c>
      <c r="AA46">
        <f>HYPERLINK("https://klasma.github.io/Logging_2082/klagomål/A 61197-2025 FSC-klagomål.docx", "A 61197-2025")</f>
        <v/>
      </c>
      <c r="AB46">
        <f>HYPERLINK("https://klasma.github.io/Logging_2082/klagomålsmail/A 61197-2025 FSC-klagomål mail.docx", "A 61197-2025")</f>
        <v/>
      </c>
      <c r="AC46">
        <f>HYPERLINK("https://klasma.github.io/Logging_2082/tillsyn/A 61197-2025 tillsynsbegäran.docx", "A 61197-2025")</f>
        <v/>
      </c>
      <c r="AD46">
        <f>HYPERLINK("https://klasma.github.io/Logging_2082/tillsynsmail/A 61197-2025 tillsynsbegäran mail.docx", "A 61197-2025")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46248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46248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46248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49563-2021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46248</v>
      </c>
      <c r="F50" t="inlineStr">
        <is>
          <t>DALARNAS LÄN</t>
        </is>
      </c>
      <c r="G50" t="inlineStr">
        <is>
          <t>SÄTER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44448</v>
      </c>
      <c r="E51" s="1" t="n">
        <v>46248</v>
      </c>
      <c r="F51" t="inlineStr">
        <is>
          <t>DALARNAS LÄN</t>
        </is>
      </c>
      <c r="G51" t="inlineStr">
        <is>
          <t>SÄTER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46248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46248</v>
      </c>
      <c r="F53" t="inlineStr">
        <is>
          <t>DALARNAS LÄN</t>
        </is>
      </c>
      <c r="G53" t="inlineStr">
        <is>
          <t>SÄTER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46248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46248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46248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46248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46248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46248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41573-2021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46248</v>
      </c>
      <c r="F60" t="inlineStr">
        <is>
          <t>DALARNAS LÄN</t>
        </is>
      </c>
      <c r="G60" t="inlineStr">
        <is>
          <t>SÄTER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18757-2022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44688</v>
      </c>
      <c r="E61" s="1" t="n">
        <v>46248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72987-2021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44549</v>
      </c>
      <c r="E62" s="1" t="n">
        <v>46248</v>
      </c>
      <c r="F62" t="inlineStr">
        <is>
          <t>DALARNAS LÄN</t>
        </is>
      </c>
      <c r="G62" t="inlineStr">
        <is>
          <t>SÄTER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46248</v>
      </c>
      <c r="F63" t="inlineStr">
        <is>
          <t>DALARNAS LÄN</t>
        </is>
      </c>
      <c r="G63" t="inlineStr">
        <is>
          <t>SÄTER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46248</v>
      </c>
      <c r="F64" t="inlineStr">
        <is>
          <t>DALARNAS LÄN</t>
        </is>
      </c>
      <c r="G64" t="inlineStr">
        <is>
          <t>SÄTER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44650</v>
      </c>
      <c r="E65" s="1" t="n">
        <v>46248</v>
      </c>
      <c r="F65" t="inlineStr">
        <is>
          <t>DALARNAS LÄN</t>
        </is>
      </c>
      <c r="G65" t="inlineStr">
        <is>
          <t>SÄTER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46248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61400-2021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44500</v>
      </c>
      <c r="E67" s="1" t="n">
        <v>46248</v>
      </c>
      <c r="F67" t="inlineStr">
        <is>
          <t>DALARNAS LÄN</t>
        </is>
      </c>
      <c r="G67" t="inlineStr">
        <is>
          <t>SÄTER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46248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46248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46248</v>
      </c>
      <c r="F70" t="inlineStr">
        <is>
          <t>DALARNAS LÄN</t>
        </is>
      </c>
      <c r="G70" t="inlineStr">
        <is>
          <t>SÄTER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46248</v>
      </c>
      <c r="F71" t="inlineStr">
        <is>
          <t>DALARNAS LÄN</t>
        </is>
      </c>
      <c r="G71" t="inlineStr">
        <is>
          <t>SÄTER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46248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46248</v>
      </c>
      <c r="F73" t="inlineStr">
        <is>
          <t>DALARNAS LÄN</t>
        </is>
      </c>
      <c r="G73" t="inlineStr">
        <is>
          <t>SÄTER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52190-2021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46248</v>
      </c>
      <c r="F74" t="inlineStr">
        <is>
          <t>DALARNAS LÄN</t>
        </is>
      </c>
      <c r="G74" t="inlineStr">
        <is>
          <t>SÄTER</t>
        </is>
      </c>
      <c r="H74" t="inlineStr">
        <is>
          <t>Bergvik skog väst AB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59393-2021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46248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46248</v>
      </c>
      <c r="F76" t="inlineStr">
        <is>
          <t>DALARNAS LÄN</t>
        </is>
      </c>
      <c r="G76" t="inlineStr">
        <is>
          <t>SÄTER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45628</v>
      </c>
      <c r="E77" s="1" t="n">
        <v>46248</v>
      </c>
      <c r="F77" t="inlineStr">
        <is>
          <t>DALARNAS LÄN</t>
        </is>
      </c>
      <c r="G77" t="inlineStr">
        <is>
          <t>SÄTER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34652-2024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45526</v>
      </c>
      <c r="E78" s="1" t="n">
        <v>46248</v>
      </c>
      <c r="F78" t="inlineStr">
        <is>
          <t>DALARNAS LÄN</t>
        </is>
      </c>
      <c r="G78" t="inlineStr">
        <is>
          <t>SÄTER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45604</v>
      </c>
      <c r="E79" s="1" t="n">
        <v>46248</v>
      </c>
      <c r="F79" t="inlineStr">
        <is>
          <t>DALARNAS LÄN</t>
        </is>
      </c>
      <c r="G79" t="inlineStr">
        <is>
          <t>SÄTER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61332-2023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45264</v>
      </c>
      <c r="E80" s="1" t="n">
        <v>46248</v>
      </c>
      <c r="F80" t="inlineStr">
        <is>
          <t>DALARNAS LÄN</t>
        </is>
      </c>
      <c r="G80" t="inlineStr">
        <is>
          <t>SÄTER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46248</v>
      </c>
      <c r="F81" t="inlineStr">
        <is>
          <t>DALARNAS LÄN</t>
        </is>
      </c>
      <c r="G81" t="inlineStr">
        <is>
          <t>SÄTER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45427</v>
      </c>
      <c r="E82" s="1" t="n">
        <v>46248</v>
      </c>
      <c r="F82" t="inlineStr">
        <is>
          <t>DALARNAS LÄN</t>
        </is>
      </c>
      <c r="G82" t="inlineStr">
        <is>
          <t>SÄTER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46248</v>
      </c>
      <c r="F83" t="inlineStr">
        <is>
          <t>DALARNAS LÄN</t>
        </is>
      </c>
      <c r="G83" t="inlineStr">
        <is>
          <t>SÄTER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35163-2023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45145</v>
      </c>
      <c r="E84" s="1" t="n">
        <v>46248</v>
      </c>
      <c r="F84" t="inlineStr">
        <is>
          <t>DALARNAS LÄN</t>
        </is>
      </c>
      <c r="G84" t="inlineStr">
        <is>
          <t>SÄTER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46248</v>
      </c>
      <c r="F85" t="inlineStr">
        <is>
          <t>DALARNAS LÄN</t>
        </is>
      </c>
      <c r="G85" t="inlineStr">
        <is>
          <t>SÄTER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  <c r="Z85">
        <f>HYPERLINK("https://klasma.github.io/Logging_2082/knärot/A 498-2025 karta knärot.png", "A 498-2025")</f>
        <v/>
      </c>
      <c r="AA85">
        <f>HYPERLINK("https://klasma.github.io/Logging_2082/klagomål/A 498-2025 FSC-klagomål.docx", "A 498-2025")</f>
        <v/>
      </c>
      <c r="AB85">
        <f>HYPERLINK("https://klasma.github.io/Logging_2082/klagomålsmail/A 498-2025 FSC-klagomål mail.docx", "A 498-2025")</f>
        <v/>
      </c>
      <c r="AC85">
        <f>HYPERLINK("https://klasma.github.io/Logging_2082/tillsyn/A 498-2025 tillsynsbegäran.docx", "A 498-2025")</f>
        <v/>
      </c>
      <c r="AD85">
        <f>HYPERLINK("https://klasma.github.io/Logging_2082/tillsynsmail/A 498-2025 tillsynsbegäran mail.docx", "A 498-2025")</f>
        <v/>
      </c>
    </row>
    <row r="86" ht="15" customHeight="1">
      <c r="A86" t="inlineStr">
        <is>
          <t>A 21697-2023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45063</v>
      </c>
      <c r="E86" s="1" t="n">
        <v>46248</v>
      </c>
      <c r="F86" t="inlineStr">
        <is>
          <t>DALARNAS LÄN</t>
        </is>
      </c>
      <c r="G86" t="inlineStr">
        <is>
          <t>SÄTER</t>
        </is>
      </c>
      <c r="H86" t="inlineStr">
        <is>
          <t>Kommuner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44978</v>
      </c>
      <c r="E87" s="1" t="n">
        <v>46248</v>
      </c>
      <c r="F87" t="inlineStr">
        <is>
          <t>DALARNAS LÄN</t>
        </is>
      </c>
      <c r="G87" t="inlineStr">
        <is>
          <t>SÄTER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34196-2023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45138</v>
      </c>
      <c r="E88" s="1" t="n">
        <v>46248</v>
      </c>
      <c r="F88" t="inlineStr">
        <is>
          <t>DALARNAS LÄN</t>
        </is>
      </c>
      <c r="G88" t="inlineStr">
        <is>
          <t>SÄTER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44425</v>
      </c>
      <c r="E89" s="1" t="n">
        <v>46248</v>
      </c>
      <c r="F89" t="inlineStr">
        <is>
          <t>DALARNAS LÄN</t>
        </is>
      </c>
      <c r="G89" t="inlineStr">
        <is>
          <t>SÄTER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46248</v>
      </c>
      <c r="F90" t="inlineStr">
        <is>
          <t>DALARNAS LÄN</t>
        </is>
      </c>
      <c r="G90" t="inlineStr">
        <is>
          <t>SÄTER</t>
        </is>
      </c>
      <c r="H90" t="inlineStr">
        <is>
          <t>Kommuner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41961-2024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45561</v>
      </c>
      <c r="E91" s="1" t="n">
        <v>46248</v>
      </c>
      <c r="F91" t="inlineStr">
        <is>
          <t>DALARNAS LÄN</t>
        </is>
      </c>
      <c r="G91" t="inlineStr">
        <is>
          <t>SÄTER</t>
        </is>
      </c>
      <c r="H91" t="inlineStr">
        <is>
          <t>Bergvik skog väst AB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5646-2023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44960</v>
      </c>
      <c r="E92" s="1" t="n">
        <v>46248</v>
      </c>
      <c r="F92" t="inlineStr">
        <is>
          <t>DALARNAS LÄN</t>
        </is>
      </c>
      <c r="G92" t="inlineStr">
        <is>
          <t>SÄTER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45190</v>
      </c>
      <c r="E93" s="1" t="n">
        <v>46248</v>
      </c>
      <c r="F93" t="inlineStr">
        <is>
          <t>DALARNAS LÄN</t>
        </is>
      </c>
      <c r="G93" t="inlineStr">
        <is>
          <t>SÄTER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64565-2023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45281</v>
      </c>
      <c r="E94" s="1" t="n">
        <v>46248</v>
      </c>
      <c r="F94" t="inlineStr">
        <is>
          <t>DALARNAS LÄN</t>
        </is>
      </c>
      <c r="G94" t="inlineStr">
        <is>
          <t>SÄTER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64610-2023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46248</v>
      </c>
      <c r="F95" t="inlineStr">
        <is>
          <t>DALARNAS LÄN</t>
        </is>
      </c>
      <c r="G95" t="inlineStr">
        <is>
          <t>SÄTER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45161-2021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44439</v>
      </c>
      <c r="E96" s="1" t="n">
        <v>46248</v>
      </c>
      <c r="F96" t="inlineStr">
        <is>
          <t>DALARNAS LÄN</t>
        </is>
      </c>
      <c r="G96" t="inlineStr">
        <is>
          <t>SÄTER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45636</v>
      </c>
      <c r="E97" s="1" t="n">
        <v>46248</v>
      </c>
      <c r="F97" t="inlineStr">
        <is>
          <t>DALARNAS LÄN</t>
        </is>
      </c>
      <c r="G97" t="inlineStr">
        <is>
          <t>SÄTER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40671-2023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45170</v>
      </c>
      <c r="E98" s="1" t="n">
        <v>46248</v>
      </c>
      <c r="F98" t="inlineStr">
        <is>
          <t>DALARNAS LÄN</t>
        </is>
      </c>
      <c r="G98" t="inlineStr">
        <is>
          <t>SÄTER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46248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43725-2021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44433</v>
      </c>
      <c r="E100" s="1" t="n">
        <v>46248</v>
      </c>
      <c r="F100" t="inlineStr">
        <is>
          <t>DALARNAS LÄN</t>
        </is>
      </c>
      <c r="G100" t="inlineStr">
        <is>
          <t>SÄTER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45566</v>
      </c>
      <c r="E101" s="1" t="n">
        <v>46248</v>
      </c>
      <c r="F101" t="inlineStr">
        <is>
          <t>DALARNAS LÄN</t>
        </is>
      </c>
      <c r="G101" t="inlineStr">
        <is>
          <t>SÄTER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49661-2021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44455</v>
      </c>
      <c r="E102" s="1" t="n">
        <v>46248</v>
      </c>
      <c r="F102" t="inlineStr">
        <is>
          <t>DALARNAS LÄN</t>
        </is>
      </c>
      <c r="G102" t="inlineStr">
        <is>
          <t>SÄTER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46248</v>
      </c>
      <c r="F103" t="inlineStr">
        <is>
          <t>DALARNAS LÄN</t>
        </is>
      </c>
      <c r="G103" t="inlineStr">
        <is>
          <t>SÄTER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46248</v>
      </c>
      <c r="F104" t="inlineStr">
        <is>
          <t>DALARNAS LÄN</t>
        </is>
      </c>
      <c r="G104" t="inlineStr">
        <is>
          <t>SÄTER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30256-2023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46248</v>
      </c>
      <c r="F105" t="inlineStr">
        <is>
          <t>DALARNAS LÄN</t>
        </is>
      </c>
      <c r="G105" t="inlineStr">
        <is>
          <t>SÄTER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52193-2021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44463</v>
      </c>
      <c r="E106" s="1" t="n">
        <v>46248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44924</v>
      </c>
      <c r="E107" s="1" t="n">
        <v>46248</v>
      </c>
      <c r="F107" t="inlineStr">
        <is>
          <t>DALARNAS LÄN</t>
        </is>
      </c>
      <c r="G107" t="inlineStr">
        <is>
          <t>SÄTER</t>
        </is>
      </c>
      <c r="H107" t="inlineStr">
        <is>
          <t>Kommuner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45455</v>
      </c>
      <c r="E108" s="1" t="n">
        <v>46248</v>
      </c>
      <c r="F108" t="inlineStr">
        <is>
          <t>DALARNAS LÄN</t>
        </is>
      </c>
      <c r="G108" t="inlineStr">
        <is>
          <t>SÄTER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16901-2024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45411</v>
      </c>
      <c r="E109" s="1" t="n">
        <v>46248</v>
      </c>
      <c r="F109" t="inlineStr">
        <is>
          <t>DALARNAS LÄN</t>
        </is>
      </c>
      <c r="G109" t="inlineStr">
        <is>
          <t>SÄTER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52220-2021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44462</v>
      </c>
      <c r="E110" s="1" t="n">
        <v>46248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45670</v>
      </c>
      <c r="E111" s="1" t="n">
        <v>46248</v>
      </c>
      <c r="F111" t="inlineStr">
        <is>
          <t>DALARNAS LÄN</t>
        </is>
      </c>
      <c r="G111" t="inlineStr">
        <is>
          <t>SÄTER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57430-2022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44896</v>
      </c>
      <c r="E112" s="1" t="n">
        <v>46248</v>
      </c>
      <c r="F112" t="inlineStr">
        <is>
          <t>DALARNAS LÄN</t>
        </is>
      </c>
      <c r="G112" t="inlineStr">
        <is>
          <t>SÄTER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44972</v>
      </c>
      <c r="E113" s="1" t="n">
        <v>46248</v>
      </c>
      <c r="F113" t="inlineStr">
        <is>
          <t>DALARNAS LÄN</t>
        </is>
      </c>
      <c r="G113" t="inlineStr">
        <is>
          <t>SÄTER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46248</v>
      </c>
      <c r="F114" t="inlineStr">
        <is>
          <t>DALARNAS LÄN</t>
        </is>
      </c>
      <c r="G114" t="inlineStr">
        <is>
          <t>SÄTER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45432</v>
      </c>
      <c r="E115" s="1" t="n">
        <v>46248</v>
      </c>
      <c r="F115" t="inlineStr">
        <is>
          <t>DALARNAS LÄN</t>
        </is>
      </c>
      <c r="G115" t="inlineStr">
        <is>
          <t>SÄTER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45569</v>
      </c>
      <c r="E116" s="1" t="n">
        <v>46248</v>
      </c>
      <c r="F116" t="inlineStr">
        <is>
          <t>DALARNAS LÄN</t>
        </is>
      </c>
      <c r="G116" t="inlineStr">
        <is>
          <t>SÄTER</t>
        </is>
      </c>
      <c r="I116" t="n">
        <v>13.2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25690-2022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44732</v>
      </c>
      <c r="E117" s="1" t="n">
        <v>46248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46248</v>
      </c>
      <c r="F118" t="inlineStr">
        <is>
          <t>DALARNAS LÄN</t>
        </is>
      </c>
      <c r="G118" t="inlineStr">
        <is>
          <t>SÄTER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9586-2023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44982</v>
      </c>
      <c r="E119" s="1" t="n">
        <v>46248</v>
      </c>
      <c r="F119" t="inlineStr">
        <is>
          <t>DALARNAS LÄN</t>
        </is>
      </c>
      <c r="G119" t="inlineStr">
        <is>
          <t>SÄTER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44812</v>
      </c>
      <c r="E120" s="1" t="n">
        <v>46248</v>
      </c>
      <c r="F120" t="inlineStr">
        <is>
          <t>DALARNAS LÄN</t>
        </is>
      </c>
      <c r="G120" t="inlineStr">
        <is>
          <t>SÄTER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44691</v>
      </c>
      <c r="E121" s="1" t="n">
        <v>46248</v>
      </c>
      <c r="F121" t="inlineStr">
        <is>
          <t>DALARNAS LÄN</t>
        </is>
      </c>
      <c r="G121" t="inlineStr">
        <is>
          <t>SÄTER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44882</v>
      </c>
      <c r="E122" s="1" t="n">
        <v>46248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45236</v>
      </c>
      <c r="E123" s="1" t="n">
        <v>46248</v>
      </c>
      <c r="F123" t="inlineStr">
        <is>
          <t>DALARNAS LÄN</t>
        </is>
      </c>
      <c r="G123" t="inlineStr">
        <is>
          <t>SÄTER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45198</v>
      </c>
      <c r="E124" s="1" t="n">
        <v>46248</v>
      </c>
      <c r="F124" t="inlineStr">
        <is>
          <t>DALARNAS LÄN</t>
        </is>
      </c>
      <c r="G124" t="inlineStr">
        <is>
          <t>SÄTER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46248</v>
      </c>
      <c r="F125" t="inlineStr">
        <is>
          <t>DALARNAS LÄN</t>
        </is>
      </c>
      <c r="G125" t="inlineStr">
        <is>
          <t>SÄTER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  <c r="Z125">
        <f>HYPERLINK("https://klasma.github.io/Logging_2082/knärot/A 57416-2022 karta knärot.png", "A 57416-2022")</f>
        <v/>
      </c>
      <c r="AA125">
        <f>HYPERLINK("https://klasma.github.io/Logging_2082/klagomål/A 57416-2022 FSC-klagomål.docx", "A 57416-2022")</f>
        <v/>
      </c>
      <c r="AB125">
        <f>HYPERLINK("https://klasma.github.io/Logging_2082/klagomålsmail/A 57416-2022 FSC-klagomål mail.docx", "A 57416-2022")</f>
        <v/>
      </c>
      <c r="AC125">
        <f>HYPERLINK("https://klasma.github.io/Logging_2082/tillsyn/A 57416-2022 tillsynsbegäran.docx", "A 57416-2022")</f>
        <v/>
      </c>
      <c r="AD125">
        <f>HYPERLINK("https://klasma.github.io/Logging_2082/tillsynsmail/A 57416-2022 tillsynsbegäran mail.docx", "A 57416-2022")</f>
        <v/>
      </c>
    </row>
    <row r="126" ht="15" customHeight="1">
      <c r="A126" t="inlineStr">
        <is>
          <t>A 18888-2022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44690</v>
      </c>
      <c r="E126" s="1" t="n">
        <v>46248</v>
      </c>
      <c r="F126" t="inlineStr">
        <is>
          <t>DALARNAS LÄN</t>
        </is>
      </c>
      <c r="G126" t="inlineStr">
        <is>
          <t>SÄTER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44572</v>
      </c>
      <c r="E127" s="1" t="n">
        <v>46248</v>
      </c>
      <c r="F127" t="inlineStr">
        <is>
          <t>DALARNAS LÄN</t>
        </is>
      </c>
      <c r="G127" t="inlineStr">
        <is>
          <t>SÄTER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45273</v>
      </c>
      <c r="E128" s="1" t="n">
        <v>46248</v>
      </c>
      <c r="F128" t="inlineStr">
        <is>
          <t>DALARNAS LÄN</t>
        </is>
      </c>
      <c r="G128" t="inlineStr">
        <is>
          <t>SÄTER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44908</v>
      </c>
      <c r="E129" s="1" t="n">
        <v>46248</v>
      </c>
      <c r="F129" t="inlineStr">
        <is>
          <t>DALARNAS LÄN</t>
        </is>
      </c>
      <c r="G129" t="inlineStr">
        <is>
          <t>SÄTER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46248</v>
      </c>
      <c r="F130" t="inlineStr">
        <is>
          <t>DALARNAS LÄN</t>
        </is>
      </c>
      <c r="G130" t="inlineStr">
        <is>
          <t>SÄTER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69744-2021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46248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45469</v>
      </c>
      <c r="E132" s="1" t="n">
        <v>46248</v>
      </c>
      <c r="F132" t="inlineStr">
        <is>
          <t>DALARNAS LÄN</t>
        </is>
      </c>
      <c r="G132" t="inlineStr">
        <is>
          <t>SÄTER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56225-2023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45240</v>
      </c>
      <c r="E133" s="1" t="n">
        <v>46248</v>
      </c>
      <c r="F133" t="inlineStr">
        <is>
          <t>DALARNAS LÄN</t>
        </is>
      </c>
      <c r="G133" t="inlineStr">
        <is>
          <t>SÄTER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45665</v>
      </c>
      <c r="E134" s="1" t="n">
        <v>46248</v>
      </c>
      <c r="F134" t="inlineStr">
        <is>
          <t>DALARNAS LÄN</t>
        </is>
      </c>
      <c r="G134" t="inlineStr">
        <is>
          <t>SÄTER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44711</v>
      </c>
      <c r="E135" s="1" t="n">
        <v>46248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44595</v>
      </c>
      <c r="E136" s="1" t="n">
        <v>46248</v>
      </c>
      <c r="F136" t="inlineStr">
        <is>
          <t>DALARNAS LÄN</t>
        </is>
      </c>
      <c r="G136" t="inlineStr">
        <is>
          <t>SÄTER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46248</v>
      </c>
      <c r="F137" t="inlineStr">
        <is>
          <t>DALARNAS LÄN</t>
        </is>
      </c>
      <c r="G137" t="inlineStr">
        <is>
          <t>SÄTER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60655-2024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45644</v>
      </c>
      <c r="E138" s="1" t="n">
        <v>46248</v>
      </c>
      <c r="F138" t="inlineStr">
        <is>
          <t>DALARNAS LÄN</t>
        </is>
      </c>
      <c r="G138" t="inlineStr">
        <is>
          <t>SÄTER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42225-2022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46248</v>
      </c>
      <c r="F139" t="inlineStr">
        <is>
          <t>DALARNAS LÄN</t>
        </is>
      </c>
      <c r="G139" t="inlineStr">
        <is>
          <t>SÄTER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59445-2024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45638</v>
      </c>
      <c r="E140" s="1" t="n">
        <v>46248</v>
      </c>
      <c r="F140" t="inlineStr">
        <is>
          <t>DALARNAS LÄN</t>
        </is>
      </c>
      <c r="G140" t="inlineStr">
        <is>
          <t>SÄTER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44585</v>
      </c>
      <c r="E141" s="1" t="n">
        <v>46248</v>
      </c>
      <c r="F141" t="inlineStr">
        <is>
          <t>DALARNAS LÄN</t>
        </is>
      </c>
      <c r="G141" t="inlineStr">
        <is>
          <t>SÄTER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46248</v>
      </c>
      <c r="F142" t="inlineStr">
        <is>
          <t>DALARNAS LÄN</t>
        </is>
      </c>
      <c r="G142" t="inlineStr">
        <is>
          <t>SÄTER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64788-2023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45282</v>
      </c>
      <c r="E143" s="1" t="n">
        <v>46248</v>
      </c>
      <c r="F143" t="inlineStr">
        <is>
          <t>DALARNAS LÄN</t>
        </is>
      </c>
      <c r="G143" t="inlineStr">
        <is>
          <t>SÄTER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45455</v>
      </c>
      <c r="E144" s="1" t="n">
        <v>46248</v>
      </c>
      <c r="F144" t="inlineStr">
        <is>
          <t>DALARNAS LÄN</t>
        </is>
      </c>
      <c r="G144" t="inlineStr">
        <is>
          <t>SÄTER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45719</v>
      </c>
      <c r="E145" s="1" t="n">
        <v>46248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44866</v>
      </c>
      <c r="E146" s="1" t="n">
        <v>46248</v>
      </c>
      <c r="F146" t="inlineStr">
        <is>
          <t>DALARNAS LÄN</t>
        </is>
      </c>
      <c r="G146" t="inlineStr">
        <is>
          <t>SÄTER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46248</v>
      </c>
      <c r="F147" t="inlineStr">
        <is>
          <t>DALARNAS LÄN</t>
        </is>
      </c>
      <c r="G147" t="inlineStr">
        <is>
          <t>SÄTER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51328-2024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45604</v>
      </c>
      <c r="E148" s="1" t="n">
        <v>46248</v>
      </c>
      <c r="F148" t="inlineStr">
        <is>
          <t>DALARNAS LÄN</t>
        </is>
      </c>
      <c r="G148" t="inlineStr">
        <is>
          <t>SÄTER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51339-2024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45604</v>
      </c>
      <c r="E149" s="1" t="n">
        <v>46248</v>
      </c>
      <c r="F149" t="inlineStr">
        <is>
          <t>DALARNAS LÄN</t>
        </is>
      </c>
      <c r="G149" t="inlineStr">
        <is>
          <t>SÄTER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46248</v>
      </c>
      <c r="F150" t="inlineStr">
        <is>
          <t>DALARNAS LÄN</t>
        </is>
      </c>
      <c r="G150" t="inlineStr">
        <is>
          <t>SÄTER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46248</v>
      </c>
      <c r="F151" t="inlineStr">
        <is>
          <t>DALARNAS LÄN</t>
        </is>
      </c>
      <c r="G151" t="inlineStr">
        <is>
          <t>SÄTER</t>
        </is>
      </c>
      <c r="H151" t="inlineStr">
        <is>
          <t>Kommuner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44869</v>
      </c>
      <c r="E152" s="1" t="n">
        <v>46248</v>
      </c>
      <c r="F152" t="inlineStr">
        <is>
          <t>DALARNAS LÄN</t>
        </is>
      </c>
      <c r="G152" t="inlineStr">
        <is>
          <t>SÄTER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46248</v>
      </c>
      <c r="F153" t="inlineStr">
        <is>
          <t>DALARNAS LÄN</t>
        </is>
      </c>
      <c r="G153" t="inlineStr">
        <is>
          <t>SÄTER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45216</v>
      </c>
      <c r="E154" s="1" t="n">
        <v>46248</v>
      </c>
      <c r="F154" t="inlineStr">
        <is>
          <t>DALARNAS LÄN</t>
        </is>
      </c>
      <c r="G154" t="inlineStr">
        <is>
          <t>SÄTER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41556-2021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44425</v>
      </c>
      <c r="E155" s="1" t="n">
        <v>46248</v>
      </c>
      <c r="F155" t="inlineStr">
        <is>
          <t>DALARNAS LÄN</t>
        </is>
      </c>
      <c r="G155" t="inlineStr">
        <is>
          <t>SÄTER</t>
        </is>
      </c>
      <c r="I155" t="n">
        <v>10.8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24617-2022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44727</v>
      </c>
      <c r="E156" s="1" t="n">
        <v>46248</v>
      </c>
      <c r="F156" t="inlineStr">
        <is>
          <t>DALARNAS LÄN</t>
        </is>
      </c>
      <c r="G156" t="inlineStr">
        <is>
          <t>SÄTER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46248</v>
      </c>
      <c r="F157" t="inlineStr">
        <is>
          <t>DALARNAS LÄN</t>
        </is>
      </c>
      <c r="G157" t="inlineStr">
        <is>
          <t>SÄTER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45628</v>
      </c>
      <c r="E158" s="1" t="n">
        <v>46248</v>
      </c>
      <c r="F158" t="inlineStr">
        <is>
          <t>DALARNAS LÄN</t>
        </is>
      </c>
      <c r="G158" t="inlineStr">
        <is>
          <t>SÄTER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41643-2023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45175</v>
      </c>
      <c r="E159" s="1" t="n">
        <v>46248</v>
      </c>
      <c r="F159" t="inlineStr">
        <is>
          <t>DALARNAS LÄN</t>
        </is>
      </c>
      <c r="G159" t="inlineStr">
        <is>
          <t>SÄTER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45546</v>
      </c>
      <c r="E160" s="1" t="n">
        <v>46248</v>
      </c>
      <c r="F160" t="inlineStr">
        <is>
          <t>DALARNAS LÄN</t>
        </is>
      </c>
      <c r="G160" t="inlineStr">
        <is>
          <t>SÄTER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54141-2023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45232</v>
      </c>
      <c r="E161" s="1" t="n">
        <v>46248</v>
      </c>
      <c r="F161" t="inlineStr">
        <is>
          <t>DALARNAS LÄN</t>
        </is>
      </c>
      <c r="G161" t="inlineStr">
        <is>
          <t>SÄTER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51320-2024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45604</v>
      </c>
      <c r="E162" s="1" t="n">
        <v>46248</v>
      </c>
      <c r="F162" t="inlineStr">
        <is>
          <t>DALARNAS LÄN</t>
        </is>
      </c>
      <c r="G162" t="inlineStr">
        <is>
          <t>SÄTER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51324-2024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45604</v>
      </c>
      <c r="E163" s="1" t="n">
        <v>46248</v>
      </c>
      <c r="F163" t="inlineStr">
        <is>
          <t>DALARNAS LÄN</t>
        </is>
      </c>
      <c r="G163" t="inlineStr">
        <is>
          <t>SÄTER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44630</v>
      </c>
      <c r="E164" s="1" t="n">
        <v>46248</v>
      </c>
      <c r="F164" t="inlineStr">
        <is>
          <t>DALARNAS LÄN</t>
        </is>
      </c>
      <c r="G164" t="inlineStr">
        <is>
          <t>SÄTER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29635-2024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45484</v>
      </c>
      <c r="E165" s="1" t="n">
        <v>46248</v>
      </c>
      <c r="F165" t="inlineStr">
        <is>
          <t>DALARNAS LÄN</t>
        </is>
      </c>
      <c r="G165" t="inlineStr">
        <is>
          <t>SÄTER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46248</v>
      </c>
      <c r="F166" t="inlineStr">
        <is>
          <t>DALARNAS LÄN</t>
        </is>
      </c>
      <c r="G166" t="inlineStr">
        <is>
          <t>SÄTER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62368-2023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45268</v>
      </c>
      <c r="E167" s="1" t="n">
        <v>46248</v>
      </c>
      <c r="F167" t="inlineStr">
        <is>
          <t>DALARNAS LÄN</t>
        </is>
      </c>
      <c r="G167" t="inlineStr">
        <is>
          <t>SÄTER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45638</v>
      </c>
      <c r="E168" s="1" t="n">
        <v>46248</v>
      </c>
      <c r="F168" t="inlineStr">
        <is>
          <t>DALARNAS LÄN</t>
        </is>
      </c>
      <c r="G168" t="inlineStr">
        <is>
          <t>SÄTER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51323-2024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45604</v>
      </c>
      <c r="E169" s="1" t="n">
        <v>46248</v>
      </c>
      <c r="F169" t="inlineStr">
        <is>
          <t>DALARNAS LÄN</t>
        </is>
      </c>
      <c r="G169" t="inlineStr">
        <is>
          <t>SÄTER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44609</v>
      </c>
      <c r="E170" s="1" t="n">
        <v>46248</v>
      </c>
      <c r="F170" t="inlineStr">
        <is>
          <t>DALARNAS LÄN</t>
        </is>
      </c>
      <c r="G170" t="inlineStr">
        <is>
          <t>SÄTER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55497-2024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46248</v>
      </c>
      <c r="F171" t="inlineStr">
        <is>
          <t>DALARNAS LÄN</t>
        </is>
      </c>
      <c r="G171" t="inlineStr">
        <is>
          <t>SÄTER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34990-2024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45527</v>
      </c>
      <c r="E172" s="1" t="n">
        <v>46248</v>
      </c>
      <c r="F172" t="inlineStr">
        <is>
          <t>DALARNAS LÄN</t>
        </is>
      </c>
      <c r="G172" t="inlineStr">
        <is>
          <t>SÄTER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45527</v>
      </c>
      <c r="E173" s="1" t="n">
        <v>46248</v>
      </c>
      <c r="F173" t="inlineStr">
        <is>
          <t>DALARNAS LÄN</t>
        </is>
      </c>
      <c r="G173" t="inlineStr">
        <is>
          <t>SÄTER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46248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46248</v>
      </c>
      <c r="F175" t="inlineStr">
        <is>
          <t>DALARNAS LÄN</t>
        </is>
      </c>
      <c r="G175" t="inlineStr">
        <is>
          <t>SÄTER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45527</v>
      </c>
      <c r="E176" s="1" t="n">
        <v>46248</v>
      </c>
      <c r="F176" t="inlineStr">
        <is>
          <t>DALARNAS LÄN</t>
        </is>
      </c>
      <c r="G176" t="inlineStr">
        <is>
          <t>SÄTER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6767-2024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45342</v>
      </c>
      <c r="E177" s="1" t="n">
        <v>46248</v>
      </c>
      <c r="F177" t="inlineStr">
        <is>
          <t>DALARNAS LÄN</t>
        </is>
      </c>
      <c r="G177" t="inlineStr">
        <is>
          <t>SÄTER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46248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46248</v>
      </c>
      <c r="F179" t="inlineStr">
        <is>
          <t>DALARNAS LÄN</t>
        </is>
      </c>
      <c r="G179" t="inlineStr">
        <is>
          <t>SÄTER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45247</v>
      </c>
      <c r="E180" s="1" t="n">
        <v>46248</v>
      </c>
      <c r="F180" t="inlineStr">
        <is>
          <t>DALARNAS LÄN</t>
        </is>
      </c>
      <c r="G180" t="inlineStr">
        <is>
          <t>SÄTER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45154</v>
      </c>
      <c r="E181" s="1" t="n">
        <v>46248</v>
      </c>
      <c r="F181" t="inlineStr">
        <is>
          <t>DALARNAS LÄN</t>
        </is>
      </c>
      <c r="G181" t="inlineStr">
        <is>
          <t>SÄTER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45201</v>
      </c>
      <c r="E182" s="1" t="n">
        <v>46248</v>
      </c>
      <c r="F182" t="inlineStr">
        <is>
          <t>DALARNAS LÄN</t>
        </is>
      </c>
      <c r="G182" t="inlineStr">
        <is>
          <t>SÄTER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45268</v>
      </c>
      <c r="E183" s="1" t="n">
        <v>46248</v>
      </c>
      <c r="F183" t="inlineStr">
        <is>
          <t>DALARNAS LÄN</t>
        </is>
      </c>
      <c r="G183" t="inlineStr">
        <is>
          <t>SÄTER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45330</v>
      </c>
      <c r="E184" s="1" t="n">
        <v>46248</v>
      </c>
      <c r="F184" t="inlineStr">
        <is>
          <t>DALARNAS LÄN</t>
        </is>
      </c>
      <c r="G184" t="inlineStr">
        <is>
          <t>SÄTER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46248</v>
      </c>
      <c r="F185" t="inlineStr">
        <is>
          <t>DALARNAS LÄN</t>
        </is>
      </c>
      <c r="G185" t="inlineStr">
        <is>
          <t>SÄTER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46248</v>
      </c>
      <c r="F186" t="inlineStr">
        <is>
          <t>DALARNAS LÄN</t>
        </is>
      </c>
      <c r="G186" t="inlineStr">
        <is>
          <t>SÄTER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45107</v>
      </c>
      <c r="E187" s="1" t="n">
        <v>46248</v>
      </c>
      <c r="F187" t="inlineStr">
        <is>
          <t>DALARNAS LÄN</t>
        </is>
      </c>
      <c r="G187" t="inlineStr">
        <is>
          <t>SÄTER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44572</v>
      </c>
      <c r="E188" s="1" t="n">
        <v>46248</v>
      </c>
      <c r="F188" t="inlineStr">
        <is>
          <t>DALARNAS LÄN</t>
        </is>
      </c>
      <c r="G188" t="inlineStr">
        <is>
          <t>SÄTER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46248</v>
      </c>
      <c r="F189" t="inlineStr">
        <is>
          <t>DALARNAS LÄN</t>
        </is>
      </c>
      <c r="G189" t="inlineStr">
        <is>
          <t>SÄTER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45476-2024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46248</v>
      </c>
      <c r="F190" t="inlineStr">
        <is>
          <t>DALARNAS LÄN</t>
        </is>
      </c>
      <c r="G190" t="inlineStr">
        <is>
          <t>SÄTER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46248</v>
      </c>
      <c r="F191" t="inlineStr">
        <is>
          <t>DALARNAS LÄN</t>
        </is>
      </c>
      <c r="G191" t="inlineStr">
        <is>
          <t>SÄTER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46248</v>
      </c>
      <c r="F192" t="inlineStr">
        <is>
          <t>DALARNAS LÄN</t>
        </is>
      </c>
      <c r="G192" t="inlineStr">
        <is>
          <t>SÄTER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45599</v>
      </c>
      <c r="E193" s="1" t="n">
        <v>46248</v>
      </c>
      <c r="F193" t="inlineStr">
        <is>
          <t>DALARNAS LÄN</t>
        </is>
      </c>
      <c r="G193" t="inlineStr">
        <is>
          <t>SÄTER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14931-2024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45398</v>
      </c>
      <c r="E194" s="1" t="n">
        <v>46248</v>
      </c>
      <c r="F194" t="inlineStr">
        <is>
          <t>DALARNAS LÄN</t>
        </is>
      </c>
      <c r="G194" t="inlineStr">
        <is>
          <t>SÄTER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44965</v>
      </c>
      <c r="E195" s="1" t="n">
        <v>46248</v>
      </c>
      <c r="F195" t="inlineStr">
        <is>
          <t>DALARNAS LÄN</t>
        </is>
      </c>
      <c r="G195" t="inlineStr">
        <is>
          <t>SÄTER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44784</v>
      </c>
      <c r="E196" s="1" t="n">
        <v>46248</v>
      </c>
      <c r="F196" t="inlineStr">
        <is>
          <t>DALARNAS LÄN</t>
        </is>
      </c>
      <c r="G196" t="inlineStr">
        <is>
          <t>SÄTER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46248</v>
      </c>
      <c r="F197" t="inlineStr">
        <is>
          <t>DALARNAS LÄN</t>
        </is>
      </c>
      <c r="G197" t="inlineStr">
        <is>
          <t>SÄTER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51333-2024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45604</v>
      </c>
      <c r="E198" s="1" t="n">
        <v>46248</v>
      </c>
      <c r="F198" t="inlineStr">
        <is>
          <t>DALARNAS LÄN</t>
        </is>
      </c>
      <c r="G198" t="inlineStr">
        <is>
          <t>SÄTER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45140</v>
      </c>
      <c r="E199" s="1" t="n">
        <v>46248</v>
      </c>
      <c r="F199" t="inlineStr">
        <is>
          <t>DALARNAS LÄN</t>
        </is>
      </c>
      <c r="G199" t="inlineStr">
        <is>
          <t>SÄTER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46248</v>
      </c>
      <c r="F200" t="inlineStr">
        <is>
          <t>DALARNAS LÄN</t>
        </is>
      </c>
      <c r="G200" t="inlineStr">
        <is>
          <t>SÄTER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45804</v>
      </c>
      <c r="E201" s="1" t="n">
        <v>46248</v>
      </c>
      <c r="F201" t="inlineStr">
        <is>
          <t>DALARNAS LÄN</t>
        </is>
      </c>
      <c r="G201" t="inlineStr">
        <is>
          <t>SÄTER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46248</v>
      </c>
      <c r="F202" t="inlineStr">
        <is>
          <t>DALARNAS LÄN</t>
        </is>
      </c>
      <c r="G202" t="inlineStr">
        <is>
          <t>SÄTER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46248</v>
      </c>
      <c r="F203" t="inlineStr">
        <is>
          <t>DALARNAS LÄN</t>
        </is>
      </c>
      <c r="G203" t="inlineStr">
        <is>
          <t>SÄTER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45453</v>
      </c>
      <c r="E204" s="1" t="n">
        <v>46248</v>
      </c>
      <c r="F204" t="inlineStr">
        <is>
          <t>DALARNAS LÄN</t>
        </is>
      </c>
      <c r="G204" t="inlineStr">
        <is>
          <t>SÄTER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44811</v>
      </c>
      <c r="E205" s="1" t="n">
        <v>46248</v>
      </c>
      <c r="F205" t="inlineStr">
        <is>
          <t>DALARNAS LÄN</t>
        </is>
      </c>
      <c r="G205" t="inlineStr">
        <is>
          <t>SÄTER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46248</v>
      </c>
      <c r="F206" t="inlineStr">
        <is>
          <t>DALARNAS LÄN</t>
        </is>
      </c>
      <c r="G206" t="inlineStr">
        <is>
          <t>SÄTER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16834-2024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45411</v>
      </c>
      <c r="E207" s="1" t="n">
        <v>46248</v>
      </c>
      <c r="F207" t="inlineStr">
        <is>
          <t>DALARNAS LÄN</t>
        </is>
      </c>
      <c r="G207" t="inlineStr">
        <is>
          <t>SÄTER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45552</v>
      </c>
      <c r="E208" s="1" t="n">
        <v>46248</v>
      </c>
      <c r="F208" t="inlineStr">
        <is>
          <t>DALARNAS LÄN</t>
        </is>
      </c>
      <c r="G208" t="inlineStr">
        <is>
          <t>SÄTER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44581</v>
      </c>
      <c r="E209" s="1" t="n">
        <v>46248</v>
      </c>
      <c r="F209" t="inlineStr">
        <is>
          <t>DALARNAS LÄN</t>
        </is>
      </c>
      <c r="G209" t="inlineStr">
        <is>
          <t>SÄTER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44784</v>
      </c>
      <c r="E210" s="1" t="n">
        <v>46248</v>
      </c>
      <c r="F210" t="inlineStr">
        <is>
          <t>DALARNAS LÄN</t>
        </is>
      </c>
      <c r="G210" t="inlineStr">
        <is>
          <t>SÄTER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44840</v>
      </c>
      <c r="E211" s="1" t="n">
        <v>46248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10.2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46248</v>
      </c>
      <c r="F212" t="inlineStr">
        <is>
          <t>DALARNAS LÄN</t>
        </is>
      </c>
      <c r="G212" t="inlineStr">
        <is>
          <t>SÄTER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46248</v>
      </c>
      <c r="F213" t="inlineStr">
        <is>
          <t>DALARNAS LÄN</t>
        </is>
      </c>
      <c r="G213" t="inlineStr">
        <is>
          <t>SÄTER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21766-2024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45442</v>
      </c>
      <c r="E214" s="1" t="n">
        <v>46248</v>
      </c>
      <c r="F214" t="inlineStr">
        <is>
          <t>DALARNAS LÄN</t>
        </is>
      </c>
      <c r="G214" t="inlineStr">
        <is>
          <t>SÄTER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46248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46043</v>
      </c>
      <c r="E216" s="1" t="n">
        <v>46248</v>
      </c>
      <c r="F216" t="inlineStr">
        <is>
          <t>DALARNAS LÄN</t>
        </is>
      </c>
      <c r="G216" t="inlineStr">
        <is>
          <t>SÄTER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44643</v>
      </c>
      <c r="E217" s="1" t="n">
        <v>46248</v>
      </c>
      <c r="F217" t="inlineStr">
        <is>
          <t>DALARNAS LÄN</t>
        </is>
      </c>
      <c r="G217" t="inlineStr">
        <is>
          <t>SÄTER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46248</v>
      </c>
      <c r="F218" t="inlineStr">
        <is>
          <t>DALARNAS LÄN</t>
        </is>
      </c>
      <c r="G218" t="inlineStr">
        <is>
          <t>SÄTER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46248</v>
      </c>
      <c r="F219" t="inlineStr">
        <is>
          <t>DALARNAS LÄN</t>
        </is>
      </c>
      <c r="G219" t="inlineStr">
        <is>
          <t>SÄTER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46248</v>
      </c>
      <c r="F220" t="inlineStr">
        <is>
          <t>DALARNAS LÄN</t>
        </is>
      </c>
      <c r="G220" t="inlineStr">
        <is>
          <t>SÄTER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46248</v>
      </c>
      <c r="F221" t="inlineStr">
        <is>
          <t>DALARNAS LÄN</t>
        </is>
      </c>
      <c r="G221" t="inlineStr">
        <is>
          <t>SÄTER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46248</v>
      </c>
      <c r="F222" t="inlineStr">
        <is>
          <t>DALARNAS LÄN</t>
        </is>
      </c>
      <c r="G222" t="inlineStr">
        <is>
          <t>SÄTER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44964</v>
      </c>
      <c r="E223" s="1" t="n">
        <v>46248</v>
      </c>
      <c r="F223" t="inlineStr">
        <is>
          <t>DALARNAS LÄN</t>
        </is>
      </c>
      <c r="G223" t="inlineStr">
        <is>
          <t>SÄTER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20056-2026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46248</v>
      </c>
      <c r="F224" t="inlineStr">
        <is>
          <t>DALARNAS LÄN</t>
        </is>
      </c>
      <c r="G224" t="inlineStr">
        <is>
          <t>SÄTER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46248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46248</v>
      </c>
      <c r="F226" t="inlineStr">
        <is>
          <t>DALARNAS LÄN</t>
        </is>
      </c>
      <c r="G226" t="inlineStr">
        <is>
          <t>SÄTER</t>
        </is>
      </c>
      <c r="H226" t="inlineStr">
        <is>
          <t>Bergvik skog väst AB</t>
        </is>
      </c>
      <c r="I226" t="n">
        <v>10.8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46073</v>
      </c>
      <c r="E227" s="1" t="n">
        <v>46248</v>
      </c>
      <c r="F227" t="inlineStr">
        <is>
          <t>DALARNAS LÄN</t>
        </is>
      </c>
      <c r="G227" t="inlineStr">
        <is>
          <t>SÄTER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46248</v>
      </c>
      <c r="F228" t="inlineStr">
        <is>
          <t>DALARNAS LÄN</t>
        </is>
      </c>
      <c r="G228" t="inlineStr">
        <is>
          <t>SÄTER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42998-2023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45182</v>
      </c>
      <c r="E229" s="1" t="n">
        <v>46248</v>
      </c>
      <c r="F229" t="inlineStr">
        <is>
          <t>DALARNAS LÄN</t>
        </is>
      </c>
      <c r="G229" t="inlineStr">
        <is>
          <t>SÄTER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46248</v>
      </c>
      <c r="F230" t="inlineStr">
        <is>
          <t>DALARNAS LÄN</t>
        </is>
      </c>
      <c r="G230" t="inlineStr">
        <is>
          <t>SÄTER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46248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46248</v>
      </c>
      <c r="F232" t="inlineStr">
        <is>
          <t>DALARNAS LÄN</t>
        </is>
      </c>
      <c r="G232" t="inlineStr">
        <is>
          <t>SÄTER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46098</v>
      </c>
      <c r="E233" s="1" t="n">
        <v>46248</v>
      </c>
      <c r="F233" t="inlineStr">
        <is>
          <t>DALARNAS LÄN</t>
        </is>
      </c>
      <c r="G233" t="inlineStr">
        <is>
          <t>SÄTER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11733-2026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46248</v>
      </c>
      <c r="F234" t="inlineStr">
        <is>
          <t>DALARNAS LÄN</t>
        </is>
      </c>
      <c r="G234" t="inlineStr">
        <is>
          <t>SÄTER</t>
        </is>
      </c>
      <c r="H234" t="inlineStr">
        <is>
          <t>Kommuner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12330-2026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46087</v>
      </c>
      <c r="E235" s="1" t="n">
        <v>46248</v>
      </c>
      <c r="F235" t="inlineStr">
        <is>
          <t>DALARNAS LÄN</t>
        </is>
      </c>
      <c r="G235" t="inlineStr">
        <is>
          <t>SÄTER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35410-2025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45855</v>
      </c>
      <c r="E236" s="1" t="n">
        <v>46248</v>
      </c>
      <c r="F236" t="inlineStr">
        <is>
          <t>DALARNAS LÄN</t>
        </is>
      </c>
      <c r="G236" t="inlineStr">
        <is>
          <t>SÄTER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45855</v>
      </c>
      <c r="E237" s="1" t="n">
        <v>46248</v>
      </c>
      <c r="F237" t="inlineStr">
        <is>
          <t>DALARNAS LÄN</t>
        </is>
      </c>
      <c r="G237" t="inlineStr">
        <is>
          <t>SÄTER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46034</v>
      </c>
      <c r="E238" s="1" t="n">
        <v>46248</v>
      </c>
      <c r="F238" t="inlineStr">
        <is>
          <t>DALARNAS LÄN</t>
        </is>
      </c>
      <c r="G238" t="inlineStr">
        <is>
          <t>SÄTER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54310-2023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46248</v>
      </c>
      <c r="F239" t="inlineStr">
        <is>
          <t>DALARNAS LÄN</t>
        </is>
      </c>
      <c r="G239" t="inlineStr">
        <is>
          <t>SÄTER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46248</v>
      </c>
      <c r="F240" t="inlineStr">
        <is>
          <t>DALARNAS LÄN</t>
        </is>
      </c>
      <c r="G240" t="inlineStr">
        <is>
          <t>SÄTER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46248</v>
      </c>
      <c r="F241" t="inlineStr">
        <is>
          <t>DALARNAS LÄN</t>
        </is>
      </c>
      <c r="G241" t="inlineStr">
        <is>
          <t>SÄTER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46248</v>
      </c>
      <c r="F242" t="inlineStr">
        <is>
          <t>DALARNAS LÄN</t>
        </is>
      </c>
      <c r="G242" t="inlineStr">
        <is>
          <t>SÄTER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44809</v>
      </c>
      <c r="E243" s="1" t="n">
        <v>46248</v>
      </c>
      <c r="F243" t="inlineStr">
        <is>
          <t>DALARNAS LÄN</t>
        </is>
      </c>
      <c r="G243" t="inlineStr">
        <is>
          <t>SÄTER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46248</v>
      </c>
      <c r="F244" t="inlineStr">
        <is>
          <t>DALARNAS LÄN</t>
        </is>
      </c>
      <c r="G244" t="inlineStr">
        <is>
          <t>SÄTER</t>
        </is>
      </c>
      <c r="H244" t="inlineStr">
        <is>
          <t>Kommuner</t>
        </is>
      </c>
      <c r="I244" t="n">
        <v>42.6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45870</v>
      </c>
      <c r="E245" s="1" t="n">
        <v>46248</v>
      </c>
      <c r="F245" t="inlineStr">
        <is>
          <t>DALARNAS LÄN</t>
        </is>
      </c>
      <c r="G245" t="inlineStr">
        <is>
          <t>SÄTER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44788</v>
      </c>
      <c r="E246" s="1" t="n">
        <v>46248</v>
      </c>
      <c r="F246" t="inlineStr">
        <is>
          <t>DALARNAS LÄN</t>
        </is>
      </c>
      <c r="G246" t="inlineStr">
        <is>
          <t>SÄTER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28549-2022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44748</v>
      </c>
      <c r="E247" s="1" t="n">
        <v>46248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46248</v>
      </c>
      <c r="F248" t="inlineStr">
        <is>
          <t>DALARNAS LÄN</t>
        </is>
      </c>
      <c r="G248" t="inlineStr">
        <is>
          <t>SÄTER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45875</v>
      </c>
      <c r="E249" s="1" t="n">
        <v>46248</v>
      </c>
      <c r="F249" t="inlineStr">
        <is>
          <t>DALARNAS LÄN</t>
        </is>
      </c>
      <c r="G249" t="inlineStr">
        <is>
          <t>SÄTER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45905</v>
      </c>
      <c r="E250" s="1" t="n">
        <v>46248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46559-2021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44445</v>
      </c>
      <c r="E251" s="1" t="n">
        <v>46248</v>
      </c>
      <c r="F251" t="inlineStr">
        <is>
          <t>DALARNAS LÄN</t>
        </is>
      </c>
      <c r="G251" t="inlineStr">
        <is>
          <t>SÄTER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46248</v>
      </c>
      <c r="F252" t="inlineStr">
        <is>
          <t>DALARNAS LÄN</t>
        </is>
      </c>
      <c r="G252" t="inlineStr">
        <is>
          <t>SÄTER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42674-2025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45905</v>
      </c>
      <c r="E253" s="1" t="n">
        <v>46248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46248</v>
      </c>
      <c r="F254" t="inlineStr">
        <is>
          <t>DALARNAS LÄN</t>
        </is>
      </c>
      <c r="G254" t="inlineStr">
        <is>
          <t>SÄTER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45171</v>
      </c>
      <c r="E255" s="1" t="n">
        <v>46248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45783</v>
      </c>
      <c r="E256" s="1" t="n">
        <v>46248</v>
      </c>
      <c r="F256" t="inlineStr">
        <is>
          <t>DALARNAS LÄN</t>
        </is>
      </c>
      <c r="G256" t="inlineStr">
        <is>
          <t>SÄTER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45596</v>
      </c>
      <c r="E257" s="1" t="n">
        <v>46248</v>
      </c>
      <c r="F257" t="inlineStr">
        <is>
          <t>DALARNAS LÄN</t>
        </is>
      </c>
      <c r="G257" t="inlineStr">
        <is>
          <t>SÄTER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38264-2025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45883</v>
      </c>
      <c r="E258" s="1" t="n">
        <v>46248</v>
      </c>
      <c r="F258" t="inlineStr">
        <is>
          <t>DALARNAS LÄN</t>
        </is>
      </c>
      <c r="G258" t="inlineStr">
        <is>
          <t>SÄTER</t>
        </is>
      </c>
      <c r="I258" t="n">
        <v>10.8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46153</v>
      </c>
      <c r="E259" s="1" t="n">
        <v>46248</v>
      </c>
      <c r="F259" t="inlineStr">
        <is>
          <t>DALARNAS LÄN</t>
        </is>
      </c>
      <c r="G259" t="inlineStr">
        <is>
          <t>SÄTER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45428</v>
      </c>
      <c r="E260" s="1" t="n">
        <v>46248</v>
      </c>
      <c r="F260" t="inlineStr">
        <is>
          <t>DALARNAS LÄN</t>
        </is>
      </c>
      <c r="G260" t="inlineStr">
        <is>
          <t>SÄTER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46248</v>
      </c>
      <c r="F261" t="inlineStr">
        <is>
          <t>DALARNAS LÄN</t>
        </is>
      </c>
      <c r="G261" t="inlineStr">
        <is>
          <t>SÄTER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46248</v>
      </c>
      <c r="F262" t="inlineStr">
        <is>
          <t>DALARNAS LÄN</t>
        </is>
      </c>
      <c r="G262" t="inlineStr">
        <is>
          <t>SÄTER</t>
        </is>
      </c>
      <c r="I262" t="n">
        <v>9.6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46155</v>
      </c>
      <c r="E263" s="1" t="n">
        <v>46248</v>
      </c>
      <c r="F263" t="inlineStr">
        <is>
          <t>DALARNAS LÄN</t>
        </is>
      </c>
      <c r="G263" t="inlineStr">
        <is>
          <t>SÄTER</t>
        </is>
      </c>
      <c r="H263" t="inlineStr">
        <is>
          <t>Bergvik skog väst AB</t>
        </is>
      </c>
      <c r="I263" t="n">
        <v>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46248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45700</v>
      </c>
      <c r="E265" s="1" t="n">
        <v>46248</v>
      </c>
      <c r="F265" t="inlineStr">
        <is>
          <t>DALARNAS LÄN</t>
        </is>
      </c>
      <c r="G265" t="inlineStr">
        <is>
          <t>SÄTER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22970-2025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45790</v>
      </c>
      <c r="E266" s="1" t="n">
        <v>46248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46087</v>
      </c>
      <c r="E267" s="1" t="n">
        <v>46248</v>
      </c>
      <c r="F267" t="inlineStr">
        <is>
          <t>DALARNAS LÄN</t>
        </is>
      </c>
      <c r="G267" t="inlineStr">
        <is>
          <t>SÄTER</t>
        </is>
      </c>
      <c r="H267" t="inlineStr">
        <is>
          <t>Kommuner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46248</v>
      </c>
      <c r="F268" t="inlineStr">
        <is>
          <t>DALARNAS LÄN</t>
        </is>
      </c>
      <c r="G268" t="inlineStr">
        <is>
          <t>SÄTER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46248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23736-2026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46248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23736-2026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46248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46248</v>
      </c>
      <c r="F272" t="inlineStr">
        <is>
          <t>DALARNAS LÄN</t>
        </is>
      </c>
      <c r="G272" t="inlineStr">
        <is>
          <t>SÄTER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45666</v>
      </c>
      <c r="E273" s="1" t="n">
        <v>46248</v>
      </c>
      <c r="F273" t="inlineStr">
        <is>
          <t>DALARNAS LÄN</t>
        </is>
      </c>
      <c r="G273" t="inlineStr">
        <is>
          <t>SÄTER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33482-2023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45118</v>
      </c>
      <c r="E274" s="1" t="n">
        <v>46248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45443</v>
      </c>
      <c r="E275" s="1" t="n">
        <v>46248</v>
      </c>
      <c r="F275" t="inlineStr">
        <is>
          <t>DALARNAS LÄN</t>
        </is>
      </c>
      <c r="G275" t="inlineStr">
        <is>
          <t>SÄTER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46248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46494-2025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46248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15.2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45925</v>
      </c>
      <c r="E278" s="1" t="n">
        <v>46248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41.4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46164</v>
      </c>
      <c r="E279" s="1" t="n">
        <v>46248</v>
      </c>
      <c r="F279" t="inlineStr">
        <is>
          <t>DALARNAS LÄN</t>
        </is>
      </c>
      <c r="G279" t="inlineStr">
        <is>
          <t>SÄTER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46248</v>
      </c>
      <c r="F280" t="inlineStr">
        <is>
          <t>DALARNAS LÄN</t>
        </is>
      </c>
      <c r="G280" t="inlineStr">
        <is>
          <t>SÄTER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45462</v>
      </c>
      <c r="E281" s="1" t="n">
        <v>46248</v>
      </c>
      <c r="F281" t="inlineStr">
        <is>
          <t>DALARNAS LÄN</t>
        </is>
      </c>
      <c r="G281" t="inlineStr">
        <is>
          <t>SÄTER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47280-2025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45930</v>
      </c>
      <c r="E282" s="1" t="n">
        <v>46248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46248</v>
      </c>
      <c r="F283" t="inlineStr">
        <is>
          <t>DALARNAS LÄN</t>
        </is>
      </c>
      <c r="G283" t="inlineStr">
        <is>
          <t>SÄTER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48862-2025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46248</v>
      </c>
      <c r="F284" t="inlineStr">
        <is>
          <t>DALARNAS LÄN</t>
        </is>
      </c>
      <c r="G284" t="inlineStr">
        <is>
          <t>SÄTER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45939</v>
      </c>
      <c r="E285" s="1" t="n">
        <v>46248</v>
      </c>
      <c r="F285" t="inlineStr">
        <is>
          <t>DALARNAS LÄN</t>
        </is>
      </c>
      <c r="G285" t="inlineStr">
        <is>
          <t>SÄTER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30706-2026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46211</v>
      </c>
      <c r="E286" s="1" t="n">
        <v>46248</v>
      </c>
      <c r="F286" t="inlineStr">
        <is>
          <t>DALARNAS LÄN</t>
        </is>
      </c>
      <c r="G286" t="inlineStr">
        <is>
          <t>SÄTER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24376-2026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46167</v>
      </c>
      <c r="E287" s="1" t="n">
        <v>46248</v>
      </c>
      <c r="F287" t="inlineStr">
        <is>
          <t>DALARNAS LÄN</t>
        </is>
      </c>
      <c r="G287" t="inlineStr">
        <is>
          <t>SÄTER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11164-2023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44992</v>
      </c>
      <c r="E288" s="1" t="n">
        <v>46248</v>
      </c>
      <c r="F288" t="inlineStr">
        <is>
          <t>DALARNAS LÄN</t>
        </is>
      </c>
      <c r="G288" t="inlineStr">
        <is>
          <t>SÄTER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50649-2025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45945</v>
      </c>
      <c r="E289" s="1" t="n">
        <v>46248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50533-2025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46248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25033-2026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46174</v>
      </c>
      <c r="E291" s="1" t="n">
        <v>46248</v>
      </c>
      <c r="F291" t="inlineStr">
        <is>
          <t>DALARNAS LÄN</t>
        </is>
      </c>
      <c r="G291" t="inlineStr">
        <is>
          <t>SÄTER</t>
        </is>
      </c>
      <c r="H291" t="inlineStr">
        <is>
          <t>Bergvik skog väst AB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51826-2025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45951</v>
      </c>
      <c r="E292" s="1" t="n">
        <v>46248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15.1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46248</v>
      </c>
      <c r="F293" t="inlineStr">
        <is>
          <t>DALARNAS LÄN</t>
        </is>
      </c>
      <c r="G293" t="inlineStr">
        <is>
          <t>SÄTER</t>
        </is>
      </c>
      <c r="H293" t="inlineStr">
        <is>
          <t>Bergvik skog väst AB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52422-2025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46248</v>
      </c>
      <c r="F294" t="inlineStr">
        <is>
          <t>DALARNAS LÄN</t>
        </is>
      </c>
      <c r="G294" t="inlineStr">
        <is>
          <t>SÄTER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45953</v>
      </c>
      <c r="E295" s="1" t="n">
        <v>46248</v>
      </c>
      <c r="F295" t="inlineStr">
        <is>
          <t>DALARNAS LÄN</t>
        </is>
      </c>
      <c r="G295" t="inlineStr">
        <is>
          <t>SÄTER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63377-2025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46010</v>
      </c>
      <c r="E296" s="1" t="n">
        <v>46248</v>
      </c>
      <c r="F296" t="inlineStr">
        <is>
          <t>DALARNAS LÄN</t>
        </is>
      </c>
      <c r="G296" t="inlineStr">
        <is>
          <t>SÄTER</t>
        </is>
      </c>
      <c r="H296" t="inlineStr">
        <is>
          <t>Övriga statliga verk och myndigheter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45874</v>
      </c>
      <c r="E297" s="1" t="n">
        <v>46248</v>
      </c>
      <c r="F297" t="inlineStr">
        <is>
          <t>DALARNAS LÄN</t>
        </is>
      </c>
      <c r="G297" t="inlineStr">
        <is>
          <t>SÄTER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53540-2025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46248</v>
      </c>
      <c r="F298" t="inlineStr">
        <is>
          <t>DALARNAS LÄN</t>
        </is>
      </c>
      <c r="G298" t="inlineStr">
        <is>
          <t>SÄTER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10285-2026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46248</v>
      </c>
      <c r="F299" t="inlineStr">
        <is>
          <t>DALARNAS LÄN</t>
        </is>
      </c>
      <c r="G299" t="inlineStr">
        <is>
          <t>SÄTER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45961</v>
      </c>
      <c r="E300" s="1" t="n">
        <v>46248</v>
      </c>
      <c r="F300" t="inlineStr">
        <is>
          <t>DALARNAS LÄN</t>
        </is>
      </c>
      <c r="G300" t="inlineStr">
        <is>
          <t>SÄTER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53559-2025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45960</v>
      </c>
      <c r="E301" s="1" t="n">
        <v>46248</v>
      </c>
      <c r="F301" t="inlineStr">
        <is>
          <t>DALARNAS LÄN</t>
        </is>
      </c>
      <c r="G301" t="inlineStr">
        <is>
          <t>SÄTER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45964</v>
      </c>
      <c r="E302" s="1" t="n">
        <v>46248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55621-2025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46248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46190</v>
      </c>
      <c r="E304" s="1" t="n">
        <v>46248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46248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46191</v>
      </c>
      <c r="E306" s="1" t="n">
        <v>46248</v>
      </c>
      <c r="F306" t="inlineStr">
        <is>
          <t>DALARNAS LÄN</t>
        </is>
      </c>
      <c r="G306" t="inlineStr">
        <is>
          <t>SÄTER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53706-2025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46248</v>
      </c>
      <c r="F307" t="inlineStr">
        <is>
          <t>DALARNAS LÄN</t>
        </is>
      </c>
      <c r="G307" t="inlineStr">
        <is>
          <t>SÄTER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46248</v>
      </c>
      <c r="F308" t="inlineStr">
        <is>
          <t>DALARNAS LÄN</t>
        </is>
      </c>
      <c r="G308" t="inlineStr">
        <is>
          <t>SÄTER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46234</v>
      </c>
      <c r="E309" s="1" t="n">
        <v>46248</v>
      </c>
      <c r="F309" t="inlineStr">
        <is>
          <t>DALARNAS LÄN</t>
        </is>
      </c>
      <c r="G309" t="inlineStr">
        <is>
          <t>SÄTER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46248</v>
      </c>
      <c r="F310" t="inlineStr">
        <is>
          <t>DALARNAS LÄN</t>
        </is>
      </c>
      <c r="G310" t="inlineStr">
        <is>
          <t>SÄTER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59974-2025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46248</v>
      </c>
      <c r="F311" t="inlineStr">
        <is>
          <t>DALARNAS LÄN</t>
        </is>
      </c>
      <c r="G311" t="inlineStr">
        <is>
          <t>SÄTER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46196</v>
      </c>
      <c r="E312" s="1" t="n">
        <v>46248</v>
      </c>
      <c r="F312" t="inlineStr">
        <is>
          <t>DALARNAS LÄN</t>
        </is>
      </c>
      <c r="G312" t="inlineStr">
        <is>
          <t>SÄTER</t>
        </is>
      </c>
      <c r="H312" t="inlineStr">
        <is>
          <t>Sveaskog</t>
        </is>
      </c>
      <c r="I312" t="n">
        <v>19.8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46248</v>
      </c>
      <c r="F313" t="inlineStr">
        <is>
          <t>DALARNAS LÄN</t>
        </is>
      </c>
      <c r="G313" t="inlineStr">
        <is>
          <t>SÄTER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63350-2025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46248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46204</v>
      </c>
      <c r="E315" s="1" t="n">
        <v>46248</v>
      </c>
      <c r="F315" t="inlineStr">
        <is>
          <t>DALARNAS LÄN</t>
        </is>
      </c>
      <c r="G315" t="inlineStr">
        <is>
          <t>SÄTER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63684-2025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46014</v>
      </c>
      <c r="E316" s="1" t="n">
        <v>46248</v>
      </c>
      <c r="F316" t="inlineStr">
        <is>
          <t>DALARNAS LÄN</t>
        </is>
      </c>
      <c r="G316" t="inlineStr">
        <is>
          <t>SÄTER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49586-2025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45939</v>
      </c>
      <c r="E317" s="1" t="n">
        <v>46248</v>
      </c>
      <c r="F317" t="inlineStr">
        <is>
          <t>DALARNAS LÄN</t>
        </is>
      </c>
      <c r="G317" t="inlineStr">
        <is>
          <t>SÄTER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46026</v>
      </c>
      <c r="E318" s="1" t="n">
        <v>46248</v>
      </c>
      <c r="F318" t="inlineStr">
        <is>
          <t>DALARNAS LÄN</t>
        </is>
      </c>
      <c r="G318" t="inlineStr">
        <is>
          <t>SÄTER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46027</v>
      </c>
      <c r="E319" s="1" t="n">
        <v>46248</v>
      </c>
      <c r="F319" t="inlineStr">
        <is>
          <t>DALARNAS LÄN</t>
        </is>
      </c>
      <c r="G319" t="inlineStr">
        <is>
          <t>SÄTER</t>
        </is>
      </c>
      <c r="I319" t="n">
        <v>12.1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987-2026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46030</v>
      </c>
      <c r="E320" s="1" t="n">
        <v>46248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46248</v>
      </c>
      <c r="F321" t="inlineStr">
        <is>
          <t>DALARNAS LÄN</t>
        </is>
      </c>
      <c r="G321" t="inlineStr">
        <is>
          <t>SÄTER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46248</v>
      </c>
      <c r="F322" t="inlineStr">
        <is>
          <t>DALARNAS LÄN</t>
        </is>
      </c>
      <c r="G322" t="inlineStr">
        <is>
          <t>SÄTER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46031</v>
      </c>
      <c r="E323" s="1" t="n">
        <v>46248</v>
      </c>
      <c r="F323" t="inlineStr">
        <is>
          <t>DALARNAS LÄN</t>
        </is>
      </c>
      <c r="G323" t="inlineStr">
        <is>
          <t>SÄTER</t>
        </is>
      </c>
      <c r="H323" t="inlineStr">
        <is>
          <t>Kommuner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1711-2026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46248</v>
      </c>
      <c r="F324" t="inlineStr">
        <is>
          <t>DALARNAS LÄN</t>
        </is>
      </c>
      <c r="G324" t="inlineStr">
        <is>
          <t>SÄTER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46036</v>
      </c>
      <c r="E325" s="1" t="n">
        <v>46248</v>
      </c>
      <c r="F325" t="inlineStr">
        <is>
          <t>DALARNAS LÄN</t>
        </is>
      </c>
      <c r="G325" t="inlineStr">
        <is>
          <t>SÄTER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46248</v>
      </c>
      <c r="F326" t="inlineStr">
        <is>
          <t>DALARNAS LÄN</t>
        </is>
      </c>
      <c r="G326" t="inlineStr">
        <is>
          <t>SÄTER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46248</v>
      </c>
      <c r="F327" t="inlineStr">
        <is>
          <t>DALARNAS LÄN</t>
        </is>
      </c>
      <c r="G327" t="inlineStr">
        <is>
          <t>SÄTER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46248</v>
      </c>
      <c r="F328" t="inlineStr">
        <is>
          <t>DALARNAS LÄN</t>
        </is>
      </c>
      <c r="G328" t="inlineStr">
        <is>
          <t>SÄTER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46248</v>
      </c>
      <c r="F329" t="inlineStr">
        <is>
          <t>DALARNAS LÄN</t>
        </is>
      </c>
      <c r="G329" t="inlineStr">
        <is>
          <t>SÄTER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46248</v>
      </c>
      <c r="F330" t="inlineStr">
        <is>
          <t>DALARNAS LÄN</t>
        </is>
      </c>
      <c r="G330" t="inlineStr">
        <is>
          <t>SÄTER</t>
        </is>
      </c>
      <c r="I330" t="n">
        <v>10.6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46248</v>
      </c>
      <c r="F331" t="inlineStr">
        <is>
          <t>DALARNAS LÄN</t>
        </is>
      </c>
      <c r="G331" t="inlineStr">
        <is>
          <t>SÄTER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46248</v>
      </c>
      <c r="F332" t="inlineStr">
        <is>
          <t>DALARNAS LÄN</t>
        </is>
      </c>
      <c r="G332" t="inlineStr">
        <is>
          <t>SÄTER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46248</v>
      </c>
      <c r="F333" t="inlineStr">
        <is>
          <t>DALARNAS LÄN</t>
        </is>
      </c>
      <c r="G333" t="inlineStr">
        <is>
          <t>SÄTER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46248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46057</v>
      </c>
      <c r="E335" s="1" t="n">
        <v>46248</v>
      </c>
      <c r="F335" t="inlineStr">
        <is>
          <t>DALARNAS LÄN</t>
        </is>
      </c>
      <c r="G335" t="inlineStr">
        <is>
          <t>SÄTER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46057</v>
      </c>
      <c r="E336" s="1" t="n">
        <v>46248</v>
      </c>
      <c r="F336" t="inlineStr">
        <is>
          <t>DALARNAS LÄN</t>
        </is>
      </c>
      <c r="G336" t="inlineStr">
        <is>
          <t>SÄTER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8435-2026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46248</v>
      </c>
      <c r="F337" t="inlineStr">
        <is>
          <t>DALARNAS LÄN</t>
        </is>
      </c>
      <c r="G337" t="inlineStr">
        <is>
          <t>SÄTER</t>
        </is>
      </c>
      <c r="I337" t="n">
        <v>9.9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46248</v>
      </c>
      <c r="F338" t="inlineStr">
        <is>
          <t>DALARNAS LÄN</t>
        </is>
      </c>
      <c r="G338" t="inlineStr">
        <is>
          <t>SÄTER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46248</v>
      </c>
      <c r="F339" t="inlineStr">
        <is>
          <t>DALARNAS LÄN</t>
        </is>
      </c>
      <c r="G339" t="inlineStr">
        <is>
          <t>SÄTER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46248</v>
      </c>
      <c r="F340" t="inlineStr">
        <is>
          <t>DALARNAS LÄN</t>
        </is>
      </c>
      <c r="G340" t="inlineStr">
        <is>
          <t>SÄTER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10214-2026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46248</v>
      </c>
      <c r="F341" t="inlineStr">
        <is>
          <t>DALARNAS LÄN</t>
        </is>
      </c>
      <c r="G341" t="inlineStr">
        <is>
          <t>SÄTER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46248</v>
      </c>
      <c r="F342" t="inlineStr">
        <is>
          <t>DALARNAS LÄN</t>
        </is>
      </c>
      <c r="G342" t="inlineStr">
        <is>
          <t>SÄTER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10552-2026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46077</v>
      </c>
      <c r="E343" s="1" t="n">
        <v>46248</v>
      </c>
      <c r="F343" t="inlineStr">
        <is>
          <t>DALARNAS LÄN</t>
        </is>
      </c>
      <c r="G343" t="inlineStr">
        <is>
          <t>SÄTER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11405-2026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46083</v>
      </c>
      <c r="E344" s="1" t="n">
        <v>46248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46087</v>
      </c>
      <c r="E345" s="1" t="n">
        <v>46248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46248</v>
      </c>
      <c r="F346" t="inlineStr">
        <is>
          <t>DALARNAS LÄN</t>
        </is>
      </c>
      <c r="G346" t="inlineStr">
        <is>
          <t>SÄTER</t>
        </is>
      </c>
      <c r="I346" t="n">
        <v>9.800000000000001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11533-2026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46083</v>
      </c>
      <c r="E347" s="1" t="n">
        <v>46248</v>
      </c>
      <c r="F347" t="inlineStr">
        <is>
          <t>DALARNAS LÄN</t>
        </is>
      </c>
      <c r="G347" t="inlineStr">
        <is>
          <t>SÄTER</t>
        </is>
      </c>
      <c r="H347" t="inlineStr">
        <is>
          <t>Kommuner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46248</v>
      </c>
      <c r="F348" t="inlineStr">
        <is>
          <t>DALARNAS LÄN</t>
        </is>
      </c>
      <c r="G348" t="inlineStr">
        <is>
          <t>SÄTER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46248</v>
      </c>
      <c r="F349" t="inlineStr">
        <is>
          <t>DALARNAS LÄN</t>
        </is>
      </c>
      <c r="G349" t="inlineStr">
        <is>
          <t>SÄTER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46248</v>
      </c>
      <c r="F350" t="inlineStr">
        <is>
          <t>DALARNAS LÄN</t>
        </is>
      </c>
      <c r="G350" t="inlineStr">
        <is>
          <t>SÄTER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13888-2026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46098</v>
      </c>
      <c r="E351" s="1" t="n">
        <v>46248</v>
      </c>
      <c r="F351" t="inlineStr">
        <is>
          <t>DALARNAS LÄN</t>
        </is>
      </c>
      <c r="G351" t="inlineStr">
        <is>
          <t>SÄTER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46098</v>
      </c>
      <c r="E352" s="1" t="n">
        <v>46248</v>
      </c>
      <c r="F352" t="inlineStr">
        <is>
          <t>DALARNAS LÄN</t>
        </is>
      </c>
      <c r="G352" t="inlineStr">
        <is>
          <t>SÄTER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16698-2026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46248</v>
      </c>
      <c r="F353" t="inlineStr">
        <is>
          <t>DALARNAS LÄN</t>
        </is>
      </c>
      <c r="G353" t="inlineStr">
        <is>
          <t>SÄTER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46119</v>
      </c>
      <c r="E354" s="1" t="n">
        <v>46248</v>
      </c>
      <c r="F354" t="inlineStr">
        <is>
          <t>DALARNAS LÄN</t>
        </is>
      </c>
      <c r="G354" t="inlineStr">
        <is>
          <t>SÄTER</t>
        </is>
      </c>
      <c r="H354" t="inlineStr">
        <is>
          <t>Kommuner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46248</v>
      </c>
      <c r="F355" t="inlineStr">
        <is>
          <t>DALARNAS LÄN</t>
        </is>
      </c>
      <c r="G355" t="inlineStr">
        <is>
          <t>SÄTER</t>
        </is>
      </c>
      <c r="I355" t="n">
        <v>15.2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46248</v>
      </c>
      <c r="F356" t="inlineStr">
        <is>
          <t>DALARNAS LÄN</t>
        </is>
      </c>
      <c r="G356" t="inlineStr">
        <is>
          <t>SÄTER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46248</v>
      </c>
      <c r="F357" t="inlineStr">
        <is>
          <t>DALARNAS LÄN</t>
        </is>
      </c>
      <c r="G357" t="inlineStr">
        <is>
          <t>SÄTER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13362-2026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46248</v>
      </c>
      <c r="F358" t="inlineStr">
        <is>
          <t>DALARNAS LÄN</t>
        </is>
      </c>
      <c r="G358" t="inlineStr">
        <is>
          <t>SÄTER</t>
        </is>
      </c>
      <c r="I358" t="n">
        <v>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20057-2026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46248</v>
      </c>
      <c r="F359" t="inlineStr">
        <is>
          <t>DALARNAS LÄN</t>
        </is>
      </c>
      <c r="G359" t="inlineStr">
        <is>
          <t>SÄTER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41954-2024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45561</v>
      </c>
      <c r="E360" s="1" t="n">
        <v>46248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44724-2024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45574</v>
      </c>
      <c r="E361" s="1" t="n">
        <v>46248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27018-2025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45811</v>
      </c>
      <c r="E362" s="1" t="n">
        <v>46248</v>
      </c>
      <c r="F362" t="inlineStr">
        <is>
          <t>DALARNAS LÄN</t>
        </is>
      </c>
      <c r="G362" t="inlineStr">
        <is>
          <t>SÄTER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44719-2024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45574</v>
      </c>
      <c r="E363" s="1" t="n">
        <v>46248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63654-2025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46014</v>
      </c>
      <c r="E364" s="1" t="n">
        <v>46248</v>
      </c>
      <c r="F364" t="inlineStr">
        <is>
          <t>DALARNAS LÄN</t>
        </is>
      </c>
      <c r="G364" t="inlineStr">
        <is>
          <t>SÄTER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2585-2020</t>
        </is>
      </c>
      <c r="B365" t="inlineStr">
        <is>
          <t>samrådsanmälan</t>
        </is>
      </c>
      <c r="C365" t="n">
        <v/>
      </c>
      <c r="D365" s="1" t="n">
        <v>44155</v>
      </c>
      <c r="E365" s="1" t="n">
        <v>46248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1868-2020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44071</v>
      </c>
      <c r="E366" s="1" t="n">
        <v>46248</v>
      </c>
      <c r="F366" t="inlineStr">
        <is>
          <t>DALARNAS LÄN</t>
        </is>
      </c>
      <c r="G366" t="inlineStr">
        <is>
          <t>SÄTER</t>
        </is>
      </c>
      <c r="I366" t="n">
        <v>29.2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3057-2023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45182</v>
      </c>
      <c r="E367" s="1" t="n">
        <v>46248</v>
      </c>
      <c r="F367" t="inlineStr">
        <is>
          <t>DALARNAS LÄN</t>
        </is>
      </c>
      <c r="G367" t="inlineStr">
        <is>
          <t>SÄTER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46248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1098-2024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45391</v>
      </c>
      <c r="E369" s="1" t="n">
        <v>46248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189.2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705-2025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45720</v>
      </c>
      <c r="E370" s="1" t="n">
        <v>46248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21.7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2939-2025</t>
        </is>
      </c>
      <c r="B371" t="inlineStr">
        <is>
          <t>samrådsanmälan</t>
        </is>
      </c>
      <c r="C371" t="inlineStr">
        <is>
          <t>Annan skogsbruksåtgärd</t>
        </is>
      </c>
      <c r="D371" s="1" t="n">
        <v>45951</v>
      </c>
      <c r="E371" s="1" t="n">
        <v>46248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46248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>
      <c r="A373" t="inlineStr">
        <is>
          <t>S 611-2026</t>
        </is>
      </c>
      <c r="B373" t="inlineStr">
        <is>
          <t>samrådsanmälan</t>
        </is>
      </c>
      <c r="C373" t="inlineStr">
        <is>
          <t>Skogsgödsling</t>
        </is>
      </c>
      <c r="D373" s="1" t="n">
        <v>46085</v>
      </c>
      <c r="E373" s="1" t="n">
        <v>46248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44.7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2026-08-14T01:53:39Z</dcterms:created>
  <dcterms:modified xmlns:dcterms="http://purl.org/dc/terms/" xmlns:xsi="http://www.w3.org/2001/XMLSchema-instance" xsi:type="dcterms:W3CDTF">2026-08-14T01:53:39Z</dcterms:modified>
</cp:coreProperties>
</file>