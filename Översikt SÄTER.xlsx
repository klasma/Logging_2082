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46226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46226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46226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46226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46226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12817-2026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46226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28.2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Ask
Grönsångare
Kransmossa</t>
        </is>
      </c>
      <c r="W14">
        <f>HYPERLINK("https://klasma.github.io/Logging_2082/artfynd/A 12817-2026 artfynd.xlsx", "A 12817-2026")</f>
        <v/>
      </c>
      <c r="X14">
        <f>HYPERLINK("https://klasma.github.io/Logging_2082/kartor/A 12817-2026 karta.png", "A 12817-2026")</f>
        <v/>
      </c>
      <c r="Y14">
        <f>HYPERLINK("https://klasma.github.io/Logging_2082/kartor_geotiff/A 12817-2026 georefererad karta.tif", "A 12817-2026")</f>
        <v/>
      </c>
      <c r="AA14">
        <f>HYPERLINK("https://klasma.github.io/Logging_2082/klagomål/A 12817-2026 FSC-klagomål.docx", "A 12817-2026")</f>
        <v/>
      </c>
      <c r="AB14">
        <f>HYPERLINK("https://klasma.github.io/Logging_2082/klagomålsmail/A 12817-2026 FSC-klagomål mail.docx", "A 12817-2026")</f>
        <v/>
      </c>
      <c r="AC14">
        <f>HYPERLINK("https://klasma.github.io/Logging_2082/tillsyn/A 12817-2026 tillsynsbegäran.docx", "A 12817-2026")</f>
        <v/>
      </c>
      <c r="AD14">
        <f>HYPERLINK("https://klasma.github.io/Logging_2082/tillsynsmail/A 12817-2026 tillsynsbegäran mail.docx", "A 12817-2026")</f>
        <v/>
      </c>
      <c r="AE14">
        <f>HYPERLINK("https://klasma.github.io/Logging_2082/fåglar/A 12817-2026 prioriterade fågelarter.docx", "A 12817-2026")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46226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46226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46226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46226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46226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46226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Svavelriska</t>
        </is>
      </c>
      <c r="W21">
        <f>HYPERLINK("https://klasma.github.io/Logging_2082/artfynd/A 23917-2024 artfynd.xlsx", "A 23917-2024")</f>
        <v/>
      </c>
      <c r="X21">
        <f>HYPERLINK("https://klasma.github.io/Logging_2082/kartor/A 23917-2024 karta.png", "A 23917-2024")</f>
        <v/>
      </c>
      <c r="Y21">
        <f>HYPERLINK("https://klasma.github.io/Logging_2082/kartor_geotiff/A 23917-2024 georefererad karta.tif", "A 23917-2024")</f>
        <v/>
      </c>
      <c r="AA21">
        <f>HYPERLINK("https://klasma.github.io/Logging_2082/klagomål/A 23917-2024 FSC-klagomål.docx", "A 23917-2024")</f>
        <v/>
      </c>
      <c r="AB21">
        <f>HYPERLINK("https://klasma.github.io/Logging_2082/klagomålsmail/A 23917-2024 FSC-klagomål mail.docx", "A 23917-2024")</f>
        <v/>
      </c>
      <c r="AC21">
        <f>HYPERLINK("https://klasma.github.io/Logging_2082/tillsyn/A 23917-2024 tillsynsbegäran.docx", "A 23917-2024")</f>
        <v/>
      </c>
      <c r="AD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46226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46226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46226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46226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46226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46226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46226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46226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46226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34938-2025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46226</v>
      </c>
      <c r="F35" t="inlineStr">
        <is>
          <t>DALARNAS LÄN</t>
        </is>
      </c>
      <c r="G35" t="inlineStr">
        <is>
          <t>SÄTER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HYPERLINK("https://klasma.github.io/Logging_2082/artfynd/A 34938-2025 artfynd.xlsx", "A 34938-2025")</f>
        <v/>
      </c>
      <c r="X35">
        <f>HYPERLINK("https://klasma.github.io/Logging_2082/kartor/A 34938-2025 karta.png", "A 34938-2025")</f>
        <v/>
      </c>
      <c r="Y35">
        <f>HYPERLINK("https://klasma.github.io/Logging_2082/kartor_geotiff/A 34938-2025 georefererad karta.tif", "A 34938-2025")</f>
        <v/>
      </c>
      <c r="AA35">
        <f>HYPERLINK("https://klasma.github.io/Logging_2082/klagomål/A 34938-2025 FSC-klagomål.docx", "A 34938-2025")</f>
        <v/>
      </c>
      <c r="AB35">
        <f>HYPERLINK("https://klasma.github.io/Logging_2082/klagomålsmail/A 34938-2025 FSC-klagomål mail.docx", "A 34938-2025")</f>
        <v/>
      </c>
      <c r="AC35">
        <f>HYPERLINK("https://klasma.github.io/Logging_2082/tillsyn/A 34938-2025 tillsynsbegäran.docx", "A 34938-2025")</f>
        <v/>
      </c>
      <c r="AD35">
        <f>HYPERLINK("https://klasma.github.io/Logging_2082/tillsynsmail/A 34938-2025 tillsynsbegäran mail.docx", "A 34938-2025")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46226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46226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46226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46226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46226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46226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32383-2022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46226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32383-2022 artfynd.xlsx", "A 32383-2022")</f>
        <v/>
      </c>
      <c r="X42">
        <f>HYPERLINK("https://klasma.github.io/Logging_2082/kartor/A 32383-2022 karta.png", "A 32383-2022")</f>
        <v/>
      </c>
      <c r="Y42">
        <f>HYPERLINK("https://klasma.github.io/Logging_2082/kartor_geotiff/A 32383-2022 georefererad karta.tif", "A 32383-2022")</f>
        <v/>
      </c>
      <c r="Z42">
        <f>HYPERLINK("https://klasma.github.io/Logging_2082/knärot/A 32383-2022 karta knärot.png", "A 32383-2022")</f>
        <v/>
      </c>
      <c r="AA42">
        <f>HYPERLINK("https://klasma.github.io/Logging_2082/klagomål/A 32383-2022 FSC-klagomål.docx", "A 32383-2022")</f>
        <v/>
      </c>
      <c r="AB42">
        <f>HYPERLINK("https://klasma.github.io/Logging_2082/klagomålsmail/A 32383-2022 FSC-klagomål mail.docx", "A 32383-2022")</f>
        <v/>
      </c>
      <c r="AC42">
        <f>HYPERLINK("https://klasma.github.io/Logging_2082/tillsyn/A 32383-2022 tillsynsbegäran.docx", "A 32383-2022")</f>
        <v/>
      </c>
      <c r="AD42">
        <f>HYPERLINK("https://klasma.github.io/Logging_2082/tillsynsmail/A 32383-2022 tillsynsbegäran mail.docx", "A 32383-2022")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46226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46226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Sädesärla</t>
        </is>
      </c>
      <c r="W44">
        <f>HYPERLINK("https://klasma.github.io/Logging_2082/artfynd/A 47064-2021 artfynd.xlsx", "A 47064-2021")</f>
        <v/>
      </c>
      <c r="X44">
        <f>HYPERLINK("https://klasma.github.io/Logging_2082/kartor/A 47064-2021 karta.png", "A 47064-2021")</f>
        <v/>
      </c>
      <c r="Y44">
        <f>HYPERLINK("https://klasma.github.io/Logging_2082/kartor_geotiff/A 47064-2021 georefererad karta.tif", "A 47064-2021")</f>
        <v/>
      </c>
      <c r="AA44">
        <f>HYPERLINK("https://klasma.github.io/Logging_2082/klagomål/A 47064-2021 FSC-klagomål.docx", "A 47064-2021")</f>
        <v/>
      </c>
      <c r="AB44">
        <f>HYPERLINK("https://klasma.github.io/Logging_2082/klagomålsmail/A 47064-2021 FSC-klagomål mail.docx", "A 47064-2021")</f>
        <v/>
      </c>
      <c r="AC44">
        <f>HYPERLINK("https://klasma.github.io/Logging_2082/tillsyn/A 47064-2021 tillsynsbegäran.docx", "A 47064-2021")</f>
        <v/>
      </c>
      <c r="AD44">
        <f>HYPERLINK("https://klasma.github.io/Logging_2082/tillsynsmail/A 47064-2021 tillsynsbegäran mail.docx", "A 47064-2021")</f>
        <v/>
      </c>
      <c r="AE44">
        <f>HYPERLINK("https://klasma.github.io/Logging_2082/fåglar/A 47064-2021 prioriterade fågelarter.docx", "A 47064-2021")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46226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46226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46226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46226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46226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46226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46226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46226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46226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46226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46226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46226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46226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46226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46226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46226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46226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46226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46226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46226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46226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46226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46226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46226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46226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46226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46226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46226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46226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46226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46226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46226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46226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46226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46226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46226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46226</v>
      </c>
      <c r="F83" t="inlineStr">
        <is>
          <t>DALARNAS LÄN</t>
        </is>
      </c>
      <c r="G83" t="inlineStr">
        <is>
          <t>SÄTER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  <c r="Z83">
        <f>HYPERLINK("https://klasma.github.io/Logging_2082/knärot/A 498-2025 karta knärot.png", "A 498-2025")</f>
        <v/>
      </c>
      <c r="AA83">
        <f>HYPERLINK("https://klasma.github.io/Logging_2082/klagomål/A 498-2025 FSC-klagomål.docx", "A 498-2025")</f>
        <v/>
      </c>
      <c r="AB83">
        <f>HYPERLINK("https://klasma.github.io/Logging_2082/klagomålsmail/A 498-2025 FSC-klagomål mail.docx", "A 498-2025")</f>
        <v/>
      </c>
      <c r="AC83">
        <f>HYPERLINK("https://klasma.github.io/Logging_2082/tillsyn/A 498-2025 tillsynsbegäran.docx", "A 498-2025")</f>
        <v/>
      </c>
      <c r="AD83">
        <f>HYPERLINK("https://klasma.github.io/Logging_2082/tillsynsmail/A 498-2025 tillsynsbegäran mail.docx", "A 498-2025")</f>
        <v/>
      </c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46226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8697-2023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46226</v>
      </c>
      <c r="F85" t="inlineStr">
        <is>
          <t>DALARNAS LÄN</t>
        </is>
      </c>
      <c r="G85" t="inlineStr">
        <is>
          <t>SÄTER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45161-2021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46226</v>
      </c>
      <c r="F86" t="inlineStr">
        <is>
          <t>DALARNAS LÄN</t>
        </is>
      </c>
      <c r="G86" t="inlineStr">
        <is>
          <t>SÄTER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46226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46226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46226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46226</v>
      </c>
      <c r="F90" t="inlineStr">
        <is>
          <t>DALARNAS LÄN</t>
        </is>
      </c>
      <c r="G90" t="inlineStr">
        <is>
          <t>SÄTER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44433</v>
      </c>
      <c r="E91" s="1" t="n">
        <v>46226</v>
      </c>
      <c r="F91" t="inlineStr">
        <is>
          <t>DALARNAS LÄN</t>
        </is>
      </c>
      <c r="G91" t="inlineStr">
        <is>
          <t>SÄTER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46226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46226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46226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46226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45604</v>
      </c>
      <c r="E96" s="1" t="n">
        <v>46226</v>
      </c>
      <c r="F96" t="inlineStr">
        <is>
          <t>DALARNAS LÄN</t>
        </is>
      </c>
      <c r="G96" t="inlineStr">
        <is>
          <t>SÄTER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51339-2024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46226</v>
      </c>
      <c r="F97" t="inlineStr">
        <is>
          <t>DALARNAS LÄN</t>
        </is>
      </c>
      <c r="G97" t="inlineStr">
        <is>
          <t>SÄTER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46226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46226</v>
      </c>
      <c r="F99" t="inlineStr">
        <is>
          <t>DALARNAS LÄN</t>
        </is>
      </c>
      <c r="G99" t="inlineStr">
        <is>
          <t>SÄTER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46226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64788-2023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45282</v>
      </c>
      <c r="E101" s="1" t="n">
        <v>46226</v>
      </c>
      <c r="F101" t="inlineStr">
        <is>
          <t>DALARNAS LÄN</t>
        </is>
      </c>
      <c r="G101" t="inlineStr">
        <is>
          <t>SÄTER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46226</v>
      </c>
      <c r="F102" t="inlineStr">
        <is>
          <t>DALARNAS LÄN</t>
        </is>
      </c>
      <c r="G102" t="inlineStr">
        <is>
          <t>SÄTER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46226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46226</v>
      </c>
      <c r="F104" t="inlineStr">
        <is>
          <t>DALARNAS LÄN</t>
        </is>
      </c>
      <c r="G104" t="inlineStr">
        <is>
          <t>SÄTER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46226</v>
      </c>
      <c r="F105" t="inlineStr">
        <is>
          <t>DALARNAS LÄN</t>
        </is>
      </c>
      <c r="G105" t="inlineStr">
        <is>
          <t>SÄTER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44784</v>
      </c>
      <c r="E106" s="1" t="n">
        <v>46226</v>
      </c>
      <c r="F106" t="inlineStr">
        <is>
          <t>DALARNAS LÄN</t>
        </is>
      </c>
      <c r="G106" t="inlineStr">
        <is>
          <t>SÄTER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46065</v>
      </c>
      <c r="E107" s="1" t="n">
        <v>46226</v>
      </c>
      <c r="F107" t="inlineStr">
        <is>
          <t>DALARNAS LÄN</t>
        </is>
      </c>
      <c r="G107" t="inlineStr">
        <is>
          <t>SÄTER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46064</v>
      </c>
      <c r="E108" s="1" t="n">
        <v>46226</v>
      </c>
      <c r="F108" t="inlineStr">
        <is>
          <t>DALARNAS LÄN</t>
        </is>
      </c>
      <c r="G108" t="inlineStr">
        <is>
          <t>SÄTER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46226</v>
      </c>
      <c r="F109" t="inlineStr">
        <is>
          <t>DALARNAS LÄN</t>
        </is>
      </c>
      <c r="G109" t="inlineStr">
        <is>
          <t>SÄTER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46226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8810-2026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46226</v>
      </c>
      <c r="F111" t="inlineStr">
        <is>
          <t>DALARNAS LÄN</t>
        </is>
      </c>
      <c r="G111" t="inlineStr">
        <is>
          <t>SÄTER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24617-2022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44727</v>
      </c>
      <c r="E112" s="1" t="n">
        <v>46226</v>
      </c>
      <c r="F112" t="inlineStr">
        <is>
          <t>DALARNAS LÄN</t>
        </is>
      </c>
      <c r="G112" t="inlineStr">
        <is>
          <t>SÄTER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46076</v>
      </c>
      <c r="E113" s="1" t="n">
        <v>46226</v>
      </c>
      <c r="F113" t="inlineStr">
        <is>
          <t>DALARNAS LÄN</t>
        </is>
      </c>
      <c r="G113" t="inlineStr">
        <is>
          <t>SÄTER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46226</v>
      </c>
      <c r="F114" t="inlineStr">
        <is>
          <t>DALARNAS LÄN</t>
        </is>
      </c>
      <c r="G114" t="inlineStr">
        <is>
          <t>SÄTER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46226</v>
      </c>
      <c r="F115" t="inlineStr">
        <is>
          <t>DALARNAS LÄN</t>
        </is>
      </c>
      <c r="G115" t="inlineStr">
        <is>
          <t>SÄTER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45232</v>
      </c>
      <c r="E116" s="1" t="n">
        <v>46226</v>
      </c>
      <c r="F116" t="inlineStr">
        <is>
          <t>DALARNAS LÄN</t>
        </is>
      </c>
      <c r="G116" t="inlineStr">
        <is>
          <t>SÄTER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46226</v>
      </c>
      <c r="F117" t="inlineStr">
        <is>
          <t>DALARNAS LÄN</t>
        </is>
      </c>
      <c r="G117" t="inlineStr">
        <is>
          <t>SÄTER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46226</v>
      </c>
      <c r="F118" t="inlineStr">
        <is>
          <t>DALARNAS LÄN</t>
        </is>
      </c>
      <c r="G118" t="inlineStr">
        <is>
          <t>SÄTER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46083</v>
      </c>
      <c r="E119" s="1" t="n">
        <v>46226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46226</v>
      </c>
      <c r="F120" t="inlineStr">
        <is>
          <t>DALARNAS LÄN</t>
        </is>
      </c>
      <c r="G120" t="inlineStr">
        <is>
          <t>SÄTER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45435</v>
      </c>
      <c r="E121" s="1" t="n">
        <v>46226</v>
      </c>
      <c r="F121" t="inlineStr">
        <is>
          <t>DALARNAS LÄN</t>
        </is>
      </c>
      <c r="G121" t="inlineStr">
        <is>
          <t>SÄTER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46226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46226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44609</v>
      </c>
      <c r="E124" s="1" t="n">
        <v>46226</v>
      </c>
      <c r="F124" t="inlineStr">
        <is>
          <t>DALARNAS LÄN</t>
        </is>
      </c>
      <c r="G124" t="inlineStr">
        <is>
          <t>SÄTER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46087</v>
      </c>
      <c r="E125" s="1" t="n">
        <v>46226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46092</v>
      </c>
      <c r="E126" s="1" t="n">
        <v>46226</v>
      </c>
      <c r="F126" t="inlineStr">
        <is>
          <t>DALARNAS LÄN</t>
        </is>
      </c>
      <c r="G126" t="inlineStr">
        <is>
          <t>SÄTER</t>
        </is>
      </c>
      <c r="I126" t="n">
        <v>9.800000000000001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46092</v>
      </c>
      <c r="E127" s="1" t="n">
        <v>46226</v>
      </c>
      <c r="F127" t="inlineStr">
        <is>
          <t>DALARNAS LÄN</t>
        </is>
      </c>
      <c r="G127" t="inlineStr">
        <is>
          <t>SÄTER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46226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46083</v>
      </c>
      <c r="E129" s="1" t="n">
        <v>46226</v>
      </c>
      <c r="F129" t="inlineStr">
        <is>
          <t>DALARNAS LÄN</t>
        </is>
      </c>
      <c r="G129" t="inlineStr">
        <is>
          <t>SÄTER</t>
        </is>
      </c>
      <c r="H129" t="inlineStr">
        <is>
          <t>Kommuner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46226</v>
      </c>
      <c r="F130" t="inlineStr">
        <is>
          <t>DALARNAS LÄN</t>
        </is>
      </c>
      <c r="G130" t="inlineStr">
        <is>
          <t>SÄTER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46226</v>
      </c>
      <c r="F131" t="inlineStr">
        <is>
          <t>DALARNAS LÄN</t>
        </is>
      </c>
      <c r="G131" t="inlineStr">
        <is>
          <t>SÄTER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46226</v>
      </c>
      <c r="F132" t="inlineStr">
        <is>
          <t>DALARNAS LÄN</t>
        </is>
      </c>
      <c r="G132" t="inlineStr">
        <is>
          <t>SÄTER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46098</v>
      </c>
      <c r="E133" s="1" t="n">
        <v>46226</v>
      </c>
      <c r="F133" t="inlineStr">
        <is>
          <t>DALARNAS LÄN</t>
        </is>
      </c>
      <c r="G133" t="inlineStr">
        <is>
          <t>SÄTER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46098</v>
      </c>
      <c r="E134" s="1" t="n">
        <v>46226</v>
      </c>
      <c r="F134" t="inlineStr">
        <is>
          <t>DALARNAS LÄN</t>
        </is>
      </c>
      <c r="G134" t="inlineStr">
        <is>
          <t>SÄTER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46226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46226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46226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46226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46226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46226</v>
      </c>
      <c r="F140" t="inlineStr">
        <is>
          <t>DALARNAS LÄN</t>
        </is>
      </c>
      <c r="G140" t="inlineStr">
        <is>
          <t>SÄTER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46226</v>
      </c>
      <c r="F141" t="inlineStr">
        <is>
          <t>DALARNAS LÄN</t>
        </is>
      </c>
      <c r="G141" t="inlineStr">
        <is>
          <t>SÄTER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46226</v>
      </c>
      <c r="F142" t="inlineStr">
        <is>
          <t>DALARNAS LÄN</t>
        </is>
      </c>
      <c r="G142" t="inlineStr">
        <is>
          <t>SÄTER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46226</v>
      </c>
      <c r="F143" t="inlineStr">
        <is>
          <t>DALARNAS LÄN</t>
        </is>
      </c>
      <c r="G143" t="inlineStr">
        <is>
          <t>SÄTER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46226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46226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46226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46226</v>
      </c>
      <c r="F147" t="inlineStr">
        <is>
          <t>DALARNAS LÄN</t>
        </is>
      </c>
      <c r="G147" t="inlineStr">
        <is>
          <t>SÄTER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46226</v>
      </c>
      <c r="F148" t="inlineStr">
        <is>
          <t>DALARNAS LÄN</t>
        </is>
      </c>
      <c r="G148" t="inlineStr">
        <is>
          <t>SÄTER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46226</v>
      </c>
      <c r="F149" t="inlineStr">
        <is>
          <t>DALARNAS LÄN</t>
        </is>
      </c>
      <c r="G149" t="inlineStr">
        <is>
          <t>SÄTER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46226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46226</v>
      </c>
      <c r="F151" t="inlineStr">
        <is>
          <t>DALARNAS LÄN</t>
        </is>
      </c>
      <c r="G151" t="inlineStr">
        <is>
          <t>SÄTER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46092</v>
      </c>
      <c r="E152" s="1" t="n">
        <v>46226</v>
      </c>
      <c r="F152" t="inlineStr">
        <is>
          <t>DALARNAS LÄN</t>
        </is>
      </c>
      <c r="G152" t="inlineStr">
        <is>
          <t>SÄTER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46226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46226</v>
      </c>
      <c r="F154" t="inlineStr">
        <is>
          <t>DALARNAS LÄN</t>
        </is>
      </c>
      <c r="G154" t="inlineStr">
        <is>
          <t>SÄTER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46226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45138</v>
      </c>
      <c r="E156" s="1" t="n">
        <v>46226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46226</v>
      </c>
      <c r="F157" t="inlineStr">
        <is>
          <t>DALARNAS LÄN</t>
        </is>
      </c>
      <c r="G157" t="inlineStr">
        <is>
          <t>SÄTER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41564-2021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44425</v>
      </c>
      <c r="E158" s="1" t="n">
        <v>46226</v>
      </c>
      <c r="F158" t="inlineStr">
        <is>
          <t>DALARNAS LÄN</t>
        </is>
      </c>
      <c r="G158" t="inlineStr">
        <is>
          <t>SÄTER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46226</v>
      </c>
      <c r="F159" t="inlineStr">
        <is>
          <t>DALARNAS LÄN</t>
        </is>
      </c>
      <c r="G159" t="inlineStr">
        <is>
          <t>SÄTER</t>
        </is>
      </c>
      <c r="H159" t="inlineStr">
        <is>
          <t>Kommuner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46226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15.1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46226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46226</v>
      </c>
      <c r="F162" t="inlineStr">
        <is>
          <t>DALARNAS LÄN</t>
        </is>
      </c>
      <c r="G162" t="inlineStr">
        <is>
          <t>SÄTER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46226</v>
      </c>
      <c r="F163" t="inlineStr">
        <is>
          <t>DALARNAS LÄN</t>
        </is>
      </c>
      <c r="G163" t="inlineStr">
        <is>
          <t>SÄTER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46226</v>
      </c>
      <c r="F164" t="inlineStr">
        <is>
          <t>DALARNAS LÄN</t>
        </is>
      </c>
      <c r="G164" t="inlineStr">
        <is>
          <t>SÄTER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46226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46226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46226</v>
      </c>
      <c r="F167" t="inlineStr">
        <is>
          <t>DALARNAS LÄN</t>
        </is>
      </c>
      <c r="G167" t="inlineStr">
        <is>
          <t>SÄTER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46226</v>
      </c>
      <c r="F168" t="inlineStr">
        <is>
          <t>DALARNAS LÄN</t>
        </is>
      </c>
      <c r="G168" t="inlineStr">
        <is>
          <t>SÄTER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46226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46226</v>
      </c>
      <c r="F170" t="inlineStr">
        <is>
          <t>DALARNAS LÄN</t>
        </is>
      </c>
      <c r="G170" t="inlineStr">
        <is>
          <t>SÄTER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53559-2025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45960</v>
      </c>
      <c r="E171" s="1" t="n">
        <v>46226</v>
      </c>
      <c r="F171" t="inlineStr">
        <is>
          <t>DALARNAS LÄN</t>
        </is>
      </c>
      <c r="G171" t="inlineStr">
        <is>
          <t>SÄTER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46226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46226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46226</v>
      </c>
      <c r="F174" t="inlineStr">
        <is>
          <t>DALARNAS LÄN</t>
        </is>
      </c>
      <c r="G174" t="inlineStr">
        <is>
          <t>SÄTER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46226</v>
      </c>
      <c r="F175" t="inlineStr">
        <is>
          <t>DALARNAS LÄN</t>
        </is>
      </c>
      <c r="G175" t="inlineStr">
        <is>
          <t>SÄTER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45574</v>
      </c>
      <c r="E176" s="1" t="n">
        <v>46226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46226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46226</v>
      </c>
      <c r="F178" t="inlineStr">
        <is>
          <t>DALARNAS LÄN</t>
        </is>
      </c>
      <c r="G178" t="inlineStr">
        <is>
          <t>SÄTER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46226</v>
      </c>
      <c r="F179" t="inlineStr">
        <is>
          <t>DALARNAS LÄN</t>
        </is>
      </c>
      <c r="G179" t="inlineStr">
        <is>
          <t>SÄTER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46226</v>
      </c>
      <c r="F180" t="inlineStr">
        <is>
          <t>DALARNAS LÄN</t>
        </is>
      </c>
      <c r="G180" t="inlineStr">
        <is>
          <t>SÄTER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63654-2025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46226</v>
      </c>
      <c r="F181" t="inlineStr">
        <is>
          <t>DALARNAS LÄN</t>
        </is>
      </c>
      <c r="G181" t="inlineStr">
        <is>
          <t>SÄTER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46226</v>
      </c>
      <c r="F182" t="inlineStr">
        <is>
          <t>DALARNAS LÄN</t>
        </is>
      </c>
      <c r="G182" t="inlineStr">
        <is>
          <t>SÄTER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46226</v>
      </c>
      <c r="F183" t="inlineStr">
        <is>
          <t>DALARNAS LÄN</t>
        </is>
      </c>
      <c r="G183" t="inlineStr">
        <is>
          <t>SÄTER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45567</v>
      </c>
      <c r="E184" s="1" t="n">
        <v>46226</v>
      </c>
      <c r="F184" t="inlineStr">
        <is>
          <t>DALARNAS LÄN</t>
        </is>
      </c>
      <c r="G184" t="inlineStr">
        <is>
          <t>SÄTER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46226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46226</v>
      </c>
      <c r="F186" t="inlineStr">
        <is>
          <t>DALARNAS LÄN</t>
        </is>
      </c>
      <c r="G186" t="inlineStr">
        <is>
          <t>SÄTER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46226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46226</v>
      </c>
      <c r="F188" t="inlineStr">
        <is>
          <t>DALARNAS LÄN</t>
        </is>
      </c>
      <c r="G188" t="inlineStr">
        <is>
          <t>SÄTER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46226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46073</v>
      </c>
      <c r="E190" s="1" t="n">
        <v>46226</v>
      </c>
      <c r="F190" t="inlineStr">
        <is>
          <t>DALARNAS LÄN</t>
        </is>
      </c>
      <c r="G190" t="inlineStr">
        <is>
          <t>SÄTER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46226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46226</v>
      </c>
      <c r="F192" t="inlineStr">
        <is>
          <t>DALARNAS LÄN</t>
        </is>
      </c>
      <c r="G192" t="inlineStr">
        <is>
          <t>SÄTER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46226</v>
      </c>
      <c r="F193" t="inlineStr">
        <is>
          <t>DALARNAS LÄN</t>
        </is>
      </c>
      <c r="G193" t="inlineStr">
        <is>
          <t>SÄTER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46226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46226</v>
      </c>
      <c r="F195" t="inlineStr">
        <is>
          <t>DALARNAS LÄN</t>
        </is>
      </c>
      <c r="G195" t="inlineStr">
        <is>
          <t>SÄTER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46226</v>
      </c>
      <c r="F196" t="inlineStr">
        <is>
          <t>DALARNAS LÄN</t>
        </is>
      </c>
      <c r="G196" t="inlineStr">
        <is>
          <t>SÄTER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46226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46226</v>
      </c>
      <c r="F198" t="inlineStr">
        <is>
          <t>DALARNAS LÄN</t>
        </is>
      </c>
      <c r="G198" t="inlineStr">
        <is>
          <t>SÄTER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46226</v>
      </c>
      <c r="F199" t="inlineStr">
        <is>
          <t>DALARNAS LÄN</t>
        </is>
      </c>
      <c r="G199" t="inlineStr">
        <is>
          <t>SÄTER</t>
        </is>
      </c>
      <c r="I199" t="n">
        <v>13.2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46226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46098</v>
      </c>
      <c r="E201" s="1" t="n">
        <v>46226</v>
      </c>
      <c r="F201" t="inlineStr">
        <is>
          <t>DALARNAS LÄN</t>
        </is>
      </c>
      <c r="G201" t="inlineStr">
        <is>
          <t>SÄTER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46226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44732</v>
      </c>
      <c r="E203" s="1" t="n">
        <v>46226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46226</v>
      </c>
      <c r="F204" t="inlineStr">
        <is>
          <t>DALARNAS LÄN</t>
        </is>
      </c>
      <c r="G204" t="inlineStr">
        <is>
          <t>SÄTER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44982</v>
      </c>
      <c r="E205" s="1" t="n">
        <v>46226</v>
      </c>
      <c r="F205" t="inlineStr">
        <is>
          <t>DALARNAS LÄN</t>
        </is>
      </c>
      <c r="G205" t="inlineStr">
        <is>
          <t>SÄTER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46226</v>
      </c>
      <c r="F206" t="inlineStr">
        <is>
          <t>DALARNAS LÄN</t>
        </is>
      </c>
      <c r="G206" t="inlineStr">
        <is>
          <t>SÄTER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46226</v>
      </c>
      <c r="F207" t="inlineStr">
        <is>
          <t>DALARNAS LÄN</t>
        </is>
      </c>
      <c r="G207" t="inlineStr">
        <is>
          <t>SÄTER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46226</v>
      </c>
      <c r="F208" t="inlineStr">
        <is>
          <t>DALARNAS LÄN</t>
        </is>
      </c>
      <c r="G208" t="inlineStr">
        <is>
          <t>SÄTER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46226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46226</v>
      </c>
      <c r="F210" t="inlineStr">
        <is>
          <t>DALARNAS LÄN</t>
        </is>
      </c>
      <c r="G210" t="inlineStr">
        <is>
          <t>SÄTER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46226</v>
      </c>
      <c r="F211" t="inlineStr">
        <is>
          <t>DALARNAS LÄN</t>
        </is>
      </c>
      <c r="G211" t="inlineStr">
        <is>
          <t>SÄTER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46226</v>
      </c>
      <c r="F212" t="inlineStr">
        <is>
          <t>DALARNAS LÄN</t>
        </is>
      </c>
      <c r="G212" t="inlineStr">
        <is>
          <t>SÄTER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44896</v>
      </c>
      <c r="E213" s="1" t="n">
        <v>46226</v>
      </c>
      <c r="F213" t="inlineStr">
        <is>
          <t>DALARNAS LÄN</t>
        </is>
      </c>
      <c r="G213" t="inlineStr">
        <is>
          <t>SÄTER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HYPERLINK("https://klasma.github.io/Logging_2082/knärot/A 57416-2022 karta knärot.png", "A 57416-2022")</f>
        <v/>
      </c>
      <c r="AA213">
        <f>HYPERLINK("https://klasma.github.io/Logging_2082/klagomål/A 57416-2022 FSC-klagomål.docx", "A 57416-2022")</f>
        <v/>
      </c>
      <c r="AB213">
        <f>HYPERLINK("https://klasma.github.io/Logging_2082/klagomålsmail/A 57416-2022 FSC-klagomål mail.docx", "A 57416-2022")</f>
        <v/>
      </c>
      <c r="AC213">
        <f>HYPERLINK("https://klasma.github.io/Logging_2082/tillsyn/A 57416-2022 tillsynsbegäran.docx", "A 57416-2022")</f>
        <v/>
      </c>
      <c r="AD213">
        <f>HYPERLINK("https://klasma.github.io/Logging_2082/tillsynsmail/A 57416-2022 tillsynsbegäran mail.docx", "A 57416-2022")</f>
        <v/>
      </c>
    </row>
    <row r="214" ht="15" customHeight="1">
      <c r="A214" t="inlineStr">
        <is>
          <t>A 6318-2026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46226</v>
      </c>
      <c r="F214" t="inlineStr">
        <is>
          <t>DALARNAS LÄN</t>
        </is>
      </c>
      <c r="G214" t="inlineStr">
        <is>
          <t>SÄTER</t>
        </is>
      </c>
      <c r="H214" t="inlineStr">
        <is>
          <t>Kommuner</t>
        </is>
      </c>
      <c r="I214" t="n">
        <v>42.6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46226</v>
      </c>
      <c r="F215" t="inlineStr">
        <is>
          <t>DALARNAS LÄN</t>
        </is>
      </c>
      <c r="G215" t="inlineStr">
        <is>
          <t>SÄTER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63350-2025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46226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46226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46091</v>
      </c>
      <c r="E218" s="1" t="n">
        <v>46226</v>
      </c>
      <c r="F218" t="inlineStr">
        <is>
          <t>DALARNAS LÄN</t>
        </is>
      </c>
      <c r="G218" t="inlineStr">
        <is>
          <t>SÄTER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46226</v>
      </c>
      <c r="F219" t="inlineStr">
        <is>
          <t>DALARNAS LÄN</t>
        </is>
      </c>
      <c r="G219" t="inlineStr">
        <is>
          <t>SÄTER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46026</v>
      </c>
      <c r="E220" s="1" t="n">
        <v>46226</v>
      </c>
      <c r="F220" t="inlineStr">
        <is>
          <t>DALARNAS LÄN</t>
        </is>
      </c>
      <c r="G220" t="inlineStr">
        <is>
          <t>SÄTER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46226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46226</v>
      </c>
      <c r="F222" t="inlineStr">
        <is>
          <t>DALARNAS LÄN</t>
        </is>
      </c>
      <c r="G222" t="inlineStr">
        <is>
          <t>SÄTER</t>
        </is>
      </c>
      <c r="I222" t="n">
        <v>12.1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46226</v>
      </c>
      <c r="F223" t="inlineStr">
        <is>
          <t>DALARNAS LÄN</t>
        </is>
      </c>
      <c r="G223" t="inlineStr">
        <is>
          <t>SÄTER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45006</v>
      </c>
      <c r="E224" s="1" t="n">
        <v>46226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46226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46044</v>
      </c>
      <c r="E226" s="1" t="n">
        <v>46226</v>
      </c>
      <c r="F226" t="inlineStr">
        <is>
          <t>DALARNAS LÄN</t>
        </is>
      </c>
      <c r="G226" t="inlineStr">
        <is>
          <t>SÄTER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46030</v>
      </c>
      <c r="E227" s="1" t="n">
        <v>46226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46226</v>
      </c>
      <c r="F228" t="inlineStr">
        <is>
          <t>DALARNAS LÄN</t>
        </is>
      </c>
      <c r="G228" t="inlineStr">
        <is>
          <t>SÄTER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46226</v>
      </c>
      <c r="F229" t="inlineStr">
        <is>
          <t>DALARNAS LÄN</t>
        </is>
      </c>
      <c r="G229" t="inlineStr">
        <is>
          <t>SÄTER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46226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46226</v>
      </c>
      <c r="F231" t="inlineStr">
        <is>
          <t>DALARNAS LÄN</t>
        </is>
      </c>
      <c r="G231" t="inlineStr">
        <is>
          <t>SÄTER</t>
        </is>
      </c>
      <c r="H231" t="inlineStr">
        <is>
          <t>Kommuner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46226</v>
      </c>
      <c r="F232" t="inlineStr">
        <is>
          <t>DALARNAS LÄN</t>
        </is>
      </c>
      <c r="G232" t="inlineStr">
        <is>
          <t>SÄTER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44935</v>
      </c>
      <c r="E233" s="1" t="n">
        <v>46226</v>
      </c>
      <c r="F233" t="inlineStr">
        <is>
          <t>DALARNAS LÄN</t>
        </is>
      </c>
      <c r="G233" t="inlineStr">
        <is>
          <t>SÄTER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46226</v>
      </c>
      <c r="F234" t="inlineStr">
        <is>
          <t>DALARNAS LÄN</t>
        </is>
      </c>
      <c r="G234" t="inlineStr">
        <is>
          <t>SÄTER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44840</v>
      </c>
      <c r="E235" s="1" t="n">
        <v>46226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46226</v>
      </c>
      <c r="F236" t="inlineStr">
        <is>
          <t>DALARNAS LÄN</t>
        </is>
      </c>
      <c r="G236" t="inlineStr">
        <is>
          <t>SÄTER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46226</v>
      </c>
      <c r="F237" t="inlineStr">
        <is>
          <t>DALARNAS LÄN</t>
        </is>
      </c>
      <c r="G237" t="inlineStr">
        <is>
          <t>SÄTER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46226</v>
      </c>
      <c r="F238" t="inlineStr">
        <is>
          <t>DALARNAS LÄN</t>
        </is>
      </c>
      <c r="G238" t="inlineStr">
        <is>
          <t>SÄTER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46226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46226</v>
      </c>
      <c r="F240" t="inlineStr">
        <is>
          <t>DALARNAS LÄN</t>
        </is>
      </c>
      <c r="G240" t="inlineStr">
        <is>
          <t>SÄTER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46226</v>
      </c>
      <c r="F241" t="inlineStr">
        <is>
          <t>DALARNAS LÄN</t>
        </is>
      </c>
      <c r="G241" t="inlineStr">
        <is>
          <t>SÄTER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3445-2026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46042</v>
      </c>
      <c r="E242" s="1" t="n">
        <v>46226</v>
      </c>
      <c r="F242" t="inlineStr">
        <is>
          <t>DALARNAS LÄN</t>
        </is>
      </c>
      <c r="G242" t="inlineStr">
        <is>
          <t>SÄTER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46226</v>
      </c>
      <c r="F243" t="inlineStr">
        <is>
          <t>DALARNAS LÄN</t>
        </is>
      </c>
      <c r="G243" t="inlineStr">
        <is>
          <t>SÄTER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46226</v>
      </c>
      <c r="F244" t="inlineStr">
        <is>
          <t>DALARNAS LÄN</t>
        </is>
      </c>
      <c r="G244" t="inlineStr">
        <is>
          <t>SÄTER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46226</v>
      </c>
      <c r="F245" t="inlineStr">
        <is>
          <t>DALARNAS LÄN</t>
        </is>
      </c>
      <c r="G245" t="inlineStr">
        <is>
          <t>SÄTER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46226</v>
      </c>
      <c r="F246" t="inlineStr">
        <is>
          <t>DALARNAS LÄN</t>
        </is>
      </c>
      <c r="G246" t="inlineStr">
        <is>
          <t>SÄTER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28281-2026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46196</v>
      </c>
      <c r="E247" s="1" t="n">
        <v>46226</v>
      </c>
      <c r="F247" t="inlineStr">
        <is>
          <t>DALARNAS LÄN</t>
        </is>
      </c>
      <c r="G247" t="inlineStr">
        <is>
          <t>SÄTER</t>
        </is>
      </c>
      <c r="H247" t="inlineStr">
        <is>
          <t>Sveaskog</t>
        </is>
      </c>
      <c r="I247" t="n">
        <v>19.8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46226</v>
      </c>
      <c r="F248" t="inlineStr">
        <is>
          <t>DALARNAS LÄN</t>
        </is>
      </c>
      <c r="G248" t="inlineStr">
        <is>
          <t>SÄTER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46226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46051</v>
      </c>
      <c r="E250" s="1" t="n">
        <v>46226</v>
      </c>
      <c r="F250" t="inlineStr">
        <is>
          <t>DALARNAS LÄN</t>
        </is>
      </c>
      <c r="G250" t="inlineStr">
        <is>
          <t>SÄTER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45216</v>
      </c>
      <c r="E251" s="1" t="n">
        <v>46226</v>
      </c>
      <c r="F251" t="inlineStr">
        <is>
          <t>DALARNAS LÄN</t>
        </is>
      </c>
      <c r="G251" t="inlineStr">
        <is>
          <t>SÄTER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45321</v>
      </c>
      <c r="E252" s="1" t="n">
        <v>46226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46226</v>
      </c>
      <c r="F253" t="inlineStr">
        <is>
          <t>DALARNAS LÄN</t>
        </is>
      </c>
      <c r="G253" t="inlineStr">
        <is>
          <t>SÄTER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41643-2023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45175</v>
      </c>
      <c r="E254" s="1" t="n">
        <v>46226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46226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46226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46226</v>
      </c>
      <c r="F257" t="inlineStr">
        <is>
          <t>DALARNAS LÄN</t>
        </is>
      </c>
      <c r="G257" t="inlineStr">
        <is>
          <t>SÄTER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51320-2024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45604</v>
      </c>
      <c r="E258" s="1" t="n">
        <v>46226</v>
      </c>
      <c r="F258" t="inlineStr">
        <is>
          <t>DALARNAS LÄN</t>
        </is>
      </c>
      <c r="G258" t="inlineStr">
        <is>
          <t>SÄTER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51324-2024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45604</v>
      </c>
      <c r="E259" s="1" t="n">
        <v>46226</v>
      </c>
      <c r="F259" t="inlineStr">
        <is>
          <t>DALARNAS LÄN</t>
        </is>
      </c>
      <c r="G259" t="inlineStr">
        <is>
          <t>SÄTER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46226</v>
      </c>
      <c r="F260" t="inlineStr">
        <is>
          <t>DALARNAS LÄN</t>
        </is>
      </c>
      <c r="G260" t="inlineStr">
        <is>
          <t>SÄTER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46226</v>
      </c>
      <c r="F261" t="inlineStr">
        <is>
          <t>DALARNAS LÄN</t>
        </is>
      </c>
      <c r="G261" t="inlineStr">
        <is>
          <t>SÄTER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51323-2024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45604</v>
      </c>
      <c r="E262" s="1" t="n">
        <v>46226</v>
      </c>
      <c r="F262" t="inlineStr">
        <is>
          <t>DALARNAS LÄN</t>
        </is>
      </c>
      <c r="G262" t="inlineStr">
        <is>
          <t>SÄTER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46226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45527</v>
      </c>
      <c r="E264" s="1" t="n">
        <v>46226</v>
      </c>
      <c r="F264" t="inlineStr">
        <is>
          <t>DALARNAS LÄN</t>
        </is>
      </c>
      <c r="G264" t="inlineStr">
        <is>
          <t>SÄTER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46226</v>
      </c>
      <c r="F265" t="inlineStr">
        <is>
          <t>DALARNAS LÄN</t>
        </is>
      </c>
      <c r="G265" t="inlineStr">
        <is>
          <t>SÄTER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46226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46226</v>
      </c>
      <c r="F267" t="inlineStr">
        <is>
          <t>DALARNAS LÄN</t>
        </is>
      </c>
      <c r="G267" t="inlineStr">
        <is>
          <t>SÄTER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45527</v>
      </c>
      <c r="E268" s="1" t="n">
        <v>46226</v>
      </c>
      <c r="F268" t="inlineStr">
        <is>
          <t>DALARNAS LÄN</t>
        </is>
      </c>
      <c r="G268" t="inlineStr">
        <is>
          <t>SÄTER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45342</v>
      </c>
      <c r="E269" s="1" t="n">
        <v>46226</v>
      </c>
      <c r="F269" t="inlineStr">
        <is>
          <t>DALARNAS LÄN</t>
        </is>
      </c>
      <c r="G269" t="inlineStr">
        <is>
          <t>SÄTER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46226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46226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46226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46226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46226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46164</v>
      </c>
      <c r="E275" s="1" t="n">
        <v>46226</v>
      </c>
      <c r="F275" t="inlineStr">
        <is>
          <t>DALARNAS LÄN</t>
        </is>
      </c>
      <c r="G275" t="inlineStr">
        <is>
          <t>SÄTER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46226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46226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46226</v>
      </c>
      <c r="F278" t="inlineStr">
        <is>
          <t>DALARNAS LÄN</t>
        </is>
      </c>
      <c r="G278" t="inlineStr">
        <is>
          <t>SÄTER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45330</v>
      </c>
      <c r="E279" s="1" t="n">
        <v>46226</v>
      </c>
      <c r="F279" t="inlineStr">
        <is>
          <t>DALARNAS LÄN</t>
        </is>
      </c>
      <c r="G279" t="inlineStr">
        <is>
          <t>SÄTER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45411</v>
      </c>
      <c r="E280" s="1" t="n">
        <v>46226</v>
      </c>
      <c r="F280" t="inlineStr">
        <is>
          <t>DALARNAS LÄN</t>
        </is>
      </c>
      <c r="G280" t="inlineStr">
        <is>
          <t>SÄTER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46226</v>
      </c>
      <c r="F281" t="inlineStr">
        <is>
          <t>DALARNAS LÄN</t>
        </is>
      </c>
      <c r="G281" t="inlineStr">
        <is>
          <t>SÄTER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46211</v>
      </c>
      <c r="E282" s="1" t="n">
        <v>46226</v>
      </c>
      <c r="F282" t="inlineStr">
        <is>
          <t>DALARNAS LÄN</t>
        </is>
      </c>
      <c r="G282" t="inlineStr">
        <is>
          <t>SÄTER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46226</v>
      </c>
      <c r="F283" t="inlineStr">
        <is>
          <t>DALARNAS LÄN</t>
        </is>
      </c>
      <c r="G283" t="inlineStr">
        <is>
          <t>SÄTER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46226</v>
      </c>
      <c r="F284" t="inlineStr">
        <is>
          <t>DALARNAS LÄN</t>
        </is>
      </c>
      <c r="G284" t="inlineStr">
        <is>
          <t>SÄTER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46226</v>
      </c>
      <c r="F285" t="inlineStr">
        <is>
          <t>DALARNAS LÄN</t>
        </is>
      </c>
      <c r="G285" t="inlineStr">
        <is>
          <t>SÄTER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45576</v>
      </c>
      <c r="E286" s="1" t="n">
        <v>46226</v>
      </c>
      <c r="F286" t="inlineStr">
        <is>
          <t>DALARNAS LÄN</t>
        </is>
      </c>
      <c r="G286" t="inlineStr">
        <is>
          <t>SÄTER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46226</v>
      </c>
      <c r="F287" t="inlineStr">
        <is>
          <t>DALARNAS LÄN</t>
        </is>
      </c>
      <c r="G287" t="inlineStr">
        <is>
          <t>SÄTER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46226</v>
      </c>
      <c r="F288" t="inlineStr">
        <is>
          <t>DALARNAS LÄN</t>
        </is>
      </c>
      <c r="G288" t="inlineStr">
        <is>
          <t>SÄTER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46226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46226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46226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39262-2021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44413</v>
      </c>
      <c r="E292" s="1" t="n">
        <v>46226</v>
      </c>
      <c r="F292" t="inlineStr">
        <is>
          <t>DALARNAS LÄN</t>
        </is>
      </c>
      <c r="G292" t="inlineStr">
        <is>
          <t>SÄTER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46226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45526</v>
      </c>
      <c r="E294" s="1" t="n">
        <v>46226</v>
      </c>
      <c r="F294" t="inlineStr">
        <is>
          <t>DALARNAS LÄN</t>
        </is>
      </c>
      <c r="G294" t="inlineStr">
        <is>
          <t>SÄTER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46226</v>
      </c>
      <c r="F295" t="inlineStr">
        <is>
          <t>DALARNAS LÄN</t>
        </is>
      </c>
      <c r="G295" t="inlineStr">
        <is>
          <t>SÄTER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46226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45063</v>
      </c>
      <c r="E297" s="1" t="n">
        <v>46226</v>
      </c>
      <c r="F297" t="inlineStr">
        <is>
          <t>DALARNAS LÄN</t>
        </is>
      </c>
      <c r="G297" t="inlineStr">
        <is>
          <t>SÄTER</t>
        </is>
      </c>
      <c r="H297" t="inlineStr">
        <is>
          <t>Kommuner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46226</v>
      </c>
      <c r="F298" t="inlineStr">
        <is>
          <t>DALARNAS LÄN</t>
        </is>
      </c>
      <c r="G298" t="inlineStr">
        <is>
          <t>SÄTER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46010</v>
      </c>
      <c r="E299" s="1" t="n">
        <v>46226</v>
      </c>
      <c r="F299" t="inlineStr">
        <is>
          <t>DALARNAS LÄN</t>
        </is>
      </c>
      <c r="G299" t="inlineStr">
        <is>
          <t>SÄTER</t>
        </is>
      </c>
      <c r="H299" t="inlineStr">
        <is>
          <t>Övriga statliga verk och myndigheter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46226</v>
      </c>
      <c r="F300" t="inlineStr">
        <is>
          <t>DALARNAS LÄN</t>
        </is>
      </c>
      <c r="G300" t="inlineStr">
        <is>
          <t>SÄTER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46226</v>
      </c>
      <c r="F301" t="inlineStr">
        <is>
          <t>DALARNAS LÄN</t>
        </is>
      </c>
      <c r="G301" t="inlineStr">
        <is>
          <t>SÄTER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44463</v>
      </c>
      <c r="E302" s="1" t="n">
        <v>46226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45455</v>
      </c>
      <c r="E303" s="1" t="n">
        <v>46226</v>
      </c>
      <c r="F303" t="inlineStr">
        <is>
          <t>DALARNAS LÄN</t>
        </is>
      </c>
      <c r="G303" t="inlineStr">
        <is>
          <t>SÄTER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52220-2021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44462</v>
      </c>
      <c r="E304" s="1" t="n">
        <v>46226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46226</v>
      </c>
      <c r="F305" t="inlineStr">
        <is>
          <t>DALARNAS LÄN</t>
        </is>
      </c>
      <c r="G305" t="inlineStr">
        <is>
          <t>SÄTER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46226</v>
      </c>
      <c r="F306" t="inlineStr">
        <is>
          <t>DALARNAS LÄN</t>
        </is>
      </c>
      <c r="G306" t="inlineStr">
        <is>
          <t>SÄTER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44812</v>
      </c>
      <c r="E307" s="1" t="n">
        <v>46226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44691</v>
      </c>
      <c r="E308" s="1" t="n">
        <v>46226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46226</v>
      </c>
      <c r="F309" t="inlineStr">
        <is>
          <t>DALARNAS LÄN</t>
        </is>
      </c>
      <c r="G309" t="inlineStr">
        <is>
          <t>SÄTER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46226</v>
      </c>
      <c r="F310" t="inlineStr">
        <is>
          <t>DALARNAS LÄN</t>
        </is>
      </c>
      <c r="G310" t="inlineStr">
        <is>
          <t>SÄTER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69744-2021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44532</v>
      </c>
      <c r="E311" s="1" t="n">
        <v>46226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45469</v>
      </c>
      <c r="E312" s="1" t="n">
        <v>46226</v>
      </c>
      <c r="F312" t="inlineStr">
        <is>
          <t>DALARNAS LÄN</t>
        </is>
      </c>
      <c r="G312" t="inlineStr">
        <is>
          <t>SÄTER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46226</v>
      </c>
      <c r="F313" t="inlineStr">
        <is>
          <t>DALARNAS LÄN</t>
        </is>
      </c>
      <c r="G313" t="inlineStr">
        <is>
          <t>SÄTER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44595</v>
      </c>
      <c r="E314" s="1" t="n">
        <v>46226</v>
      </c>
      <c r="F314" t="inlineStr">
        <is>
          <t>DALARNAS LÄN</t>
        </is>
      </c>
      <c r="G314" t="inlineStr">
        <is>
          <t>SÄTER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45644</v>
      </c>
      <c r="E315" s="1" t="n">
        <v>46226</v>
      </c>
      <c r="F315" t="inlineStr">
        <is>
          <t>DALARNAS LÄN</t>
        </is>
      </c>
      <c r="G315" t="inlineStr">
        <is>
          <t>SÄTER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46226</v>
      </c>
      <c r="F316" t="inlineStr">
        <is>
          <t>DALARNAS LÄN</t>
        </is>
      </c>
      <c r="G316" t="inlineStr">
        <is>
          <t>SÄTER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46226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46226</v>
      </c>
      <c r="F318" t="inlineStr">
        <is>
          <t>DALARNAS LÄN</t>
        </is>
      </c>
      <c r="G318" t="inlineStr">
        <is>
          <t>SÄTER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44817</v>
      </c>
      <c r="E319" s="1" t="n">
        <v>46226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46226</v>
      </c>
      <c r="F320" t="inlineStr">
        <is>
          <t>DALARNAS LÄN</t>
        </is>
      </c>
      <c r="G320" t="inlineStr">
        <is>
          <t>SÄTER</t>
        </is>
      </c>
      <c r="H320" t="inlineStr">
        <is>
          <t>Kommuner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41556-2021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44425</v>
      </c>
      <c r="E321" s="1" t="n">
        <v>46226</v>
      </c>
      <c r="F321" t="inlineStr">
        <is>
          <t>DALARNAS LÄN</t>
        </is>
      </c>
      <c r="G321" t="inlineStr">
        <is>
          <t>SÄTER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46226</v>
      </c>
      <c r="F322" t="inlineStr">
        <is>
          <t>DALARNAS LÄN</t>
        </is>
      </c>
      <c r="G322" t="inlineStr">
        <is>
          <t>SÄTER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45622</v>
      </c>
      <c r="E323" s="1" t="n">
        <v>46226</v>
      </c>
      <c r="F323" t="inlineStr">
        <is>
          <t>DALARNAS LÄN</t>
        </is>
      </c>
      <c r="G323" t="inlineStr">
        <is>
          <t>SÄTER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46226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46226</v>
      </c>
      <c r="F325" t="inlineStr">
        <is>
          <t>DALARNAS LÄN</t>
        </is>
      </c>
      <c r="G325" t="inlineStr">
        <is>
          <t>SÄTER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46226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51333-2024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45604</v>
      </c>
      <c r="E327" s="1" t="n">
        <v>46226</v>
      </c>
      <c r="F327" t="inlineStr">
        <is>
          <t>DALARNAS LÄN</t>
        </is>
      </c>
      <c r="G327" t="inlineStr">
        <is>
          <t>SÄTER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46226</v>
      </c>
      <c r="F328" t="inlineStr">
        <is>
          <t>DALARNAS LÄN</t>
        </is>
      </c>
      <c r="G328" t="inlineStr">
        <is>
          <t>SÄTER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32892-2022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44784</v>
      </c>
      <c r="E329" s="1" t="n">
        <v>46226</v>
      </c>
      <c r="F329" t="inlineStr">
        <is>
          <t>DALARNAS LÄN</t>
        </is>
      </c>
      <c r="G329" t="inlineStr">
        <is>
          <t>SÄTER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46226</v>
      </c>
      <c r="F330" t="inlineStr">
        <is>
          <t>DALARNAS LÄN</t>
        </is>
      </c>
      <c r="G330" t="inlineStr">
        <is>
          <t>SÄTER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45453</v>
      </c>
      <c r="E331" s="1" t="n">
        <v>46226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46226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46226</v>
      </c>
      <c r="F333" t="inlineStr">
        <is>
          <t>DALARNAS LÄN</t>
        </is>
      </c>
      <c r="G333" t="inlineStr">
        <is>
          <t>SÄTER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45527</v>
      </c>
      <c r="E334" s="1" t="n">
        <v>46226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46226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12957-2022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44643</v>
      </c>
      <c r="E336" s="1" t="n">
        <v>46226</v>
      </c>
      <c r="F336" t="inlineStr">
        <is>
          <t>DALARNAS LÄN</t>
        </is>
      </c>
      <c r="G336" t="inlineStr">
        <is>
          <t>SÄTER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46226</v>
      </c>
      <c r="F337" t="inlineStr">
        <is>
          <t>DALARNAS LÄN</t>
        </is>
      </c>
      <c r="G337" t="inlineStr">
        <is>
          <t>SÄTER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46226</v>
      </c>
      <c r="F338" t="inlineStr">
        <is>
          <t>DALARNAS LÄN</t>
        </is>
      </c>
      <c r="G338" t="inlineStr">
        <is>
          <t>SÄTER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46226</v>
      </c>
      <c r="F339" t="inlineStr">
        <is>
          <t>DALARNAS LÄN</t>
        </is>
      </c>
      <c r="G339" t="inlineStr">
        <is>
          <t>SÄTER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46226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46226</v>
      </c>
      <c r="F341" t="inlineStr">
        <is>
          <t>DALARNAS LÄN</t>
        </is>
      </c>
      <c r="G341" t="inlineStr">
        <is>
          <t>SÄTER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42998-2023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45182</v>
      </c>
      <c r="E342" s="1" t="n">
        <v>46226</v>
      </c>
      <c r="F342" t="inlineStr">
        <is>
          <t>DALARNAS LÄN</t>
        </is>
      </c>
      <c r="G342" t="inlineStr">
        <is>
          <t>SÄTER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45604</v>
      </c>
      <c r="E343" s="1" t="n">
        <v>46226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46226</v>
      </c>
      <c r="F344" t="inlineStr">
        <is>
          <t>DALARNAS LÄN</t>
        </is>
      </c>
      <c r="G344" t="inlineStr">
        <is>
          <t>SÄTER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46226</v>
      </c>
      <c r="F345" t="inlineStr">
        <is>
          <t>DALARNAS LÄN</t>
        </is>
      </c>
      <c r="G345" t="inlineStr">
        <is>
          <t>SÄTER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33473-2022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44788</v>
      </c>
      <c r="E346" s="1" t="n">
        <v>46226</v>
      </c>
      <c r="F346" t="inlineStr">
        <is>
          <t>DALARNAS LÄN</t>
        </is>
      </c>
      <c r="G346" t="inlineStr">
        <is>
          <t>SÄTER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28549-2022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44748</v>
      </c>
      <c r="E347" s="1" t="n">
        <v>46226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46559-2021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44445</v>
      </c>
      <c r="E348" s="1" t="n">
        <v>46226</v>
      </c>
      <c r="F348" t="inlineStr">
        <is>
          <t>DALARNAS LÄN</t>
        </is>
      </c>
      <c r="G348" t="inlineStr">
        <is>
          <t>SÄTER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46226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45783</v>
      </c>
      <c r="E350" s="1" t="n">
        <v>46226</v>
      </c>
      <c r="F350" t="inlineStr">
        <is>
          <t>DALARNAS LÄN</t>
        </is>
      </c>
      <c r="G350" t="inlineStr">
        <is>
          <t>SÄTER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46226</v>
      </c>
      <c r="F351" t="inlineStr">
        <is>
          <t>DALARNAS LÄN</t>
        </is>
      </c>
      <c r="G351" t="inlineStr">
        <is>
          <t>SÄTER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46226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46226</v>
      </c>
      <c r="F353" t="inlineStr">
        <is>
          <t>DALARNAS LÄN</t>
        </is>
      </c>
      <c r="G353" t="inlineStr">
        <is>
          <t>SÄTER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45700</v>
      </c>
      <c r="E354" s="1" t="n">
        <v>46226</v>
      </c>
      <c r="F354" t="inlineStr">
        <is>
          <t>DALARNAS LÄN</t>
        </is>
      </c>
      <c r="G354" t="inlineStr">
        <is>
          <t>SÄTER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46226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45365</v>
      </c>
      <c r="E356" s="1" t="n">
        <v>46226</v>
      </c>
      <c r="F356" t="inlineStr">
        <is>
          <t>DALARNAS LÄN</t>
        </is>
      </c>
      <c r="G356" t="inlineStr">
        <is>
          <t>SÄTER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46226</v>
      </c>
      <c r="F357" t="inlineStr">
        <is>
          <t>DALARNAS LÄN</t>
        </is>
      </c>
      <c r="G357" t="inlineStr">
        <is>
          <t>SÄTER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46226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45443</v>
      </c>
      <c r="E359" s="1" t="n">
        <v>46226</v>
      </c>
      <c r="F359" t="inlineStr">
        <is>
          <t>DALARNAS LÄN</t>
        </is>
      </c>
      <c r="G359" t="inlineStr">
        <is>
          <t>SÄTER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45462</v>
      </c>
      <c r="E360" s="1" t="n">
        <v>46226</v>
      </c>
      <c r="F360" t="inlineStr">
        <is>
          <t>DALARNAS LÄN</t>
        </is>
      </c>
      <c r="G360" t="inlineStr">
        <is>
          <t>SÄTER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46226</v>
      </c>
      <c r="F361" t="inlineStr">
        <is>
          <t>DALARNAS LÄN</t>
        </is>
      </c>
      <c r="G361" t="inlineStr">
        <is>
          <t>SÄTER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46226</v>
      </c>
      <c r="F362" t="inlineStr">
        <is>
          <t>DALARNAS LÄN</t>
        </is>
      </c>
      <c r="G362" t="inlineStr">
        <is>
          <t>SÄTER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46226</v>
      </c>
      <c r="F363" t="inlineStr">
        <is>
          <t>DALARNAS LÄN</t>
        </is>
      </c>
      <c r="G363" t="inlineStr">
        <is>
          <t>SÄTER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45811</v>
      </c>
      <c r="E364" s="1" t="n">
        <v>46226</v>
      </c>
      <c r="F364" t="inlineStr">
        <is>
          <t>DALARNAS LÄN</t>
        </is>
      </c>
      <c r="G364" t="inlineStr">
        <is>
          <t>SÄTER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46226</v>
      </c>
      <c r="F365" t="inlineStr">
        <is>
          <t>DALARNAS LÄN</t>
        </is>
      </c>
      <c r="G365" t="inlineStr">
        <is>
          <t>SÄTER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46226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46226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46226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46226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46226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46226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46226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46226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2026-07-23T01:45:55Z</dcterms:created>
  <dcterms:modified xmlns:dcterms="http://purl.org/dc/terms/" xmlns:xsi="http://www.w3.org/2001/XMLSchema-instance" xsi:type="dcterms:W3CDTF">2026-07-23T01:45:56Z</dcterms:modified>
</cp:coreProperties>
</file>