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46259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46259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46259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46259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46259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46259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46259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46259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46259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46259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46259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46259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46259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46259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46259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9682-2025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46259</v>
      </c>
      <c r="F30" t="inlineStr">
        <is>
          <t>DALARNAS LÄN</t>
        </is>
      </c>
      <c r="G30" t="inlineStr">
        <is>
          <t>SÄTER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Ögonpyrola</t>
        </is>
      </c>
      <c r="W30">
        <f>HYPERLINK("https://klasma.github.io/Logging_2082/artfynd/A 9682-2025 artfynd.xlsx", "A 9682-2025")</f>
        <v/>
      </c>
      <c r="X30">
        <f>HYPERLINK("https://klasma.github.io/Logging_2082/kartor/A 9682-2025 karta.png", "A 9682-2025")</f>
        <v/>
      </c>
      <c r="Y30">
        <f>HYPERLINK("https://klasma.github.io/Logging_2082/kartor_geotiff/A 9682-2025 georefererad karta.tif", "A 9682-2025")</f>
        <v/>
      </c>
      <c r="AA30">
        <f>HYPERLINK("https://klasma.github.io/Logging_2082/klagomål/A 9682-2025 FSC-klagomål.docx", "A 9682-2025")</f>
        <v/>
      </c>
      <c r="AB30">
        <f>HYPERLINK("https://klasma.github.io/Logging_2082/klagomålsmail/A 9682-2025 FSC-klagomål mail.docx", "A 9682-2025")</f>
        <v/>
      </c>
      <c r="AC30">
        <f>HYPERLINK("https://klasma.github.io/Logging_2082/tillsyn/A 9682-2025 tillsynsbegäran.docx", "A 9682-2025")</f>
        <v/>
      </c>
      <c r="AD30">
        <f>HYPERLINK("https://klasma.github.io/Logging_2082/tillsynsmail/A 9682-2025 tillsynsbegäran mail.docx", "A 9682-2025")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46259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57427-2022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46259</v>
      </c>
      <c r="F32" t="inlineStr">
        <is>
          <t>DALARNAS LÄN</t>
        </is>
      </c>
      <c r="G32" t="inlineStr">
        <is>
          <t>SÄTER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HYPERLINK("https://klasma.github.io/Logging_2082/artfynd/A 57427-2022 artfynd.xlsx", "A 57427-2022")</f>
        <v/>
      </c>
      <c r="X32">
        <f>HYPERLINK("https://klasma.github.io/Logging_2082/kartor/A 57427-2022 karta.png", "A 57427-2022")</f>
        <v/>
      </c>
      <c r="Y32">
        <f>HYPERLINK("https://klasma.github.io/Logging_2082/kartor_geotiff/A 57427-2022 georefererad karta.tif", "A 57427-2022")</f>
        <v/>
      </c>
      <c r="AA32">
        <f>HYPERLINK("https://klasma.github.io/Logging_2082/klagomål/A 57427-2022 FSC-klagomål.docx", "A 57427-2022")</f>
        <v/>
      </c>
      <c r="AB32">
        <f>HYPERLINK("https://klasma.github.io/Logging_2082/klagomålsmail/A 57427-2022 FSC-klagomål mail.docx", "A 57427-2022")</f>
        <v/>
      </c>
      <c r="AC32">
        <f>HYPERLINK("https://klasma.github.io/Logging_2082/tillsyn/A 57427-2022 tillsynsbegäran.docx", "A 57427-2022")</f>
        <v/>
      </c>
      <c r="AD32">
        <f>HYPERLINK("https://klasma.github.io/Logging_2082/tillsynsmail/A 57427-2022 tillsynsbegäran mail.docx", "A 57427-2022")</f>
        <v/>
      </c>
    </row>
    <row r="33" ht="15" customHeight="1">
      <c r="A33" t="inlineStr">
        <is>
          <t>A 33605-2022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46259</v>
      </c>
      <c r="F33" t="inlineStr">
        <is>
          <t>DALARNAS LÄN</t>
        </is>
      </c>
      <c r="G33" t="inlineStr">
        <is>
          <t>SÄTER</t>
        </is>
      </c>
      <c r="I33" t="n">
        <v>1.2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33605-2022 artfynd.xlsx", "A 33605-2022")</f>
        <v/>
      </c>
      <c r="X33">
        <f>HYPERLINK("https://klasma.github.io/Logging_2082/kartor/A 33605-2022 karta.png", "A 33605-2022")</f>
        <v/>
      </c>
      <c r="Y33">
        <f>HYPERLINK("https://klasma.github.io/Logging_2082/kartor_geotiff/A 33605-2022 georefererad karta.tif", "A 33605-2022")</f>
        <v/>
      </c>
      <c r="AA33">
        <f>HYPERLINK("https://klasma.github.io/Logging_2082/klagomål/A 33605-2022 FSC-klagomål.docx", "A 33605-2022")</f>
        <v/>
      </c>
      <c r="AB33">
        <f>HYPERLINK("https://klasma.github.io/Logging_2082/klagomålsmail/A 33605-2022 FSC-klagomål mail.docx", "A 33605-2022")</f>
        <v/>
      </c>
      <c r="AC33">
        <f>HYPERLINK("https://klasma.github.io/Logging_2082/tillsyn/A 33605-2022 tillsynsbegäran.docx", "A 33605-2022")</f>
        <v/>
      </c>
      <c r="AD33">
        <f>HYPERLINK("https://klasma.github.io/Logging_2082/tillsynsmail/A 33605-2022 tillsynsbegäran mail.docx", "A 33605-2022")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46259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46259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44992-2024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45575</v>
      </c>
      <c r="E36" s="1" t="n">
        <v>46259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HYPERLINK("https://klasma.github.io/Logging_2082/artfynd/A 44992-2024 artfynd.xlsx", "A 44992-2024")</f>
        <v/>
      </c>
      <c r="X36">
        <f>HYPERLINK("https://klasma.github.io/Logging_2082/kartor/A 44992-2024 karta.png", "A 44992-2024")</f>
        <v/>
      </c>
      <c r="Y36">
        <f>HYPERLINK("https://klasma.github.io/Logging_2082/kartor_geotiff/A 44992-2024 georefererad karta.tif", "A 44992-2024")</f>
        <v/>
      </c>
      <c r="AA36">
        <f>HYPERLINK("https://klasma.github.io/Logging_2082/klagomål/A 44992-2024 FSC-klagomål.docx", "A 44992-2024")</f>
        <v/>
      </c>
      <c r="AB36">
        <f>HYPERLINK("https://klasma.github.io/Logging_2082/klagomålsmail/A 44992-2024 FSC-klagomål mail.docx", "A 44992-2024")</f>
        <v/>
      </c>
      <c r="AC36">
        <f>HYPERLINK("https://klasma.github.io/Logging_2082/tillsyn/A 44992-2024 tillsynsbegäran.docx", "A 44992-2024")</f>
        <v/>
      </c>
      <c r="AD36">
        <f>HYPERLINK("https://klasma.github.io/Logging_2082/tillsynsmail/A 44992-2024 tillsynsbegäran mail.docx", "A 44992-2024")</f>
        <v/>
      </c>
    </row>
    <row r="37" ht="15" customHeight="1">
      <c r="A37" t="inlineStr">
        <is>
          <t>A 5232-2022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44594</v>
      </c>
      <c r="E37" s="1" t="n">
        <v>46259</v>
      </c>
      <c r="F37" t="inlineStr">
        <is>
          <t>DALARNAS LÄN</t>
        </is>
      </c>
      <c r="G37" t="inlineStr">
        <is>
          <t>SÄTER</t>
        </is>
      </c>
      <c r="I37" t="n">
        <v>2.5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Tvåblad</t>
        </is>
      </c>
      <c r="W37">
        <f>HYPERLINK("https://klasma.github.io/Logging_2082/artfynd/A 5232-2022 artfynd.xlsx", "A 5232-2022")</f>
        <v/>
      </c>
      <c r="X37">
        <f>HYPERLINK("https://klasma.github.io/Logging_2082/kartor/A 5232-2022 karta.png", "A 5232-2022")</f>
        <v/>
      </c>
      <c r="Y37">
        <f>HYPERLINK("https://klasma.github.io/Logging_2082/kartor_geotiff/A 5232-2022 georefererad karta.tif", "A 5232-2022")</f>
        <v/>
      </c>
      <c r="AA37">
        <f>HYPERLINK("https://klasma.github.io/Logging_2082/klagomål/A 5232-2022 FSC-klagomål.docx", "A 5232-2022")</f>
        <v/>
      </c>
      <c r="AB37">
        <f>HYPERLINK("https://klasma.github.io/Logging_2082/klagomålsmail/A 5232-2022 FSC-klagomål mail.docx", "A 5232-2022")</f>
        <v/>
      </c>
      <c r="AC37">
        <f>HYPERLINK("https://klasma.github.io/Logging_2082/tillsyn/A 5232-2022 tillsynsbegäran.docx", "A 5232-2022")</f>
        <v/>
      </c>
      <c r="AD37">
        <f>HYPERLINK("https://klasma.github.io/Logging_2082/tillsynsmail/A 5232-2022 tillsynsbegäran mail.docx", "A 5232-2022")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46259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47661-2025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46259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13.8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Järnsparv</t>
        </is>
      </c>
      <c r="W39">
        <f>HYPERLINK("https://klasma.github.io/Logging_2082/artfynd/A 47661-2025 artfynd.xlsx", "A 47661-2025")</f>
        <v/>
      </c>
      <c r="X39">
        <f>HYPERLINK("https://klasma.github.io/Logging_2082/kartor/A 47661-2025 karta.png", "A 47661-2025")</f>
        <v/>
      </c>
      <c r="Y39">
        <f>HYPERLINK("https://klasma.github.io/Logging_2082/kartor_geotiff/A 47661-2025 georefererad karta.tif", "A 47661-2025")</f>
        <v/>
      </c>
      <c r="AA39">
        <f>HYPERLINK("https://klasma.github.io/Logging_2082/klagomål/A 47661-2025 FSC-klagomål.docx", "A 47661-2025")</f>
        <v/>
      </c>
      <c r="AB39">
        <f>HYPERLINK("https://klasma.github.io/Logging_2082/klagomålsmail/A 47661-2025 FSC-klagomål mail.docx", "A 47661-2025")</f>
        <v/>
      </c>
      <c r="AC39">
        <f>HYPERLINK("https://klasma.github.io/Logging_2082/tillsyn/A 47661-2025 tillsynsbegäran.docx", "A 47661-2025")</f>
        <v/>
      </c>
      <c r="AD39">
        <f>HYPERLINK("https://klasma.github.io/Logging_2082/tillsynsmail/A 47661-2025 tillsynsbegäran mail.docx", "A 47661-2025")</f>
        <v/>
      </c>
      <c r="AE39">
        <f>HYPERLINK("https://klasma.github.io/Logging_2082/fåglar/A 47661-2025 prioriterade fågelarter.docx", "A 47661-2025")</f>
        <v/>
      </c>
    </row>
    <row r="40" ht="15" customHeight="1">
      <c r="A40" t="inlineStr">
        <is>
          <t>A 49653-2025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46259</v>
      </c>
      <c r="F40" t="inlineStr">
        <is>
          <t>DALARNAS LÄN</t>
        </is>
      </c>
      <c r="G40" t="inlineStr">
        <is>
          <t>SÄTER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49653-2025 artfynd.xlsx", "A 49653-2025")</f>
        <v/>
      </c>
      <c r="X40">
        <f>HYPERLINK("https://klasma.github.io/Logging_2082/kartor/A 49653-2025 karta.png", "A 49653-2025")</f>
        <v/>
      </c>
      <c r="Y40">
        <f>HYPERLINK("https://klasma.github.io/Logging_2082/kartor_geotiff/A 49653-2025 georefererad karta.tif", "A 49653-2025")</f>
        <v/>
      </c>
      <c r="AA40">
        <f>HYPERLINK("https://klasma.github.io/Logging_2082/klagomål/A 49653-2025 FSC-klagomål.docx", "A 49653-2025")</f>
        <v/>
      </c>
      <c r="AB40">
        <f>HYPERLINK("https://klasma.github.io/Logging_2082/klagomålsmail/A 49653-2025 FSC-klagomål mail.docx", "A 49653-2025")</f>
        <v/>
      </c>
      <c r="AC40">
        <f>HYPERLINK("https://klasma.github.io/Logging_2082/tillsyn/A 49653-2025 tillsynsbegäran.docx", "A 49653-2025")</f>
        <v/>
      </c>
      <c r="AD40">
        <f>HYPERLINK("https://klasma.github.io/Logging_2082/tillsynsmail/A 49653-2025 tillsynsbegäran mail.docx", "A 49653-2025")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46259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46259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46259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46259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46259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36939-2025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45874</v>
      </c>
      <c r="E46" s="1" t="n">
        <v>46259</v>
      </c>
      <c r="F46" t="inlineStr">
        <is>
          <t>DALARNAS LÄN</t>
        </is>
      </c>
      <c r="G46" t="inlineStr">
        <is>
          <t>SÄTER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Slaguggla</t>
        </is>
      </c>
      <c r="W46">
        <f>HYPERLINK("https://klasma.github.io/Logging_2082/artfynd/A 36939-2025 artfynd.xlsx", "A 36939-2025")</f>
        <v/>
      </c>
      <c r="X46">
        <f>HYPERLINK("https://klasma.github.io/Logging_2082/kartor/A 36939-2025 karta.png", "A 36939-2025")</f>
        <v/>
      </c>
      <c r="Y46">
        <f>HYPERLINK("https://klasma.github.io/Logging_2082/kartor_geotiff/A 36939-2025 georefererad karta.tif", "A 36939-2025")</f>
        <v/>
      </c>
      <c r="AA46">
        <f>HYPERLINK("https://klasma.github.io/Logging_2082/klagomål/A 36939-2025 FSC-klagomål.docx", "A 36939-2025")</f>
        <v/>
      </c>
      <c r="AB46">
        <f>HYPERLINK("https://klasma.github.io/Logging_2082/klagomålsmail/A 36939-2025 FSC-klagomål mail.docx", "A 36939-2025")</f>
        <v/>
      </c>
      <c r="AC46">
        <f>HYPERLINK("https://klasma.github.io/Logging_2082/tillsyn/A 36939-2025 tillsynsbegäran.docx", "A 36939-2025")</f>
        <v/>
      </c>
      <c r="AD46">
        <f>HYPERLINK("https://klasma.github.io/Logging_2082/tillsynsmail/A 36939-2025 tillsynsbegäran mail.docx", "A 36939-2025")</f>
        <v/>
      </c>
      <c r="AE46">
        <f>HYPERLINK("https://klasma.github.io/Logging_2082/fåglar/A 36939-2025 prioriterade fågelarter.docx", "A 36939-2025")</f>
        <v/>
      </c>
    </row>
    <row r="47" ht="15" customHeight="1">
      <c r="A47" t="inlineStr">
        <is>
          <t>A 61197-2025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46259</v>
      </c>
      <c r="F47" t="inlineStr">
        <is>
          <t>DALARNAS LÄN</t>
        </is>
      </c>
      <c r="G47" t="inlineStr">
        <is>
          <t>SÄTER</t>
        </is>
      </c>
      <c r="I47" t="n">
        <v>4.1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HYPERLINK("https://klasma.github.io/Logging_2082/artfynd/A 61197-2025 artfynd.xlsx", "A 61197-2025")</f>
        <v/>
      </c>
      <c r="X47">
        <f>HYPERLINK("https://klasma.github.io/Logging_2082/kartor/A 61197-2025 karta.png", "A 61197-2025")</f>
        <v/>
      </c>
      <c r="Y47">
        <f>HYPERLINK("https://klasma.github.io/Logging_2082/kartor_geotiff/A 61197-2025 georefererad karta.tif", "A 61197-2025")</f>
        <v/>
      </c>
      <c r="Z47">
        <f>HYPERLINK("https://klasma.github.io/Logging_2082/knärot/A 61197-2025 karta knärot.png", "A 61197-2025")</f>
        <v/>
      </c>
      <c r="AA47">
        <f>HYPERLINK("https://klasma.github.io/Logging_2082/klagomål/A 61197-2025 FSC-klagomål.docx", "A 61197-2025")</f>
        <v/>
      </c>
      <c r="AB47">
        <f>HYPERLINK("https://klasma.github.io/Logging_2082/klagomålsmail/A 61197-2025 FSC-klagomål mail.docx", "A 61197-2025")</f>
        <v/>
      </c>
      <c r="AC47">
        <f>HYPERLINK("https://klasma.github.io/Logging_2082/tillsyn/A 61197-2025 tillsynsbegäran.docx", "A 61197-2025")</f>
        <v/>
      </c>
      <c r="AD47">
        <f>HYPERLINK("https://klasma.github.io/Logging_2082/tillsynsmail/A 61197-2025 tillsynsbegäran mail.docx", "A 61197-2025")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46259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46259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46259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46259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46259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46259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46259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46259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46259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46259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46259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46259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46259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46259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46259</v>
      </c>
      <c r="F64" t="inlineStr">
        <is>
          <t>DALARNAS LÄN</t>
        </is>
      </c>
      <c r="G64" t="inlineStr">
        <is>
          <t>SÄTER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46259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46259</v>
      </c>
      <c r="F66" t="inlineStr">
        <is>
          <t>DALARNAS LÄN</t>
        </is>
      </c>
      <c r="G66" t="inlineStr">
        <is>
          <t>SÄTER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46259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44503</v>
      </c>
      <c r="E68" s="1" t="n">
        <v>46259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46259</v>
      </c>
      <c r="F69" t="inlineStr">
        <is>
          <t>DALARNAS LÄN</t>
        </is>
      </c>
      <c r="G69" t="inlineStr">
        <is>
          <t>SÄTER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46259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61400-2021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44500</v>
      </c>
      <c r="E71" s="1" t="n">
        <v>46259</v>
      </c>
      <c r="F71" t="inlineStr">
        <is>
          <t>DALARNAS LÄN</t>
        </is>
      </c>
      <c r="G71" t="inlineStr">
        <is>
          <t>SÄTER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46259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46259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46259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69744-2021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46259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16901-2024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46259</v>
      </c>
      <c r="F76" t="inlineStr">
        <is>
          <t>DALARNAS LÄN</t>
        </is>
      </c>
      <c r="G76" t="inlineStr">
        <is>
          <t>SÄTER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46259</v>
      </c>
      <c r="F77" t="inlineStr">
        <is>
          <t>DALARNAS LÄN</t>
        </is>
      </c>
      <c r="G77" t="inlineStr">
        <is>
          <t>SÄTER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44601</v>
      </c>
      <c r="E78" s="1" t="n">
        <v>46259</v>
      </c>
      <c r="F78" t="inlineStr">
        <is>
          <t>DALARNAS LÄN</t>
        </is>
      </c>
      <c r="G78" t="inlineStr">
        <is>
          <t>SÄTER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52190-2021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46259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46259</v>
      </c>
      <c r="F80" t="inlineStr">
        <is>
          <t>DALARNAS LÄN</t>
        </is>
      </c>
      <c r="G80" t="inlineStr">
        <is>
          <t>SÄTER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46259</v>
      </c>
      <c r="F81" t="inlineStr">
        <is>
          <t>DALARNAS LÄN</t>
        </is>
      </c>
      <c r="G81" t="inlineStr">
        <is>
          <t>SÄTER</t>
        </is>
      </c>
      <c r="I81" t="n">
        <v>10.9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46259</v>
      </c>
      <c r="F82" t="inlineStr">
        <is>
          <t>DALARNAS LÄN</t>
        </is>
      </c>
      <c r="G82" t="inlineStr">
        <is>
          <t>SÄTER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45552</v>
      </c>
      <c r="E83" s="1" t="n">
        <v>46259</v>
      </c>
      <c r="F83" t="inlineStr">
        <is>
          <t>DALARNAS LÄN</t>
        </is>
      </c>
      <c r="G83" t="inlineStr">
        <is>
          <t>SÄTER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46259</v>
      </c>
      <c r="F84" t="inlineStr">
        <is>
          <t>DALARNAS LÄN</t>
        </is>
      </c>
      <c r="G84" t="inlineStr">
        <is>
          <t>SÄTER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46259</v>
      </c>
      <c r="F85" t="inlineStr">
        <is>
          <t>DALARNAS LÄN</t>
        </is>
      </c>
      <c r="G85" t="inlineStr">
        <is>
          <t>SÄTER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46259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46259</v>
      </c>
      <c r="F87" t="inlineStr">
        <is>
          <t>DALARNAS LÄN</t>
        </is>
      </c>
      <c r="G87" t="inlineStr">
        <is>
          <t>SÄTER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46259</v>
      </c>
      <c r="F88" t="inlineStr">
        <is>
          <t>DALARNAS LÄN</t>
        </is>
      </c>
      <c r="G88" t="inlineStr">
        <is>
          <t>SÄTER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46259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46259</v>
      </c>
      <c r="F90" t="inlineStr">
        <is>
          <t>DALARNAS LÄN</t>
        </is>
      </c>
      <c r="G90" t="inlineStr">
        <is>
          <t>SÄTER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22905-2022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44715</v>
      </c>
      <c r="E91" s="1" t="n">
        <v>46259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46259</v>
      </c>
      <c r="F92" t="inlineStr">
        <is>
          <t>DALARNAS LÄN</t>
        </is>
      </c>
      <c r="G92" t="inlineStr">
        <is>
          <t>SÄTER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46259</v>
      </c>
      <c r="F93" t="inlineStr">
        <is>
          <t>DALARNAS LÄN</t>
        </is>
      </c>
      <c r="G93" t="inlineStr">
        <is>
          <t>SÄTER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46259</v>
      </c>
      <c r="F94" t="inlineStr">
        <is>
          <t>DALARNAS LÄN</t>
        </is>
      </c>
      <c r="G94" t="inlineStr">
        <is>
          <t>SÄTER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46259</v>
      </c>
      <c r="F95" t="inlineStr">
        <is>
          <t>DALARNAS LÄN</t>
        </is>
      </c>
      <c r="G95" t="inlineStr">
        <is>
          <t>SÄTER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46259</v>
      </c>
      <c r="F96" t="inlineStr">
        <is>
          <t>DALARNAS LÄN</t>
        </is>
      </c>
      <c r="G96" t="inlineStr">
        <is>
          <t>SÄTER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46259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45342</v>
      </c>
      <c r="E98" s="1" t="n">
        <v>46259</v>
      </c>
      <c r="F98" t="inlineStr">
        <is>
          <t>DALARNAS LÄN</t>
        </is>
      </c>
      <c r="G98" t="inlineStr">
        <is>
          <t>SÄTER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46259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46259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46259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46259</v>
      </c>
      <c r="F102" t="inlineStr">
        <is>
          <t>DALARNAS LÄN</t>
        </is>
      </c>
      <c r="G102" t="inlineStr">
        <is>
          <t>SÄTER</t>
        </is>
      </c>
      <c r="H102" t="inlineStr">
        <is>
          <t>Kommuner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46259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46259</v>
      </c>
      <c r="F104" t="inlineStr">
        <is>
          <t>DALARNAS LÄN</t>
        </is>
      </c>
      <c r="G104" t="inlineStr">
        <is>
          <t>SÄTER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46259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46259</v>
      </c>
      <c r="F106" t="inlineStr">
        <is>
          <t>DALARNAS LÄN</t>
        </is>
      </c>
      <c r="G106" t="inlineStr">
        <is>
          <t>SÄTER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46259</v>
      </c>
      <c r="F107" t="inlineStr">
        <is>
          <t>DALARNAS LÄN</t>
        </is>
      </c>
      <c r="G107" t="inlineStr">
        <is>
          <t>SÄTER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46259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46259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46259</v>
      </c>
      <c r="F110" t="inlineStr">
        <is>
          <t>DALARNAS LÄN</t>
        </is>
      </c>
      <c r="G110" t="inlineStr">
        <is>
          <t>SÄTER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46259</v>
      </c>
      <c r="F111" t="inlineStr">
        <is>
          <t>DALARNAS LÄN</t>
        </is>
      </c>
      <c r="G111" t="inlineStr">
        <is>
          <t>SÄTER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46259</v>
      </c>
      <c r="F112" t="inlineStr">
        <is>
          <t>DALARNAS LÄN</t>
        </is>
      </c>
      <c r="G112" t="inlineStr">
        <is>
          <t>SÄTER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46259</v>
      </c>
      <c r="F113" t="inlineStr">
        <is>
          <t>DALARNAS LÄN</t>
        </is>
      </c>
      <c r="G113" t="inlineStr">
        <is>
          <t>SÄTER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46259</v>
      </c>
      <c r="F114" t="inlineStr">
        <is>
          <t>DALARNAS LÄN</t>
        </is>
      </c>
      <c r="G114" t="inlineStr">
        <is>
          <t>SÄTER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46259</v>
      </c>
      <c r="F115" t="inlineStr">
        <is>
          <t>DALARNAS LÄN</t>
        </is>
      </c>
      <c r="G115" t="inlineStr">
        <is>
          <t>SÄTER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46259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16840-2024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46259</v>
      </c>
      <c r="F117" t="inlineStr">
        <is>
          <t>DALARNAS LÄN</t>
        </is>
      </c>
      <c r="G117" t="inlineStr">
        <is>
          <t>SÄTER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46259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45870</v>
      </c>
      <c r="E119" s="1" t="n">
        <v>46259</v>
      </c>
      <c r="F119" t="inlineStr">
        <is>
          <t>DALARNAS LÄN</t>
        </is>
      </c>
      <c r="G119" t="inlineStr">
        <is>
          <t>SÄTER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46259</v>
      </c>
      <c r="F120" t="inlineStr">
        <is>
          <t>DALARNAS LÄN</t>
        </is>
      </c>
      <c r="G120" t="inlineStr">
        <is>
          <t>SÄTER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45282</v>
      </c>
      <c r="E121" s="1" t="n">
        <v>46259</v>
      </c>
      <c r="F121" t="inlineStr">
        <is>
          <t>DALARNAS LÄN</t>
        </is>
      </c>
      <c r="G121" t="inlineStr">
        <is>
          <t>SÄTER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46259</v>
      </c>
      <c r="F122" t="inlineStr">
        <is>
          <t>DALARNAS LÄN</t>
        </is>
      </c>
      <c r="G122" t="inlineStr">
        <is>
          <t>SÄTER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46259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46259</v>
      </c>
      <c r="F124" t="inlineStr">
        <is>
          <t>DALARNAS LÄN</t>
        </is>
      </c>
      <c r="G124" t="inlineStr">
        <is>
          <t>SÄTER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51323-2024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45604</v>
      </c>
      <c r="E125" s="1" t="n">
        <v>46259</v>
      </c>
      <c r="F125" t="inlineStr">
        <is>
          <t>DALARNAS LÄN</t>
        </is>
      </c>
      <c r="G125" t="inlineStr">
        <is>
          <t>SÄTER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46259</v>
      </c>
      <c r="F126" t="inlineStr">
        <is>
          <t>DALARNAS LÄN</t>
        </is>
      </c>
      <c r="G126" t="inlineStr">
        <is>
          <t>SÄTER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46259</v>
      </c>
      <c r="F127" t="inlineStr">
        <is>
          <t>DALARNAS LÄN</t>
        </is>
      </c>
      <c r="G127" t="inlineStr">
        <is>
          <t>SÄTER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46259</v>
      </c>
      <c r="F128" t="inlineStr">
        <is>
          <t>DALARNAS LÄN</t>
        </is>
      </c>
      <c r="G128" t="inlineStr">
        <is>
          <t>SÄTER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46259</v>
      </c>
      <c r="F129" t="inlineStr">
        <is>
          <t>DALARNAS LÄN</t>
        </is>
      </c>
      <c r="G129" t="inlineStr">
        <is>
          <t>SÄTER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44609</v>
      </c>
      <c r="E130" s="1" t="n">
        <v>46259</v>
      </c>
      <c r="F130" t="inlineStr">
        <is>
          <t>DALARNAS LÄN</t>
        </is>
      </c>
      <c r="G130" t="inlineStr">
        <is>
          <t>SÄTER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44433</v>
      </c>
      <c r="E131" s="1" t="n">
        <v>46259</v>
      </c>
      <c r="F131" t="inlineStr">
        <is>
          <t>DALARNAS LÄN</t>
        </is>
      </c>
      <c r="G131" t="inlineStr">
        <is>
          <t>SÄTER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44972</v>
      </c>
      <c r="E132" s="1" t="n">
        <v>46259</v>
      </c>
      <c r="F132" t="inlineStr">
        <is>
          <t>DALARNAS LÄN</t>
        </is>
      </c>
      <c r="G132" t="inlineStr">
        <is>
          <t>SÄTER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45484</v>
      </c>
      <c r="E133" s="1" t="n">
        <v>46259</v>
      </c>
      <c r="F133" t="inlineStr">
        <is>
          <t>DALARNAS LÄN</t>
        </is>
      </c>
      <c r="G133" t="inlineStr">
        <is>
          <t>SÄTER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46259</v>
      </c>
      <c r="F134" t="inlineStr">
        <is>
          <t>DALARNAS LÄN</t>
        </is>
      </c>
      <c r="G134" t="inlineStr">
        <is>
          <t>SÄTER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45138</v>
      </c>
      <c r="E135" s="1" t="n">
        <v>46259</v>
      </c>
      <c r="F135" t="inlineStr">
        <is>
          <t>DALARNAS LÄN</t>
        </is>
      </c>
      <c r="G135" t="inlineStr">
        <is>
          <t>SÄTER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13532-2026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46259</v>
      </c>
      <c r="F136" t="inlineStr">
        <is>
          <t>DALARNAS LÄN</t>
        </is>
      </c>
      <c r="G136" t="inlineStr">
        <is>
          <t>SÄTER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46259</v>
      </c>
      <c r="F137" t="inlineStr">
        <is>
          <t>DALARNAS LÄN</t>
        </is>
      </c>
      <c r="G137" t="inlineStr">
        <is>
          <t>SÄTER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46259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46259</v>
      </c>
      <c r="F139" t="inlineStr">
        <is>
          <t>DALARNAS LÄN</t>
        </is>
      </c>
      <c r="G139" t="inlineStr">
        <is>
          <t>SÄTER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46259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44630</v>
      </c>
      <c r="E141" s="1" t="n">
        <v>46259</v>
      </c>
      <c r="F141" t="inlineStr">
        <is>
          <t>DALARNAS LÄN</t>
        </is>
      </c>
      <c r="G141" t="inlineStr">
        <is>
          <t>SÄTER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46259</v>
      </c>
      <c r="F142" t="inlineStr">
        <is>
          <t>DALARNAS LÄN</t>
        </is>
      </c>
      <c r="G142" t="inlineStr">
        <is>
          <t>SÄTER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46259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44585</v>
      </c>
      <c r="E144" s="1" t="n">
        <v>46259</v>
      </c>
      <c r="F144" t="inlineStr">
        <is>
          <t>DALARNAS LÄN</t>
        </is>
      </c>
      <c r="G144" t="inlineStr">
        <is>
          <t>SÄTER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46259</v>
      </c>
      <c r="F145" t="inlineStr">
        <is>
          <t>DALARNAS LÄN</t>
        </is>
      </c>
      <c r="G145" t="inlineStr">
        <is>
          <t>SÄTER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46259</v>
      </c>
      <c r="F146" t="inlineStr">
        <is>
          <t>DALARNAS LÄN</t>
        </is>
      </c>
      <c r="G146" t="inlineStr">
        <is>
          <t>SÄTER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45566</v>
      </c>
      <c r="E147" s="1" t="n">
        <v>46259</v>
      </c>
      <c r="F147" t="inlineStr">
        <is>
          <t>DALARNAS LÄN</t>
        </is>
      </c>
      <c r="G147" t="inlineStr">
        <is>
          <t>SÄTER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46259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46259</v>
      </c>
      <c r="F149" t="inlineStr">
        <is>
          <t>DALARNAS LÄN</t>
        </is>
      </c>
      <c r="G149" t="inlineStr">
        <is>
          <t>SÄTER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46259</v>
      </c>
      <c r="F150" t="inlineStr">
        <is>
          <t>DALARNAS LÄN</t>
        </is>
      </c>
      <c r="G150" t="inlineStr">
        <is>
          <t>SÄTER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46259</v>
      </c>
      <c r="F151" t="inlineStr">
        <is>
          <t>DALARNAS LÄN</t>
        </is>
      </c>
      <c r="G151" t="inlineStr">
        <is>
          <t>SÄTER</t>
        </is>
      </c>
      <c r="I151" t="n">
        <v>15.2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46259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46259</v>
      </c>
      <c r="F153" t="inlineStr">
        <is>
          <t>DALARNAS LÄN</t>
        </is>
      </c>
      <c r="G153" t="inlineStr">
        <is>
          <t>SÄTER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46259</v>
      </c>
      <c r="F154" t="inlineStr">
        <is>
          <t>DALARNAS LÄN</t>
        </is>
      </c>
      <c r="G154" t="inlineStr">
        <is>
          <t>SÄTER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46259</v>
      </c>
      <c r="F155" t="inlineStr">
        <is>
          <t>DALARNAS LÄN</t>
        </is>
      </c>
      <c r="G155" t="inlineStr">
        <is>
          <t>SÄTER</t>
        </is>
      </c>
      <c r="I155" t="n">
        <v>13.2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46259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46259</v>
      </c>
      <c r="F157" t="inlineStr">
        <is>
          <t>DALARNAS LÄN</t>
        </is>
      </c>
      <c r="G157" t="inlineStr">
        <is>
          <t>SÄTER</t>
        </is>
      </c>
      <c r="H157" t="inlineStr">
        <is>
          <t>Kommuner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46259</v>
      </c>
      <c r="F158" t="inlineStr">
        <is>
          <t>DALARNAS LÄN</t>
        </is>
      </c>
      <c r="G158" t="inlineStr">
        <is>
          <t>SÄTER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44691</v>
      </c>
      <c r="E159" s="1" t="n">
        <v>46259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46259</v>
      </c>
      <c r="F160" t="inlineStr">
        <is>
          <t>DALARNAS LÄN</t>
        </is>
      </c>
      <c r="G160" t="inlineStr">
        <is>
          <t>SÄTER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46259</v>
      </c>
      <c r="F161" t="inlineStr">
        <is>
          <t>DALARNAS LÄN</t>
        </is>
      </c>
      <c r="G161" t="inlineStr">
        <is>
          <t>SÄTER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46259</v>
      </c>
      <c r="F162" t="inlineStr">
        <is>
          <t>DALARNAS LÄN</t>
        </is>
      </c>
      <c r="G162" t="inlineStr">
        <is>
          <t>SÄTER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46259</v>
      </c>
      <c r="F163" t="inlineStr">
        <is>
          <t>DALARNAS LÄN</t>
        </is>
      </c>
      <c r="G163" t="inlineStr">
        <is>
          <t>SÄTER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46259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46259</v>
      </c>
      <c r="F165" t="inlineStr">
        <is>
          <t>DALARNAS LÄN</t>
        </is>
      </c>
      <c r="G165" t="inlineStr">
        <is>
          <t>SÄTER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46259</v>
      </c>
      <c r="F166" t="inlineStr">
        <is>
          <t>DALARNAS LÄN</t>
        </is>
      </c>
      <c r="G166" t="inlineStr">
        <is>
          <t>SÄTER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46259</v>
      </c>
      <c r="F167" t="inlineStr">
        <is>
          <t>DALARNAS LÄN</t>
        </is>
      </c>
      <c r="G167" t="inlineStr">
        <is>
          <t>SÄTER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42998-2023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45182</v>
      </c>
      <c r="E168" s="1" t="n">
        <v>46259</v>
      </c>
      <c r="F168" t="inlineStr">
        <is>
          <t>DALARNAS LÄN</t>
        </is>
      </c>
      <c r="G168" t="inlineStr">
        <is>
          <t>SÄTER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46259</v>
      </c>
      <c r="F169" t="inlineStr">
        <is>
          <t>DALARNAS LÄN</t>
        </is>
      </c>
      <c r="G169" t="inlineStr">
        <is>
          <t>SÄTER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51320-2024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45604</v>
      </c>
      <c r="E170" s="1" t="n">
        <v>46259</v>
      </c>
      <c r="F170" t="inlineStr">
        <is>
          <t>DALARNAS LÄN</t>
        </is>
      </c>
      <c r="G170" t="inlineStr">
        <is>
          <t>SÄTER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45604</v>
      </c>
      <c r="E171" s="1" t="n">
        <v>46259</v>
      </c>
      <c r="F171" t="inlineStr">
        <is>
          <t>DALARNAS LÄN</t>
        </is>
      </c>
      <c r="G171" t="inlineStr">
        <is>
          <t>SÄTER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45154</v>
      </c>
      <c r="E172" s="1" t="n">
        <v>46259</v>
      </c>
      <c r="F172" t="inlineStr">
        <is>
          <t>DALARNAS LÄN</t>
        </is>
      </c>
      <c r="G172" t="inlineStr">
        <is>
          <t>SÄTER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46259</v>
      </c>
      <c r="F173" t="inlineStr">
        <is>
          <t>DALARNAS LÄN</t>
        </is>
      </c>
      <c r="G173" t="inlineStr">
        <is>
          <t>SÄTER</t>
        </is>
      </c>
      <c r="H173" t="inlineStr">
        <is>
          <t>Kommuner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46259</v>
      </c>
      <c r="F174" t="inlineStr">
        <is>
          <t>DALARNAS LÄN</t>
        </is>
      </c>
      <c r="G174" t="inlineStr">
        <is>
          <t>SÄTER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46259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46259</v>
      </c>
      <c r="F176" t="inlineStr">
        <is>
          <t>DALARNAS LÄN</t>
        </is>
      </c>
      <c r="G176" t="inlineStr">
        <is>
          <t>SÄTER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46259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46259</v>
      </c>
      <c r="F178" t="inlineStr">
        <is>
          <t>DALARNAS LÄN</t>
        </is>
      </c>
      <c r="G178" t="inlineStr">
        <is>
          <t>SÄTER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46259</v>
      </c>
      <c r="F179" t="inlineStr">
        <is>
          <t>DALARNAS LÄN</t>
        </is>
      </c>
      <c r="G179" t="inlineStr">
        <is>
          <t>SÄTER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46259</v>
      </c>
      <c r="F180" t="inlineStr">
        <is>
          <t>DALARNAS LÄN</t>
        </is>
      </c>
      <c r="G180" t="inlineStr">
        <is>
          <t>SÄTER</t>
        </is>
      </c>
      <c r="H180" t="inlineStr">
        <is>
          <t>Kommuner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46259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15.2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46259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41.4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46259</v>
      </c>
      <c r="F183" t="inlineStr">
        <is>
          <t>DALARNAS LÄN</t>
        </is>
      </c>
      <c r="G183" t="inlineStr">
        <is>
          <t>SÄTER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46259</v>
      </c>
      <c r="F184" t="inlineStr">
        <is>
          <t>DALARNAS LÄN</t>
        </is>
      </c>
      <c r="G184" t="inlineStr">
        <is>
          <t>SÄTER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46259</v>
      </c>
      <c r="F185" t="inlineStr">
        <is>
          <t>DALARNAS LÄN</t>
        </is>
      </c>
      <c r="G185" t="inlineStr">
        <is>
          <t>SÄTER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44690</v>
      </c>
      <c r="E186" s="1" t="n">
        <v>46259</v>
      </c>
      <c r="F186" t="inlineStr">
        <is>
          <t>DALARNAS LÄN</t>
        </is>
      </c>
      <c r="G186" t="inlineStr">
        <is>
          <t>SÄTER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46259</v>
      </c>
      <c r="F187" t="inlineStr">
        <is>
          <t>DALARNAS LÄN</t>
        </is>
      </c>
      <c r="G187" t="inlineStr">
        <is>
          <t>SÄTER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46259</v>
      </c>
      <c r="F188" t="inlineStr">
        <is>
          <t>DALARNAS LÄN</t>
        </is>
      </c>
      <c r="G188" t="inlineStr">
        <is>
          <t>SÄTER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46259</v>
      </c>
      <c r="F189" t="inlineStr">
        <is>
          <t>DALARNAS LÄN</t>
        </is>
      </c>
      <c r="G189" t="inlineStr">
        <is>
          <t>SÄTER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46259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46259</v>
      </c>
      <c r="F191" t="inlineStr">
        <is>
          <t>DALARNAS LÄN</t>
        </is>
      </c>
      <c r="G191" t="inlineStr">
        <is>
          <t>SÄTER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46259</v>
      </c>
      <c r="F192" t="inlineStr">
        <is>
          <t>DALARNAS LÄN</t>
        </is>
      </c>
      <c r="G192" t="inlineStr">
        <is>
          <t>SÄTER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46259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46259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46259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46259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46259</v>
      </c>
      <c r="F197" t="inlineStr">
        <is>
          <t>DALARNAS LÄN</t>
        </is>
      </c>
      <c r="G197" t="inlineStr">
        <is>
          <t>SÄTER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46259</v>
      </c>
      <c r="F198" t="inlineStr">
        <is>
          <t>DALARNAS LÄN</t>
        </is>
      </c>
      <c r="G198" t="inlineStr">
        <is>
          <t>SÄTER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44727</v>
      </c>
      <c r="E199" s="1" t="n">
        <v>46259</v>
      </c>
      <c r="F199" t="inlineStr">
        <is>
          <t>DALARNAS LÄN</t>
        </is>
      </c>
      <c r="G199" t="inlineStr">
        <is>
          <t>SÄTER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46259</v>
      </c>
      <c r="F200" t="inlineStr">
        <is>
          <t>DALARNAS LÄN</t>
        </is>
      </c>
      <c r="G200" t="inlineStr">
        <is>
          <t>SÄTER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46259</v>
      </c>
      <c r="F201" t="inlineStr">
        <is>
          <t>DALARNAS LÄN</t>
        </is>
      </c>
      <c r="G201" t="inlineStr">
        <is>
          <t>SÄTER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46259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46259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46259</v>
      </c>
      <c r="F204" t="inlineStr">
        <is>
          <t>DALARNAS LÄN</t>
        </is>
      </c>
      <c r="G204" t="inlineStr">
        <is>
          <t>SÄTER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46259</v>
      </c>
      <c r="F205" t="inlineStr">
        <is>
          <t>DALARNAS LÄN</t>
        </is>
      </c>
      <c r="G205" t="inlineStr">
        <is>
          <t>SÄTER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46259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46259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46259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46259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46259</v>
      </c>
      <c r="F210" t="inlineStr">
        <is>
          <t>DALARNAS LÄN</t>
        </is>
      </c>
      <c r="G210" t="inlineStr">
        <is>
          <t>SÄTER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46259</v>
      </c>
      <c r="F211" t="inlineStr">
        <is>
          <t>DALARNAS LÄN</t>
        </is>
      </c>
      <c r="G211" t="inlineStr">
        <is>
          <t>SÄTER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46259</v>
      </c>
      <c r="F212" t="inlineStr">
        <is>
          <t>DALARNAS LÄN</t>
        </is>
      </c>
      <c r="G212" t="inlineStr">
        <is>
          <t>SÄTER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46259</v>
      </c>
      <c r="F213" t="inlineStr">
        <is>
          <t>DALARNAS LÄN</t>
        </is>
      </c>
      <c r="G213" t="inlineStr">
        <is>
          <t>SÄTER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44732</v>
      </c>
      <c r="E214" s="1" t="n">
        <v>46259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46259</v>
      </c>
      <c r="F215" t="inlineStr">
        <is>
          <t>DALARNAS LÄN</t>
        </is>
      </c>
      <c r="G215" t="inlineStr">
        <is>
          <t>SÄTER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28549-2022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44748</v>
      </c>
      <c r="E216" s="1" t="n">
        <v>46259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46259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44463</v>
      </c>
      <c r="E218" s="1" t="n">
        <v>46259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46051</v>
      </c>
      <c r="E219" s="1" t="n">
        <v>46259</v>
      </c>
      <c r="F219" t="inlineStr">
        <is>
          <t>DALARNAS LÄN</t>
        </is>
      </c>
      <c r="G219" t="inlineStr">
        <is>
          <t>SÄTER</t>
        </is>
      </c>
      <c r="H219" t="inlineStr">
        <is>
          <t>Kommuner</t>
        </is>
      </c>
      <c r="I219" t="n">
        <v>42.6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45005</v>
      </c>
      <c r="E220" s="1" t="n">
        <v>46259</v>
      </c>
      <c r="F220" t="inlineStr">
        <is>
          <t>DALARNAS LÄN</t>
        </is>
      </c>
      <c r="G220" t="inlineStr">
        <is>
          <t>SÄTER</t>
        </is>
      </c>
      <c r="I220" t="n">
        <v>8.6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46259</v>
      </c>
      <c r="F221" t="inlineStr">
        <is>
          <t>DALARNAS LÄN</t>
        </is>
      </c>
      <c r="G221" t="inlineStr">
        <is>
          <t>SÄTER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46259</v>
      </c>
      <c r="F222" t="inlineStr">
        <is>
          <t>DALARNAS LÄN</t>
        </is>
      </c>
      <c r="G222" t="inlineStr">
        <is>
          <t>SÄTER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46259</v>
      </c>
      <c r="F223" t="inlineStr">
        <is>
          <t>DALARNAS LÄN</t>
        </is>
      </c>
      <c r="G223" t="inlineStr">
        <is>
          <t>SÄTER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46259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46259</v>
      </c>
      <c r="F225" t="inlineStr">
        <is>
          <t>DALARNAS LÄN</t>
        </is>
      </c>
      <c r="G225" t="inlineStr">
        <is>
          <t>SÄTER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46259</v>
      </c>
      <c r="F226" t="inlineStr">
        <is>
          <t>DALARNAS LÄN</t>
        </is>
      </c>
      <c r="G226" t="inlineStr">
        <is>
          <t>SÄTER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46259</v>
      </c>
      <c r="F227" t="inlineStr">
        <is>
          <t>DALARNAS LÄN</t>
        </is>
      </c>
      <c r="G227" t="inlineStr">
        <is>
          <t>SÄTER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46259</v>
      </c>
      <c r="F228" t="inlineStr">
        <is>
          <t>DALARNAS LÄN</t>
        </is>
      </c>
      <c r="G228" t="inlineStr">
        <is>
          <t>SÄTER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HYPERLINK("https://klasma.github.io/Logging_2082/knärot/A 57416-2022 karta knärot.png", "A 57416-2022")</f>
        <v/>
      </c>
      <c r="AA228">
        <f>HYPERLINK("https://klasma.github.io/Logging_2082/klagomål/A 57416-2022 FSC-klagomål.docx", "A 57416-2022")</f>
        <v/>
      </c>
      <c r="AB228">
        <f>HYPERLINK("https://klasma.github.io/Logging_2082/klagomålsmail/A 57416-2022 FSC-klagomål mail.docx", "A 57416-2022")</f>
        <v/>
      </c>
      <c r="AC228">
        <f>HYPERLINK("https://klasma.github.io/Logging_2082/tillsyn/A 57416-2022 tillsynsbegäran.docx", "A 57416-2022")</f>
        <v/>
      </c>
      <c r="AD228">
        <f>HYPERLINK("https://klasma.github.io/Logging_2082/tillsynsmail/A 57416-2022 tillsynsbegäran mail.docx", "A 57416-2022")</f>
        <v/>
      </c>
    </row>
    <row r="229" ht="15" customHeight="1">
      <c r="A229" t="inlineStr">
        <is>
          <t>A 63152-2023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46259</v>
      </c>
      <c r="F229" t="inlineStr">
        <is>
          <t>DALARNAS LÄN</t>
        </is>
      </c>
      <c r="G229" t="inlineStr">
        <is>
          <t>SÄTER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46259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46259</v>
      </c>
      <c r="F231" t="inlineStr">
        <is>
          <t>DALARNAS LÄN</t>
        </is>
      </c>
      <c r="G231" t="inlineStr">
        <is>
          <t>SÄTER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46259</v>
      </c>
      <c r="F232" t="inlineStr">
        <is>
          <t>DALARNAS LÄN</t>
        </is>
      </c>
      <c r="G232" t="inlineStr">
        <is>
          <t>SÄTER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46259</v>
      </c>
      <c r="F233" t="inlineStr">
        <is>
          <t>DALARNAS LÄN</t>
        </is>
      </c>
      <c r="G233" t="inlineStr">
        <is>
          <t>SÄTER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46259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46259</v>
      </c>
      <c r="F235" t="inlineStr">
        <is>
          <t>DALARNAS LÄN</t>
        </is>
      </c>
      <c r="G235" t="inlineStr">
        <is>
          <t>SÄTER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45469</v>
      </c>
      <c r="E236" s="1" t="n">
        <v>46259</v>
      </c>
      <c r="F236" t="inlineStr">
        <is>
          <t>DALARNAS LÄN</t>
        </is>
      </c>
      <c r="G236" t="inlineStr">
        <is>
          <t>SÄTER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46259</v>
      </c>
      <c r="F237" t="inlineStr">
        <is>
          <t>DALARNAS LÄN</t>
        </is>
      </c>
      <c r="G237" t="inlineStr">
        <is>
          <t>SÄTER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46259</v>
      </c>
      <c r="F238" t="inlineStr">
        <is>
          <t>DALARNAS LÄN</t>
        </is>
      </c>
      <c r="G238" t="inlineStr">
        <is>
          <t>SÄTER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46259</v>
      </c>
      <c r="F239" t="inlineStr">
        <is>
          <t>DALARNAS LÄN</t>
        </is>
      </c>
      <c r="G239" t="inlineStr">
        <is>
          <t>SÄTER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46259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44788</v>
      </c>
      <c r="E241" s="1" t="n">
        <v>46259</v>
      </c>
      <c r="F241" t="inlineStr">
        <is>
          <t>DALARNAS LÄN</t>
        </is>
      </c>
      <c r="G241" t="inlineStr">
        <is>
          <t>SÄTER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46259</v>
      </c>
      <c r="F242" t="inlineStr">
        <is>
          <t>DALARNAS LÄN</t>
        </is>
      </c>
      <c r="G242" t="inlineStr">
        <is>
          <t>SÄTER</t>
        </is>
      </c>
      <c r="I242" t="n">
        <v>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46259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44581</v>
      </c>
      <c r="E244" s="1" t="n">
        <v>46259</v>
      </c>
      <c r="F244" t="inlineStr">
        <is>
          <t>DALARNAS LÄN</t>
        </is>
      </c>
      <c r="G244" t="inlineStr">
        <is>
          <t>SÄTER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46259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9.5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46259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46259</v>
      </c>
      <c r="F247" t="inlineStr">
        <is>
          <t>DALARNAS LÄN</t>
        </is>
      </c>
      <c r="G247" t="inlineStr">
        <is>
          <t>SÄTER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46259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46259</v>
      </c>
      <c r="F249" t="inlineStr">
        <is>
          <t>DALARNAS LÄN</t>
        </is>
      </c>
      <c r="G249" t="inlineStr">
        <is>
          <t>SÄTER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46259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46259</v>
      </c>
      <c r="F251" t="inlineStr">
        <is>
          <t>DALARNAS LÄN</t>
        </is>
      </c>
      <c r="G251" t="inlineStr">
        <is>
          <t>SÄTER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46259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44953</v>
      </c>
      <c r="E253" s="1" t="n">
        <v>46259</v>
      </c>
      <c r="F253" t="inlineStr">
        <is>
          <t>DALARNAS LÄN</t>
        </is>
      </c>
      <c r="G253" t="inlineStr">
        <is>
          <t>SÄTER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46259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46259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46259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46259</v>
      </c>
      <c r="F257" t="inlineStr">
        <is>
          <t>DALARNAS LÄN</t>
        </is>
      </c>
      <c r="G257" t="inlineStr">
        <is>
          <t>SÄTER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46259</v>
      </c>
      <c r="F258" t="inlineStr">
        <is>
          <t>DALARNAS LÄN</t>
        </is>
      </c>
      <c r="G258" t="inlineStr">
        <is>
          <t>SÄTER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46559-2021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44445</v>
      </c>
      <c r="E259" s="1" t="n">
        <v>46259</v>
      </c>
      <c r="F259" t="inlineStr">
        <is>
          <t>DALARNAS LÄN</t>
        </is>
      </c>
      <c r="G259" t="inlineStr">
        <is>
          <t>SÄTER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46259</v>
      </c>
      <c r="F260" t="inlineStr">
        <is>
          <t>DALARNAS LÄN</t>
        </is>
      </c>
      <c r="G260" t="inlineStr">
        <is>
          <t>SÄTER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46259</v>
      </c>
      <c r="F261" t="inlineStr">
        <is>
          <t>DALARNAS LÄN</t>
        </is>
      </c>
      <c r="G261" t="inlineStr">
        <is>
          <t>SÄTER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51328-2024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45604</v>
      </c>
      <c r="E262" s="1" t="n">
        <v>46259</v>
      </c>
      <c r="F262" t="inlineStr">
        <is>
          <t>DALARNAS LÄN</t>
        </is>
      </c>
      <c r="G262" t="inlineStr">
        <is>
          <t>SÄTER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51339-2024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45604</v>
      </c>
      <c r="E263" s="1" t="n">
        <v>46259</v>
      </c>
      <c r="F263" t="inlineStr">
        <is>
          <t>DALARNAS LÄN</t>
        </is>
      </c>
      <c r="G263" t="inlineStr">
        <is>
          <t>SÄTER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45546</v>
      </c>
      <c r="E264" s="1" t="n">
        <v>46259</v>
      </c>
      <c r="F264" t="inlineStr">
        <is>
          <t>DALARNAS LÄN</t>
        </is>
      </c>
      <c r="G264" t="inlineStr">
        <is>
          <t>SÄTER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46259</v>
      </c>
      <c r="F265" t="inlineStr">
        <is>
          <t>DALARNAS LÄN</t>
        </is>
      </c>
      <c r="G265" t="inlineStr">
        <is>
          <t>SÄTER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53559-2025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46259</v>
      </c>
      <c r="F266" t="inlineStr">
        <is>
          <t>DALARNAS LÄN</t>
        </is>
      </c>
      <c r="G266" t="inlineStr">
        <is>
          <t>SÄTER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46259</v>
      </c>
      <c r="F267" t="inlineStr">
        <is>
          <t>DALARNAS LÄN</t>
        </is>
      </c>
      <c r="G267" t="inlineStr">
        <is>
          <t>SÄTER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46259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45961</v>
      </c>
      <c r="E269" s="1" t="n">
        <v>46259</v>
      </c>
      <c r="F269" t="inlineStr">
        <is>
          <t>DALARNAS LÄN</t>
        </is>
      </c>
      <c r="G269" t="inlineStr">
        <is>
          <t>SÄTER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46259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12957-2022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44643</v>
      </c>
      <c r="E271" s="1" t="n">
        <v>46259</v>
      </c>
      <c r="F271" t="inlineStr">
        <is>
          <t>DALARNAS LÄN</t>
        </is>
      </c>
      <c r="G271" t="inlineStr">
        <is>
          <t>SÄTER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46259</v>
      </c>
      <c r="F272" t="inlineStr">
        <is>
          <t>DALARNAS LÄN</t>
        </is>
      </c>
      <c r="G272" t="inlineStr">
        <is>
          <t>SÄTER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46259</v>
      </c>
      <c r="F273" t="inlineStr">
        <is>
          <t>DALARNAS LÄN</t>
        </is>
      </c>
      <c r="G273" t="inlineStr">
        <is>
          <t>SÄTER</t>
        </is>
      </c>
      <c r="H273" t="inlineStr">
        <is>
          <t>Övriga statliga verk och myndigheter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45740</v>
      </c>
      <c r="E274" s="1" t="n">
        <v>46259</v>
      </c>
      <c r="F274" t="inlineStr">
        <is>
          <t>DALARNAS LÄN</t>
        </is>
      </c>
      <c r="G274" t="inlineStr">
        <is>
          <t>SÄTER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46259</v>
      </c>
      <c r="F275" t="inlineStr">
        <is>
          <t>DALARNAS LÄN</t>
        </is>
      </c>
      <c r="G275" t="inlineStr">
        <is>
          <t>SÄTER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46259</v>
      </c>
      <c r="F276" t="inlineStr">
        <is>
          <t>DALARNAS LÄN</t>
        </is>
      </c>
      <c r="G276" t="inlineStr">
        <is>
          <t>SÄTER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46259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46259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46259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45527</v>
      </c>
      <c r="E280" s="1" t="n">
        <v>46259</v>
      </c>
      <c r="F280" t="inlineStr">
        <is>
          <t>DALARNAS LÄN</t>
        </is>
      </c>
      <c r="G280" t="inlineStr">
        <is>
          <t>SÄTER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45527</v>
      </c>
      <c r="E281" s="1" t="n">
        <v>46259</v>
      </c>
      <c r="F281" t="inlineStr">
        <is>
          <t>DALARNAS LÄN</t>
        </is>
      </c>
      <c r="G281" t="inlineStr">
        <is>
          <t>SÄTER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46259</v>
      </c>
      <c r="F282" t="inlineStr">
        <is>
          <t>DALARNAS LÄN</t>
        </is>
      </c>
      <c r="G282" t="inlineStr">
        <is>
          <t>SÄTER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46259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46259</v>
      </c>
      <c r="F284" t="inlineStr">
        <is>
          <t>DALARNAS LÄN</t>
        </is>
      </c>
      <c r="G284" t="inlineStr">
        <is>
          <t>SÄTER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46259</v>
      </c>
      <c r="F285" t="inlineStr">
        <is>
          <t>DALARNAS LÄN</t>
        </is>
      </c>
      <c r="G285" t="inlineStr">
        <is>
          <t>SÄTER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45599</v>
      </c>
      <c r="E286" s="1" t="n">
        <v>46259</v>
      </c>
      <c r="F286" t="inlineStr">
        <is>
          <t>DALARNAS LÄN</t>
        </is>
      </c>
      <c r="G286" t="inlineStr">
        <is>
          <t>SÄTER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46259</v>
      </c>
      <c r="F287" t="inlineStr">
        <is>
          <t>DALARNAS LÄN</t>
        </is>
      </c>
      <c r="G287" t="inlineStr">
        <is>
          <t>SÄTER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46234</v>
      </c>
      <c r="E288" s="1" t="n">
        <v>46259</v>
      </c>
      <c r="F288" t="inlineStr">
        <is>
          <t>DALARNAS LÄN</t>
        </is>
      </c>
      <c r="G288" t="inlineStr">
        <is>
          <t>SÄTER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46259</v>
      </c>
      <c r="F289" t="inlineStr">
        <is>
          <t>DALARNAS LÄN</t>
        </is>
      </c>
      <c r="G289" t="inlineStr">
        <is>
          <t>SÄTER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45628</v>
      </c>
      <c r="E290" s="1" t="n">
        <v>46259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46259</v>
      </c>
      <c r="F291" t="inlineStr">
        <is>
          <t>DALARNAS LÄN</t>
        </is>
      </c>
      <c r="G291" t="inlineStr">
        <is>
          <t>SÄTER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44982</v>
      </c>
      <c r="E292" s="1" t="n">
        <v>46259</v>
      </c>
      <c r="F292" t="inlineStr">
        <is>
          <t>DALARNAS LÄN</t>
        </is>
      </c>
      <c r="G292" t="inlineStr">
        <is>
          <t>SÄTER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45268</v>
      </c>
      <c r="E293" s="1" t="n">
        <v>46259</v>
      </c>
      <c r="F293" t="inlineStr">
        <is>
          <t>DALARNAS LÄN</t>
        </is>
      </c>
      <c r="G293" t="inlineStr">
        <is>
          <t>SÄTER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46259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45442</v>
      </c>
      <c r="E295" s="1" t="n">
        <v>46259</v>
      </c>
      <c r="F295" t="inlineStr">
        <is>
          <t>DALARNAS LÄN</t>
        </is>
      </c>
      <c r="G295" t="inlineStr">
        <is>
          <t>SÄTER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28281-2026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46259</v>
      </c>
      <c r="F296" t="inlineStr">
        <is>
          <t>DALARNAS LÄN</t>
        </is>
      </c>
      <c r="G296" t="inlineStr">
        <is>
          <t>SÄTER</t>
        </is>
      </c>
      <c r="H296" t="inlineStr">
        <is>
          <t>Sveaskog</t>
        </is>
      </c>
      <c r="I296" t="n">
        <v>19.8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46259</v>
      </c>
      <c r="F297" t="inlineStr">
        <is>
          <t>DALARNAS LÄN</t>
        </is>
      </c>
      <c r="G297" t="inlineStr">
        <is>
          <t>SÄTER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46259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44784</v>
      </c>
      <c r="E299" s="1" t="n">
        <v>46259</v>
      </c>
      <c r="F299" t="inlineStr">
        <is>
          <t>DALARNAS LÄN</t>
        </is>
      </c>
      <c r="G299" t="inlineStr">
        <is>
          <t>SÄTER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44784</v>
      </c>
      <c r="E300" s="1" t="n">
        <v>46259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46259</v>
      </c>
      <c r="F301" t="inlineStr">
        <is>
          <t>DALARNAS LÄN</t>
        </is>
      </c>
      <c r="G301" t="inlineStr">
        <is>
          <t>SÄTER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45527</v>
      </c>
      <c r="E302" s="1" t="n">
        <v>46259</v>
      </c>
      <c r="F302" t="inlineStr">
        <is>
          <t>DALARNAS LÄN</t>
        </is>
      </c>
      <c r="G302" t="inlineStr">
        <is>
          <t>SÄTER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46259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46259</v>
      </c>
      <c r="F304" t="inlineStr">
        <is>
          <t>DALARNAS LÄN</t>
        </is>
      </c>
      <c r="G304" t="inlineStr">
        <is>
          <t>SÄTER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46259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46259</v>
      </c>
      <c r="F306" t="inlineStr">
        <is>
          <t>DALARNAS LÄN</t>
        </is>
      </c>
      <c r="G306" t="inlineStr">
        <is>
          <t>SÄTER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46259</v>
      </c>
      <c r="F307" t="inlineStr">
        <is>
          <t>DALARNAS LÄN</t>
        </is>
      </c>
      <c r="G307" t="inlineStr">
        <is>
          <t>SÄTER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44978</v>
      </c>
      <c r="E308" s="1" t="n">
        <v>46259</v>
      </c>
      <c r="F308" t="inlineStr">
        <is>
          <t>DALARNAS LÄN</t>
        </is>
      </c>
      <c r="G308" t="inlineStr">
        <is>
          <t>SÄTER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46259</v>
      </c>
      <c r="F309" t="inlineStr">
        <is>
          <t>DALARNAS LÄN</t>
        </is>
      </c>
      <c r="G309" t="inlineStr">
        <is>
          <t>SÄTER</t>
        </is>
      </c>
      <c r="I309" t="n">
        <v>12.1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46026</v>
      </c>
      <c r="E310" s="1" t="n">
        <v>46259</v>
      </c>
      <c r="F310" t="inlineStr">
        <is>
          <t>DALARNAS LÄN</t>
        </is>
      </c>
      <c r="G310" t="inlineStr">
        <is>
          <t>SÄTER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987-2026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46030</v>
      </c>
      <c r="E311" s="1" t="n">
        <v>46259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46259</v>
      </c>
      <c r="F312" t="inlineStr">
        <is>
          <t>DALARNAS LÄN</t>
        </is>
      </c>
      <c r="G312" t="inlineStr">
        <is>
          <t>SÄTER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44830</v>
      </c>
      <c r="E313" s="1" t="n">
        <v>46259</v>
      </c>
      <c r="F313" t="inlineStr">
        <is>
          <t>DALARNAS LÄN</t>
        </is>
      </c>
      <c r="G313" t="inlineStr">
        <is>
          <t>SÄTER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46259</v>
      </c>
      <c r="F314" t="inlineStr">
        <is>
          <t>DALARNAS LÄN</t>
        </is>
      </c>
      <c r="G314" t="inlineStr">
        <is>
          <t>SÄTER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46259</v>
      </c>
      <c r="F315" t="inlineStr">
        <is>
          <t>DALARNAS LÄN</t>
        </is>
      </c>
      <c r="G315" t="inlineStr">
        <is>
          <t>SÄTER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46259</v>
      </c>
      <c r="F316" t="inlineStr">
        <is>
          <t>DALARNAS LÄN</t>
        </is>
      </c>
      <c r="G316" t="inlineStr">
        <is>
          <t>SÄTER</t>
        </is>
      </c>
      <c r="H316" t="inlineStr">
        <is>
          <t>Kommuner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46259</v>
      </c>
      <c r="F317" t="inlineStr">
        <is>
          <t>DALARNAS LÄN</t>
        </is>
      </c>
      <c r="G317" t="inlineStr">
        <is>
          <t>SÄTER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46259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46259</v>
      </c>
      <c r="F319" t="inlineStr">
        <is>
          <t>DALARNAS LÄN</t>
        </is>
      </c>
      <c r="G319" t="inlineStr">
        <is>
          <t>SÄTER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46259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46259</v>
      </c>
      <c r="F321" t="inlineStr">
        <is>
          <t>DALARNAS LÄN</t>
        </is>
      </c>
      <c r="G321" t="inlineStr">
        <is>
          <t>SÄTER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46259</v>
      </c>
      <c r="F322" t="inlineStr">
        <is>
          <t>DALARNAS LÄN</t>
        </is>
      </c>
      <c r="G322" t="inlineStr">
        <is>
          <t>SÄTER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46259</v>
      </c>
      <c r="F323" t="inlineStr">
        <is>
          <t>DALARNAS LÄN</t>
        </is>
      </c>
      <c r="G323" t="inlineStr">
        <is>
          <t>SÄTER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46259</v>
      </c>
      <c r="F324" t="inlineStr">
        <is>
          <t>DALARNAS LÄN</t>
        </is>
      </c>
      <c r="G324" t="inlineStr">
        <is>
          <t>SÄTER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46259</v>
      </c>
      <c r="F325" t="inlineStr">
        <is>
          <t>DALARNAS LÄN</t>
        </is>
      </c>
      <c r="G325" t="inlineStr">
        <is>
          <t>SÄTER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45604</v>
      </c>
      <c r="E326" s="1" t="n">
        <v>46259</v>
      </c>
      <c r="F326" t="inlineStr">
        <is>
          <t>DALARNAS LÄN</t>
        </is>
      </c>
      <c r="G326" t="inlineStr">
        <is>
          <t>SÄTER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46259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46259</v>
      </c>
      <c r="F328" t="inlineStr">
        <is>
          <t>DALARNAS LÄN</t>
        </is>
      </c>
      <c r="G328" t="inlineStr">
        <is>
          <t>SÄTER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46259</v>
      </c>
      <c r="F329" t="inlineStr">
        <is>
          <t>DALARNAS LÄN</t>
        </is>
      </c>
      <c r="G329" t="inlineStr">
        <is>
          <t>SÄTER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  <c r="Z329">
        <f>HYPERLINK("https://klasma.github.io/Logging_2082/knärot/A 498-2025 karta knärot.png", "A 498-2025")</f>
        <v/>
      </c>
      <c r="AA329">
        <f>HYPERLINK("https://klasma.github.io/Logging_2082/klagomål/A 498-2025 FSC-klagomål.docx", "A 498-2025")</f>
        <v/>
      </c>
      <c r="AB329">
        <f>HYPERLINK("https://klasma.github.io/Logging_2082/klagomålsmail/A 498-2025 FSC-klagomål mail.docx", "A 498-2025")</f>
        <v/>
      </c>
      <c r="AC329">
        <f>HYPERLINK("https://klasma.github.io/Logging_2082/tillsyn/A 498-2025 tillsynsbegäran.docx", "A 498-2025")</f>
        <v/>
      </c>
      <c r="AD329">
        <f>HYPERLINK("https://klasma.github.io/Logging_2082/tillsynsmail/A 498-2025 tillsynsbegäran mail.docx", "A 498-2025")</f>
        <v/>
      </c>
    </row>
    <row r="330" ht="15" customHeight="1">
      <c r="A330" t="inlineStr">
        <is>
          <t>A 61344-2023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46259</v>
      </c>
      <c r="F330" t="inlineStr">
        <is>
          <t>DALARNAS LÄN</t>
        </is>
      </c>
      <c r="G330" t="inlineStr">
        <is>
          <t>SÄTER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45232</v>
      </c>
      <c r="E331" s="1" t="n">
        <v>46259</v>
      </c>
      <c r="F331" t="inlineStr">
        <is>
          <t>DALARNAS LÄN</t>
        </is>
      </c>
      <c r="G331" t="inlineStr">
        <is>
          <t>SÄTER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46259</v>
      </c>
      <c r="F332" t="inlineStr">
        <is>
          <t>DALARNAS LÄN</t>
        </is>
      </c>
      <c r="G332" t="inlineStr">
        <is>
          <t>SÄTER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46259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46259</v>
      </c>
      <c r="F334" t="inlineStr">
        <is>
          <t>DALARNAS LÄN</t>
        </is>
      </c>
      <c r="G334" t="inlineStr">
        <is>
          <t>SÄTER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45171</v>
      </c>
      <c r="E335" s="1" t="n">
        <v>46259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46259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45596</v>
      </c>
      <c r="E337" s="1" t="n">
        <v>46259</v>
      </c>
      <c r="F337" t="inlineStr">
        <is>
          <t>DALARNAS LÄN</t>
        </is>
      </c>
      <c r="G337" t="inlineStr">
        <is>
          <t>SÄTER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46259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46259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19322-2024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45428</v>
      </c>
      <c r="E340" s="1" t="n">
        <v>46259</v>
      </c>
      <c r="F340" t="inlineStr">
        <is>
          <t>DALARNAS LÄN</t>
        </is>
      </c>
      <c r="G340" t="inlineStr">
        <is>
          <t>SÄTER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45432</v>
      </c>
      <c r="E341" s="1" t="n">
        <v>46259</v>
      </c>
      <c r="F341" t="inlineStr">
        <is>
          <t>DALARNAS LÄN</t>
        </is>
      </c>
      <c r="G341" t="inlineStr">
        <is>
          <t>SÄTER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46259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46259</v>
      </c>
      <c r="F343" t="inlineStr">
        <is>
          <t>DALARNAS LÄN</t>
        </is>
      </c>
      <c r="G343" t="inlineStr">
        <is>
          <t>SÄTER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46259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46259</v>
      </c>
      <c r="F345" t="inlineStr">
        <is>
          <t>DALARNAS LÄN</t>
        </is>
      </c>
      <c r="G345" t="inlineStr">
        <is>
          <t>SÄTER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46259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46259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46259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46259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46259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25294-2024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45462</v>
      </c>
      <c r="E351" s="1" t="n">
        <v>46259</v>
      </c>
      <c r="F351" t="inlineStr">
        <is>
          <t>DALARNAS LÄN</t>
        </is>
      </c>
      <c r="G351" t="inlineStr">
        <is>
          <t>SÄTER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46259</v>
      </c>
      <c r="F352" t="inlineStr">
        <is>
          <t>DALARNAS LÄN</t>
        </is>
      </c>
      <c r="G352" t="inlineStr">
        <is>
          <t>SÄTER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46259</v>
      </c>
      <c r="F353" t="inlineStr">
        <is>
          <t>DALARNAS LÄN</t>
        </is>
      </c>
      <c r="G353" t="inlineStr">
        <is>
          <t>SÄTER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46259</v>
      </c>
      <c r="F354" t="inlineStr">
        <is>
          <t>DALARNAS LÄN</t>
        </is>
      </c>
      <c r="G354" t="inlineStr">
        <is>
          <t>SÄTER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46259</v>
      </c>
      <c r="F355" t="inlineStr">
        <is>
          <t>DALARNAS LÄN</t>
        </is>
      </c>
      <c r="G355" t="inlineStr">
        <is>
          <t>SÄTER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46259</v>
      </c>
      <c r="F356" t="inlineStr">
        <is>
          <t>DALARNAS LÄN</t>
        </is>
      </c>
      <c r="G356" t="inlineStr">
        <is>
          <t>SÄTER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46259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46077</v>
      </c>
      <c r="E358" s="1" t="n">
        <v>46259</v>
      </c>
      <c r="F358" t="inlineStr">
        <is>
          <t>DALARNAS LÄN</t>
        </is>
      </c>
      <c r="G358" t="inlineStr">
        <is>
          <t>SÄTER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46259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46259</v>
      </c>
      <c r="F360" t="inlineStr">
        <is>
          <t>DALARNAS LÄN</t>
        </is>
      </c>
      <c r="G360" t="inlineStr">
        <is>
          <t>SÄTER</t>
        </is>
      </c>
      <c r="H360" t="inlineStr">
        <is>
          <t>Kommuner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46259</v>
      </c>
      <c r="F361" t="inlineStr">
        <is>
          <t>DALARNAS LÄN</t>
        </is>
      </c>
      <c r="G361" t="inlineStr">
        <is>
          <t>SÄTER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46259</v>
      </c>
      <c r="F362" t="inlineStr">
        <is>
          <t>DALARNAS LÄN</t>
        </is>
      </c>
      <c r="G362" t="inlineStr">
        <is>
          <t>SÄTER</t>
        </is>
      </c>
      <c r="I362" t="n">
        <v>9.800000000000001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46259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46259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405-2022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44585</v>
      </c>
      <c r="E365" s="1" t="n">
        <v>46259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79.09999999999999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3057-2023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45182</v>
      </c>
      <c r="E366" s="1" t="n">
        <v>46259</v>
      </c>
      <c r="F366" t="inlineStr">
        <is>
          <t>DALARNAS LÄN</t>
        </is>
      </c>
      <c r="G366" t="inlineStr">
        <is>
          <t>SÄTER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46259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46259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2964-2025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45952</v>
      </c>
      <c r="E369" s="1" t="n">
        <v>46259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2939-2025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45951</v>
      </c>
      <c r="E370" s="1" t="n">
        <v>46259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46259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2026-08-25T01:52:05Z</dcterms:created>
  <dcterms:modified xmlns:dcterms="http://purl.org/dc/terms/" xmlns:xsi="http://www.w3.org/2001/XMLSchema-instance" xsi:type="dcterms:W3CDTF">2026-08-25T01:52:05Z</dcterms:modified>
</cp:coreProperties>
</file>