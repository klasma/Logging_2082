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46036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46036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46036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46036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46036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46036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46036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46036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46036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46036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46036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46036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46036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46036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46036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46036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46036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46036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46036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46036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46036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46036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46036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46036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46036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46036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46036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46036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46036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46036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46036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46036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46036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46036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46036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46036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46036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46036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46036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46036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46036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46036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46036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46036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46036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46036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46036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62368-2023</t>
        </is>
      </c>
      <c r="B64" s="1" t="n">
        <v>45268</v>
      </c>
      <c r="C64" s="1" t="n">
        <v>46036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11416-2022</t>
        </is>
      </c>
      <c r="B65" s="1" t="n">
        <v>44630.5793287037</v>
      </c>
      <c r="C65" s="1" t="n">
        <v>46036</v>
      </c>
      <c r="D65" t="inlineStr">
        <is>
          <t>DALARNAS LÄN</t>
        </is>
      </c>
      <c r="E65" t="inlineStr">
        <is>
          <t>SÄTER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46036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51328-2024</t>
        </is>
      </c>
      <c r="B67" s="1" t="n">
        <v>45604.33951388889</v>
      </c>
      <c r="C67" s="1" t="n">
        <v>46036</v>
      </c>
      <c r="D67" t="inlineStr">
        <is>
          <t>DALARNAS LÄN</t>
        </is>
      </c>
      <c r="E67" t="inlineStr">
        <is>
          <t>SÄTER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51339-2024</t>
        </is>
      </c>
      <c r="B68" s="1" t="n">
        <v>45604.34466435185</v>
      </c>
      <c r="C68" s="1" t="n">
        <v>46036</v>
      </c>
      <c r="D68" t="inlineStr">
        <is>
          <t>DALARNAS LÄN</t>
        </is>
      </c>
      <c r="E68" t="inlineStr">
        <is>
          <t>SÄTER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2929-2022</t>
        </is>
      </c>
      <c r="B69" s="1" t="n">
        <v>44581.60393518519</v>
      </c>
      <c r="C69" s="1" t="n">
        <v>46036</v>
      </c>
      <c r="D69" t="inlineStr">
        <is>
          <t>DALARNAS LÄN</t>
        </is>
      </c>
      <c r="E69" t="inlineStr">
        <is>
          <t>SÄTER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46036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46036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20491-2025</t>
        </is>
      </c>
      <c r="B72" s="1" t="n">
        <v>45775.56512731482</v>
      </c>
      <c r="C72" s="1" t="n">
        <v>46036</v>
      </c>
      <c r="D72" t="inlineStr">
        <is>
          <t>DALARNAS LÄN</t>
        </is>
      </c>
      <c r="E72" t="inlineStr">
        <is>
          <t>SÄTER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498-2025</t>
        </is>
      </c>
      <c r="B73" s="1" t="n">
        <v>45664.46653935185</v>
      </c>
      <c r="C73" s="1" t="n">
        <v>46036</v>
      </c>
      <c r="D73" t="inlineStr">
        <is>
          <t>DALARNAS LÄN</t>
        </is>
      </c>
      <c r="E73" t="inlineStr">
        <is>
          <t>SÄTER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HYPERLINK("https://klasma.github.io/Logging_2082/knärot/A 498-2025 karta knärot.png", "A 498-2025")</f>
        <v/>
      </c>
      <c r="V73">
        <f>HYPERLINK("https://klasma.github.io/Logging_2082/klagomål/A 498-2025 FSC-klagomål.docx", "A 498-2025")</f>
        <v/>
      </c>
      <c r="W73">
        <f>HYPERLINK("https://klasma.github.io/Logging_2082/klagomålsmail/A 498-2025 FSC-klagomål mail.docx", "A 498-2025")</f>
        <v/>
      </c>
      <c r="X73">
        <f>HYPERLINK("https://klasma.github.io/Logging_2082/tillsyn/A 498-2025 tillsynsbegäran.docx", "A 498-2025")</f>
        <v/>
      </c>
      <c r="Y73">
        <f>HYPERLINK("https://klasma.github.io/Logging_2082/tillsynsmail/A 498-2025 tillsynsbegäran mail.docx", "A 498-2025")</f>
        <v/>
      </c>
    </row>
    <row r="74" ht="15" customHeight="1">
      <c r="A74" t="inlineStr">
        <is>
          <t>A 44992-2024</t>
        </is>
      </c>
      <c r="B74" s="1" t="n">
        <v>45575</v>
      </c>
      <c r="C74" s="1" t="n">
        <v>46036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41961-2024</t>
        </is>
      </c>
      <c r="B75" s="1" t="n">
        <v>45561</v>
      </c>
      <c r="C75" s="1" t="n">
        <v>46036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46036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49756-2021</t>
        </is>
      </c>
      <c r="B77" s="1" t="n">
        <v>44455</v>
      </c>
      <c r="C77" s="1" t="n">
        <v>46036</v>
      </c>
      <c r="D77" t="inlineStr">
        <is>
          <t>DALARNAS LÄN</t>
        </is>
      </c>
      <c r="E77" t="inlineStr">
        <is>
          <t>SÄTER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57016-2024</t>
        </is>
      </c>
      <c r="B78" s="1" t="n">
        <v>45628.80193287037</v>
      </c>
      <c r="C78" s="1" t="n">
        <v>46036</v>
      </c>
      <c r="D78" t="inlineStr">
        <is>
          <t>DALARNAS LÄN</t>
        </is>
      </c>
      <c r="E78" t="inlineStr">
        <is>
          <t>SÄTER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46036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46036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45099-2024</t>
        </is>
      </c>
      <c r="B81" s="1" t="n">
        <v>45575.58675925926</v>
      </c>
      <c r="C81" s="1" t="n">
        <v>46036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45161-2021</t>
        </is>
      </c>
      <c r="B82" s="1" t="n">
        <v>44439.48746527778</v>
      </c>
      <c r="C82" s="1" t="n">
        <v>46036</v>
      </c>
      <c r="D82" t="inlineStr">
        <is>
          <t>DALARNAS LÄN</t>
        </is>
      </c>
      <c r="E82" t="inlineStr">
        <is>
          <t>SÄTER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58864-2024</t>
        </is>
      </c>
      <c r="B83" s="1" t="n">
        <v>45636.41715277778</v>
      </c>
      <c r="C83" s="1" t="n">
        <v>46036</v>
      </c>
      <c r="D83" t="inlineStr">
        <is>
          <t>DALARNAS LÄN</t>
        </is>
      </c>
      <c r="E83" t="inlineStr">
        <is>
          <t>SÄTER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43725-2021</t>
        </is>
      </c>
      <c r="B84" s="1" t="n">
        <v>44433</v>
      </c>
      <c r="C84" s="1" t="n">
        <v>46036</v>
      </c>
      <c r="D84" t="inlineStr">
        <is>
          <t>DALARNAS LÄN</t>
        </is>
      </c>
      <c r="E84" t="inlineStr">
        <is>
          <t>SÄTER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46036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44455.4653125</v>
      </c>
      <c r="C86" s="1" t="n">
        <v>46036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46036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46036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57430-2022</t>
        </is>
      </c>
      <c r="B89" s="1" t="n">
        <v>44896</v>
      </c>
      <c r="C89" s="1" t="n">
        <v>46036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51329-2024</t>
        </is>
      </c>
      <c r="B90" s="1" t="n">
        <v>45604.34008101852</v>
      </c>
      <c r="C90" s="1" t="n">
        <v>46036</v>
      </c>
      <c r="D90" t="inlineStr">
        <is>
          <t>DALARNAS LÄN</t>
        </is>
      </c>
      <c r="E90" t="inlineStr">
        <is>
          <t>SÄTER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12225-2025</t>
        </is>
      </c>
      <c r="B91" s="1" t="n">
        <v>45729.5565162037</v>
      </c>
      <c r="C91" s="1" t="n">
        <v>46036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46577-2023</t>
        </is>
      </c>
      <c r="B92" s="1" t="n">
        <v>45198</v>
      </c>
      <c r="C92" s="1" t="n">
        <v>46036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18313-2024</t>
        </is>
      </c>
      <c r="B93" s="1" t="n">
        <v>45422.49016203704</v>
      </c>
      <c r="C93" s="1" t="n">
        <v>46036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46036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18888-2022</t>
        </is>
      </c>
      <c r="B95" s="1" t="n">
        <v>44690.56789351852</v>
      </c>
      <c r="C95" s="1" t="n">
        <v>46036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57015-2024</t>
        </is>
      </c>
      <c r="B96" s="1" t="n">
        <v>45628.79650462963</v>
      </c>
      <c r="C96" s="1" t="n">
        <v>46036</v>
      </c>
      <c r="D96" t="inlineStr">
        <is>
          <t>DALARNAS LÄN</t>
        </is>
      </c>
      <c r="E96" t="inlineStr">
        <is>
          <t>SÄTER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56225-2023</t>
        </is>
      </c>
      <c r="B97" s="1" t="n">
        <v>45240</v>
      </c>
      <c r="C97" s="1" t="n">
        <v>46036</v>
      </c>
      <c r="D97" t="inlineStr">
        <is>
          <t>DALARNAS LÄN</t>
        </is>
      </c>
      <c r="E97" t="inlineStr">
        <is>
          <t>SÄTER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3342-2022</t>
        </is>
      </c>
      <c r="B98" s="1" t="n">
        <v>44585</v>
      </c>
      <c r="C98" s="1" t="n">
        <v>46036</v>
      </c>
      <c r="D98" t="inlineStr">
        <is>
          <t>DALARNAS LÄN</t>
        </is>
      </c>
      <c r="E98" t="inlineStr">
        <is>
          <t>SÄTER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26604-2025</t>
        </is>
      </c>
      <c r="B99" s="1" t="n">
        <v>45809.84229166667</v>
      </c>
      <c r="C99" s="1" t="n">
        <v>46036</v>
      </c>
      <c r="D99" t="inlineStr">
        <is>
          <t>DALARNAS LÄN</t>
        </is>
      </c>
      <c r="E99" t="inlineStr">
        <is>
          <t>SÄTER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46036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46036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39780-2024</t>
        </is>
      </c>
      <c r="B102" s="1" t="n">
        <v>45552.88579861111</v>
      </c>
      <c r="C102" s="1" t="n">
        <v>46036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32886-2022</t>
        </is>
      </c>
      <c r="B103" s="1" t="n">
        <v>44784.55162037037</v>
      </c>
      <c r="C103" s="1" t="n">
        <v>46036</v>
      </c>
      <c r="D103" t="inlineStr">
        <is>
          <t>DALARNAS LÄN</t>
        </is>
      </c>
      <c r="E103" t="inlineStr">
        <is>
          <t>SÄTER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19747-2025</t>
        </is>
      </c>
      <c r="B104" s="1" t="n">
        <v>45771</v>
      </c>
      <c r="C104" s="1" t="n">
        <v>46036</v>
      </c>
      <c r="D104" t="inlineStr">
        <is>
          <t>DALARNAS LÄN</t>
        </is>
      </c>
      <c r="E104" t="inlineStr">
        <is>
          <t>SÄTER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36590-2024</t>
        </is>
      </c>
      <c r="B105" s="1" t="n">
        <v>45537.54650462963</v>
      </c>
      <c r="C105" s="1" t="n">
        <v>46036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44719-2024</t>
        </is>
      </c>
      <c r="B106" s="1" t="n">
        <v>45574</v>
      </c>
      <c r="C106" s="1" t="n">
        <v>46036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44726-2024</t>
        </is>
      </c>
      <c r="B107" s="1" t="n">
        <v>45574</v>
      </c>
      <c r="C107" s="1" t="n">
        <v>46036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28852-2025</t>
        </is>
      </c>
      <c r="B108" s="1" t="n">
        <v>45820.57768518518</v>
      </c>
      <c r="C108" s="1" t="n">
        <v>46036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14168-2025</t>
        </is>
      </c>
      <c r="B109" s="1" t="n">
        <v>45740.51744212963</v>
      </c>
      <c r="C109" s="1" t="n">
        <v>46036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29225-2025</t>
        </is>
      </c>
      <c r="B110" s="1" t="n">
        <v>45824.33739583333</v>
      </c>
      <c r="C110" s="1" t="n">
        <v>46036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29522-2025</t>
        </is>
      </c>
      <c r="B111" s="1" t="n">
        <v>45825.33287037037</v>
      </c>
      <c r="C111" s="1" t="n">
        <v>46036</v>
      </c>
      <c r="D111" t="inlineStr">
        <is>
          <t>DALARNAS LÄN</t>
        </is>
      </c>
      <c r="E111" t="inlineStr">
        <is>
          <t>SÄTER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24617-2022</t>
        </is>
      </c>
      <c r="B112" s="1" t="n">
        <v>44727</v>
      </c>
      <c r="C112" s="1" t="n">
        <v>46036</v>
      </c>
      <c r="D112" t="inlineStr">
        <is>
          <t>DALARNAS LÄN</t>
        </is>
      </c>
      <c r="E112" t="inlineStr">
        <is>
          <t>SÄTER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14747-2024</t>
        </is>
      </c>
      <c r="B113" s="1" t="n">
        <v>45397.63957175926</v>
      </c>
      <c r="C113" s="1" t="n">
        <v>46036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54141-2023</t>
        </is>
      </c>
      <c r="B114" s="1" t="n">
        <v>45232</v>
      </c>
      <c r="C114" s="1" t="n">
        <v>46036</v>
      </c>
      <c r="D114" t="inlineStr">
        <is>
          <t>DALARNAS LÄN</t>
        </is>
      </c>
      <c r="E114" t="inlineStr">
        <is>
          <t>SÄTER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13363-2021</t>
        </is>
      </c>
      <c r="B115" s="1" t="n">
        <v>44273.38966435185</v>
      </c>
      <c r="C115" s="1" t="n">
        <v>46036</v>
      </c>
      <c r="D115" t="inlineStr">
        <is>
          <t>DALARNAS LÄN</t>
        </is>
      </c>
      <c r="E115" t="inlineStr">
        <is>
          <t>SÄTER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29321-2025</t>
        </is>
      </c>
      <c r="B116" s="1" t="n">
        <v>45824.47616898148</v>
      </c>
      <c r="C116" s="1" t="n">
        <v>46036</v>
      </c>
      <c r="D116" t="inlineStr">
        <is>
          <t>DALARNAS LÄN</t>
        </is>
      </c>
      <c r="E116" t="inlineStr">
        <is>
          <t>SÄTER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33374-2024</t>
        </is>
      </c>
      <c r="B117" s="1" t="n">
        <v>45519.43871527778</v>
      </c>
      <c r="C117" s="1" t="n">
        <v>46036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20337-2024</t>
        </is>
      </c>
      <c r="B118" s="1" t="n">
        <v>45435.43137731482</v>
      </c>
      <c r="C118" s="1" t="n">
        <v>46036</v>
      </c>
      <c r="D118" t="inlineStr">
        <is>
          <t>DALARNAS LÄN</t>
        </is>
      </c>
      <c r="E118" t="inlineStr">
        <is>
          <t>SÄTER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14172-2025</t>
        </is>
      </c>
      <c r="B119" s="1" t="n">
        <v>45740</v>
      </c>
      <c r="C119" s="1" t="n">
        <v>46036</v>
      </c>
      <c r="D119" t="inlineStr">
        <is>
          <t>DALARNAS LÄN</t>
        </is>
      </c>
      <c r="E119" t="inlineStr">
        <is>
          <t>SÄTER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14175-2025</t>
        </is>
      </c>
      <c r="B120" s="1" t="n">
        <v>45740</v>
      </c>
      <c r="C120" s="1" t="n">
        <v>46036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8117-2022</t>
        </is>
      </c>
      <c r="B121" s="1" t="n">
        <v>44609.58159722222</v>
      </c>
      <c r="C121" s="1" t="n">
        <v>46036</v>
      </c>
      <c r="D121" t="inlineStr">
        <is>
          <t>DALARNAS LÄN</t>
        </is>
      </c>
      <c r="E121" t="inlineStr">
        <is>
          <t>SÄTER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32569-2025</t>
        </is>
      </c>
      <c r="B122" s="1" t="n">
        <v>45838</v>
      </c>
      <c r="C122" s="1" t="n">
        <v>46036</v>
      </c>
      <c r="D122" t="inlineStr">
        <is>
          <t>DALARNAS LÄN</t>
        </is>
      </c>
      <c r="E122" t="inlineStr">
        <is>
          <t>SÄTER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32571-2025</t>
        </is>
      </c>
      <c r="B123" s="1" t="n">
        <v>45838</v>
      </c>
      <c r="C123" s="1" t="n">
        <v>46036</v>
      </c>
      <c r="D123" t="inlineStr">
        <is>
          <t>DALARNAS LÄN</t>
        </is>
      </c>
      <c r="E123" t="inlineStr">
        <is>
          <t>SÄTER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1378-2025</t>
        </is>
      </c>
      <c r="B124" s="1" t="n">
        <v>45667.65321759259</v>
      </c>
      <c r="C124" s="1" t="n">
        <v>46036</v>
      </c>
      <c r="D124" t="inlineStr">
        <is>
          <t>DALARNAS LÄN</t>
        </is>
      </c>
      <c r="E124" t="inlineStr">
        <is>
          <t>SÄTER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46036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42674-2025</t>
        </is>
      </c>
      <c r="B126" s="1" t="n">
        <v>45905</v>
      </c>
      <c r="C126" s="1" t="n">
        <v>46036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43075-2025</t>
        </is>
      </c>
      <c r="B127" s="1" t="n">
        <v>45909.60118055555</v>
      </c>
      <c r="C127" s="1" t="n">
        <v>46036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43610-2025</t>
        </is>
      </c>
      <c r="B128" s="1" t="n">
        <v>45911.67565972222</v>
      </c>
      <c r="C128" s="1" t="n">
        <v>46036</v>
      </c>
      <c r="D128" t="inlineStr">
        <is>
          <t>DALARNAS LÄN</t>
        </is>
      </c>
      <c r="E128" t="inlineStr">
        <is>
          <t>SÄTER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43553-2025</t>
        </is>
      </c>
      <c r="B129" s="1" t="n">
        <v>45911.62171296297</v>
      </c>
      <c r="C129" s="1" t="n">
        <v>46036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34938-2025</t>
        </is>
      </c>
      <c r="B130" s="1" t="n">
        <v>45849.58021990741</v>
      </c>
      <c r="C130" s="1" t="n">
        <v>46036</v>
      </c>
      <c r="D130" t="inlineStr">
        <is>
          <t>DALARNAS LÄN</t>
        </is>
      </c>
      <c r="E130" t="inlineStr">
        <is>
          <t>SÄTER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29846-2023</t>
        </is>
      </c>
      <c r="B131" s="1" t="n">
        <v>45107.58966435185</v>
      </c>
      <c r="C131" s="1" t="n">
        <v>46036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35410-2025</t>
        </is>
      </c>
      <c r="B132" s="1" t="n">
        <v>45855.37773148148</v>
      </c>
      <c r="C132" s="1" t="n">
        <v>46036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35412-2025</t>
        </is>
      </c>
      <c r="B133" s="1" t="n">
        <v>45855.38655092593</v>
      </c>
      <c r="C133" s="1" t="n">
        <v>46036</v>
      </c>
      <c r="D133" t="inlineStr">
        <is>
          <t>DALARNAS LÄN</t>
        </is>
      </c>
      <c r="E133" t="inlineStr">
        <is>
          <t>SÄTER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44196-2025</t>
        </is>
      </c>
      <c r="B134" s="1" t="n">
        <v>45915.61925925926</v>
      </c>
      <c r="C134" s="1" t="n">
        <v>46036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35409-2025</t>
        </is>
      </c>
      <c r="B135" s="1" t="n">
        <v>45855.37565972222</v>
      </c>
      <c r="C135" s="1" t="n">
        <v>46036</v>
      </c>
      <c r="D135" t="inlineStr">
        <is>
          <t>DALARNAS LÄN</t>
        </is>
      </c>
      <c r="E135" t="inlineStr">
        <is>
          <t>SÄTER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1305-2022</t>
        </is>
      </c>
      <c r="B136" s="1" t="n">
        <v>44572</v>
      </c>
      <c r="C136" s="1" t="n">
        <v>46036</v>
      </c>
      <c r="D136" t="inlineStr">
        <is>
          <t>DALARNAS LÄN</t>
        </is>
      </c>
      <c r="E136" t="inlineStr">
        <is>
          <t>SÄTER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55650-2024</t>
        </is>
      </c>
      <c r="B137" s="1" t="n">
        <v>45622.63122685185</v>
      </c>
      <c r="C137" s="1" t="n">
        <v>46036</v>
      </c>
      <c r="D137" t="inlineStr">
        <is>
          <t>DALARNAS LÄN</t>
        </is>
      </c>
      <c r="E137" t="inlineStr">
        <is>
          <t>SÄTER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50187-2024</t>
        </is>
      </c>
      <c r="B138" s="1" t="n">
        <v>45599</v>
      </c>
      <c r="C138" s="1" t="n">
        <v>46036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29230-2025</t>
        </is>
      </c>
      <c r="B139" s="1" t="n">
        <v>45824.34381944445</v>
      </c>
      <c r="C139" s="1" t="n">
        <v>46036</v>
      </c>
      <c r="D139" t="inlineStr">
        <is>
          <t>DALARNAS LÄN</t>
        </is>
      </c>
      <c r="E139" t="inlineStr">
        <is>
          <t>SÄTER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45668-2025</t>
        </is>
      </c>
      <c r="B140" s="1" t="n">
        <v>45923.3503587963</v>
      </c>
      <c r="C140" s="1" t="n">
        <v>46036</v>
      </c>
      <c r="D140" t="inlineStr">
        <is>
          <t>DALARNAS LÄN</t>
        </is>
      </c>
      <c r="E140" t="inlineStr">
        <is>
          <t>SÄTER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36549-2025</t>
        </is>
      </c>
      <c r="B141" s="1" t="n">
        <v>45870.32357638889</v>
      </c>
      <c r="C141" s="1" t="n">
        <v>46036</v>
      </c>
      <c r="D141" t="inlineStr">
        <is>
          <t>DALARNAS LÄN</t>
        </is>
      </c>
      <c r="E141" t="inlineStr">
        <is>
          <t>SÄTER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51474-2024</t>
        </is>
      </c>
      <c r="B142" s="1" t="n">
        <v>45604.50557870371</v>
      </c>
      <c r="C142" s="1" t="n">
        <v>46036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46494-2025</t>
        </is>
      </c>
      <c r="B143" s="1" t="n">
        <v>45925</v>
      </c>
      <c r="C143" s="1" t="n">
        <v>46036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61332-2023</t>
        </is>
      </c>
      <c r="B144" s="1" t="n">
        <v>45264.58917824074</v>
      </c>
      <c r="C144" s="1" t="n">
        <v>46036</v>
      </c>
      <c r="D144" t="inlineStr">
        <is>
          <t>DALARNAS LÄN</t>
        </is>
      </c>
      <c r="E144" t="inlineStr">
        <is>
          <t>SÄTER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59390-2024</t>
        </is>
      </c>
      <c r="B145" s="1" t="n">
        <v>45638.36590277778</v>
      </c>
      <c r="C145" s="1" t="n">
        <v>46036</v>
      </c>
      <c r="D145" t="inlineStr">
        <is>
          <t>DALARNAS LÄN</t>
        </is>
      </c>
      <c r="E145" t="inlineStr">
        <is>
          <t>SÄTER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46495-2025</t>
        </is>
      </c>
      <c r="B146" s="1" t="n">
        <v>45925</v>
      </c>
      <c r="C146" s="1" t="n">
        <v>46036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41.4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35163-2023</t>
        </is>
      </c>
      <c r="B147" s="1" t="n">
        <v>45145</v>
      </c>
      <c r="C147" s="1" t="n">
        <v>46036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37075-2025</t>
        </is>
      </c>
      <c r="B148" s="1" t="n">
        <v>45875.40737268519</v>
      </c>
      <c r="C148" s="1" t="n">
        <v>46036</v>
      </c>
      <c r="D148" t="inlineStr">
        <is>
          <t>DALARNAS LÄN</t>
        </is>
      </c>
      <c r="E148" t="inlineStr">
        <is>
          <t>SÄTER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46891-2025</t>
        </is>
      </c>
      <c r="B149" s="1" t="n">
        <v>45929.37491898148</v>
      </c>
      <c r="C149" s="1" t="n">
        <v>46036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34196-2023</t>
        </is>
      </c>
      <c r="B150" s="1" t="n">
        <v>45138.42768518518</v>
      </c>
      <c r="C150" s="1" t="n">
        <v>46036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41564-2021</t>
        </is>
      </c>
      <c r="B151" s="1" t="n">
        <v>44425.39126157408</v>
      </c>
      <c r="C151" s="1" t="n">
        <v>46036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21696-2023</t>
        </is>
      </c>
      <c r="B152" s="1" t="n">
        <v>45063</v>
      </c>
      <c r="C152" s="1" t="n">
        <v>46036</v>
      </c>
      <c r="D152" t="inlineStr">
        <is>
          <t>DALARNAS LÄN</t>
        </is>
      </c>
      <c r="E152" t="inlineStr">
        <is>
          <t>SÄTER</t>
        </is>
      </c>
      <c r="F152" t="inlineStr">
        <is>
          <t>Kommuner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37506-2025</t>
        </is>
      </c>
      <c r="B153" s="1" t="n">
        <v>45877.65421296296</v>
      </c>
      <c r="C153" s="1" t="n">
        <v>46036</v>
      </c>
      <c r="D153" t="inlineStr">
        <is>
          <t>DALARNAS LÄN</t>
        </is>
      </c>
      <c r="E153" t="inlineStr">
        <is>
          <t>SÄTER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5646-2023</t>
        </is>
      </c>
      <c r="B154" s="1" t="n">
        <v>44960</v>
      </c>
      <c r="C154" s="1" t="n">
        <v>46036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47522-2025</t>
        </is>
      </c>
      <c r="B155" s="1" t="n">
        <v>45931.33821759259</v>
      </c>
      <c r="C155" s="1" t="n">
        <v>46036</v>
      </c>
      <c r="D155" t="inlineStr">
        <is>
          <t>DALARNAS LÄN</t>
        </is>
      </c>
      <c r="E155" t="inlineStr">
        <is>
          <t>SÄTER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47280-2025</t>
        </is>
      </c>
      <c r="B156" s="1" t="n">
        <v>45930.47725694445</v>
      </c>
      <c r="C156" s="1" t="n">
        <v>46036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47465-2025</t>
        </is>
      </c>
      <c r="B157" s="1" t="n">
        <v>45930.66545138889</v>
      </c>
      <c r="C157" s="1" t="n">
        <v>46036</v>
      </c>
      <c r="D157" t="inlineStr">
        <is>
          <t>DALARNAS LÄN</t>
        </is>
      </c>
      <c r="E157" t="inlineStr">
        <is>
          <t>SÄTER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47661-2025</t>
        </is>
      </c>
      <c r="B158" s="1" t="n">
        <v>45931.56057870371</v>
      </c>
      <c r="C158" s="1" t="n">
        <v>46036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44803-2023</t>
        </is>
      </c>
      <c r="B159" s="1" t="n">
        <v>45190</v>
      </c>
      <c r="C159" s="1" t="n">
        <v>46036</v>
      </c>
      <c r="D159" t="inlineStr">
        <is>
          <t>DALARNAS LÄN</t>
        </is>
      </c>
      <c r="E159" t="inlineStr">
        <is>
          <t>SÄTER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38264-2025</t>
        </is>
      </c>
      <c r="B160" s="1" t="n">
        <v>45883.40178240741</v>
      </c>
      <c r="C160" s="1" t="n">
        <v>46036</v>
      </c>
      <c r="D160" t="inlineStr">
        <is>
          <t>DALARNAS LÄN</t>
        </is>
      </c>
      <c r="E160" t="inlineStr">
        <is>
          <t>SÄTER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48507-2025</t>
        </is>
      </c>
      <c r="B161" s="1" t="n">
        <v>45936.38559027778</v>
      </c>
      <c r="C161" s="1" t="n">
        <v>46036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28977-2023</t>
        </is>
      </c>
      <c r="B162" s="1" t="n">
        <v>45104.61434027777</v>
      </c>
      <c r="C162" s="1" t="n">
        <v>46036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48862-2025</t>
        </is>
      </c>
      <c r="B163" s="1" t="n">
        <v>45937.44243055556</v>
      </c>
      <c r="C163" s="1" t="n">
        <v>46036</v>
      </c>
      <c r="D163" t="inlineStr">
        <is>
          <t>DALARNAS LÄN</t>
        </is>
      </c>
      <c r="E163" t="inlineStr">
        <is>
          <t>SÄTER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40671-2023</t>
        </is>
      </c>
      <c r="B164" s="1" t="n">
        <v>45170</v>
      </c>
      <c r="C164" s="1" t="n">
        <v>46036</v>
      </c>
      <c r="D164" t="inlineStr">
        <is>
          <t>DALARNAS LÄN</t>
        </is>
      </c>
      <c r="E164" t="inlineStr">
        <is>
          <t>SÄTER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49599-2025</t>
        </is>
      </c>
      <c r="B165" s="1" t="n">
        <v>45939.54412037037</v>
      </c>
      <c r="C165" s="1" t="n">
        <v>46036</v>
      </c>
      <c r="D165" t="inlineStr">
        <is>
          <t>DALARNAS LÄN</t>
        </is>
      </c>
      <c r="E165" t="inlineStr">
        <is>
          <t>SÄTER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49586-2025</t>
        </is>
      </c>
      <c r="B166" s="1" t="n">
        <v>45939.50689814815</v>
      </c>
      <c r="C166" s="1" t="n">
        <v>46036</v>
      </c>
      <c r="D166" t="inlineStr">
        <is>
          <t>DALARNAS LÄN</t>
        </is>
      </c>
      <c r="E166" t="inlineStr">
        <is>
          <t>SÄTER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42806-2024</t>
        </is>
      </c>
      <c r="B167" s="1" t="n">
        <v>45566.56789351852</v>
      </c>
      <c r="C167" s="1" t="n">
        <v>46036</v>
      </c>
      <c r="D167" t="inlineStr">
        <is>
          <t>DALARNAS LÄN</t>
        </is>
      </c>
      <c r="E167" t="inlineStr">
        <is>
          <t>SÄTER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49929-2025</t>
        </is>
      </c>
      <c r="B168" s="1" t="n">
        <v>45939</v>
      </c>
      <c r="C168" s="1" t="n">
        <v>46036</v>
      </c>
      <c r="D168" t="inlineStr">
        <is>
          <t>DALARNAS LÄN</t>
        </is>
      </c>
      <c r="E168" t="inlineStr">
        <is>
          <t>SÄTER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49653-2025</t>
        </is>
      </c>
      <c r="B169" s="1" t="n">
        <v>45939</v>
      </c>
      <c r="C169" s="1" t="n">
        <v>46036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10406-2024</t>
        </is>
      </c>
      <c r="B170" s="1" t="n">
        <v>45365</v>
      </c>
      <c r="C170" s="1" t="n">
        <v>46036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49925-2025</t>
        </is>
      </c>
      <c r="B171" s="1" t="n">
        <v>45940.64503472222</v>
      </c>
      <c r="C171" s="1" t="n">
        <v>46036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45225-2022</t>
        </is>
      </c>
      <c r="B172" s="1" t="n">
        <v>44840</v>
      </c>
      <c r="C172" s="1" t="n">
        <v>46036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50649-2025</t>
        </is>
      </c>
      <c r="B173" s="1" t="n">
        <v>45945.66170138889</v>
      </c>
      <c r="C173" s="1" t="n">
        <v>46036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16901-2024</t>
        </is>
      </c>
      <c r="B174" s="1" t="n">
        <v>45411.62793981482</v>
      </c>
      <c r="C174" s="1" t="n">
        <v>46036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50533-2025</t>
        </is>
      </c>
      <c r="B175" s="1" t="n">
        <v>45945.48137731481</v>
      </c>
      <c r="C175" s="1" t="n">
        <v>46036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50783-2025</t>
        </is>
      </c>
      <c r="B176" s="1" t="n">
        <v>45946.46853009259</v>
      </c>
      <c r="C176" s="1" t="n">
        <v>46036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11164-2023</t>
        </is>
      </c>
      <c r="B177" s="1" t="n">
        <v>44992</v>
      </c>
      <c r="C177" s="1" t="n">
        <v>46036</v>
      </c>
      <c r="D177" t="inlineStr">
        <is>
          <t>DALARNAS LÄN</t>
        </is>
      </c>
      <c r="E177" t="inlineStr">
        <is>
          <t>SÄTER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1594-2025</t>
        </is>
      </c>
      <c r="B178" s="1" t="n">
        <v>45670.58211805556</v>
      </c>
      <c r="C178" s="1" t="n">
        <v>46036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7562-2023</t>
        </is>
      </c>
      <c r="B179" s="1" t="n">
        <v>44972.35152777778</v>
      </c>
      <c r="C179" s="1" t="n">
        <v>46036</v>
      </c>
      <c r="D179" t="inlineStr">
        <is>
          <t>DALARNAS LÄN</t>
        </is>
      </c>
      <c r="E179" t="inlineStr">
        <is>
          <t>SÄTER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27910-2023</t>
        </is>
      </c>
      <c r="B180" s="1" t="n">
        <v>45098</v>
      </c>
      <c r="C180" s="1" t="n">
        <v>46036</v>
      </c>
      <c r="D180" t="inlineStr">
        <is>
          <t>DALARNAS LÄN</t>
        </is>
      </c>
      <c r="E180" t="inlineStr">
        <is>
          <t>SÄTER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51826-2025</t>
        </is>
      </c>
      <c r="B181" s="1" t="n">
        <v>45951</v>
      </c>
      <c r="C181" s="1" t="n">
        <v>46036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51827-2025</t>
        </is>
      </c>
      <c r="B182" s="1" t="n">
        <v>45951</v>
      </c>
      <c r="C182" s="1" t="n">
        <v>46036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51824-2025</t>
        </is>
      </c>
      <c r="B183" s="1" t="n">
        <v>45951</v>
      </c>
      <c r="C183" s="1" t="n">
        <v>46036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41691-2024</t>
        </is>
      </c>
      <c r="B184" s="1" t="n">
        <v>45560</v>
      </c>
      <c r="C184" s="1" t="n">
        <v>46036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43770-2024</t>
        </is>
      </c>
      <c r="B185" s="1" t="n">
        <v>45569.84101851852</v>
      </c>
      <c r="C185" s="1" t="n">
        <v>46036</v>
      </c>
      <c r="D185" t="inlineStr">
        <is>
          <t>DALARNAS LÄN</t>
        </is>
      </c>
      <c r="E185" t="inlineStr">
        <is>
          <t>SÄTER</t>
        </is>
      </c>
      <c r="G185" t="n">
        <v>13.2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25690-2022</t>
        </is>
      </c>
      <c r="B186" s="1" t="n">
        <v>44732</v>
      </c>
      <c r="C186" s="1" t="n">
        <v>46036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52173-2025</t>
        </is>
      </c>
      <c r="B187" s="1" t="n">
        <v>45953.37302083334</v>
      </c>
      <c r="C187" s="1" t="n">
        <v>46036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52161-2025</t>
        </is>
      </c>
      <c r="B188" s="1" t="n">
        <v>45953.36090277778</v>
      </c>
      <c r="C188" s="1" t="n">
        <v>46036</v>
      </c>
      <c r="D188" t="inlineStr">
        <is>
          <t>DALARNAS LÄN</t>
        </is>
      </c>
      <c r="E188" t="inlineStr">
        <is>
          <t>SÄTER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9586-2023</t>
        </is>
      </c>
      <c r="B189" s="1" t="n">
        <v>44982</v>
      </c>
      <c r="C189" s="1" t="n">
        <v>46036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52452-2025</t>
        </is>
      </c>
      <c r="B190" s="1" t="n">
        <v>45954.42386574074</v>
      </c>
      <c r="C190" s="1" t="n">
        <v>46036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54440-2022</t>
        </is>
      </c>
      <c r="B191" s="1" t="n">
        <v>44882</v>
      </c>
      <c r="C191" s="1" t="n">
        <v>46036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54826-2023</t>
        </is>
      </c>
      <c r="B192" s="1" t="n">
        <v>45236</v>
      </c>
      <c r="C192" s="1" t="n">
        <v>46036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57416-2022</t>
        </is>
      </c>
      <c r="B193" s="1" t="n">
        <v>44896.49959490741</v>
      </c>
      <c r="C193" s="1" t="n">
        <v>46036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23917-2024</t>
        </is>
      </c>
      <c r="B194" s="1" t="n">
        <v>45455.86696759259</v>
      </c>
      <c r="C194" s="1" t="n">
        <v>46036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52422-2025</t>
        </is>
      </c>
      <c r="B195" s="1" t="n">
        <v>45954.37292824074</v>
      </c>
      <c r="C195" s="1" t="n">
        <v>46036</v>
      </c>
      <c r="D195" t="inlineStr">
        <is>
          <t>DALARNAS LÄN</t>
        </is>
      </c>
      <c r="E195" t="inlineStr">
        <is>
          <t>SÄTER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53233-2025</t>
        </is>
      </c>
      <c r="B196" s="1" t="n">
        <v>45958.62429398148</v>
      </c>
      <c r="C196" s="1" t="n">
        <v>46036</v>
      </c>
      <c r="D196" t="inlineStr">
        <is>
          <t>DALARNAS LÄN</t>
        </is>
      </c>
      <c r="E196" t="inlineStr">
        <is>
          <t>SÄTER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36939-2025</t>
        </is>
      </c>
      <c r="B197" s="1" t="n">
        <v>45874</v>
      </c>
      <c r="C197" s="1" t="n">
        <v>46036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61228-2025</t>
        </is>
      </c>
      <c r="B198" s="1" t="n">
        <v>46000.6309375</v>
      </c>
      <c r="C198" s="1" t="n">
        <v>46036</v>
      </c>
      <c r="D198" t="inlineStr">
        <is>
          <t>DALARNAS LÄN</t>
        </is>
      </c>
      <c r="E198" t="inlineStr">
        <is>
          <t>SÄTER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53540-2025</t>
        </is>
      </c>
      <c r="B199" s="1" t="n">
        <v>45960.37891203703</v>
      </c>
      <c r="C199" s="1" t="n">
        <v>46036</v>
      </c>
      <c r="D199" t="inlineStr">
        <is>
          <t>DALARNAS LÄN</t>
        </is>
      </c>
      <c r="E199" t="inlineStr">
        <is>
          <t>SÄTER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21859-2022</t>
        </is>
      </c>
      <c r="B200" s="1" t="n">
        <v>44711.36557870371</v>
      </c>
      <c r="C200" s="1" t="n">
        <v>46036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53878-2025</t>
        </is>
      </c>
      <c r="B201" s="1" t="n">
        <v>45961.39585648148</v>
      </c>
      <c r="C201" s="1" t="n">
        <v>46036</v>
      </c>
      <c r="D201" t="inlineStr">
        <is>
          <t>DALARNAS LÄN</t>
        </is>
      </c>
      <c r="E201" t="inlineStr">
        <is>
          <t>SÄTER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13510-2023</t>
        </is>
      </c>
      <c r="B202" s="1" t="n">
        <v>45006.30673611111</v>
      </c>
      <c r="C202" s="1" t="n">
        <v>46036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53559-2025</t>
        </is>
      </c>
      <c r="B203" s="1" t="n">
        <v>45960</v>
      </c>
      <c r="C203" s="1" t="n">
        <v>46036</v>
      </c>
      <c r="D203" t="inlineStr">
        <is>
          <t>DALARNAS LÄN</t>
        </is>
      </c>
      <c r="E203" t="inlineStr">
        <is>
          <t>SÄTER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42225-2022</t>
        </is>
      </c>
      <c r="B204" s="1" t="n">
        <v>44830</v>
      </c>
      <c r="C204" s="1" t="n">
        <v>46036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973-2023</t>
        </is>
      </c>
      <c r="B205" s="1" t="n">
        <v>44935.32741898148</v>
      </c>
      <c r="C205" s="1" t="n">
        <v>46036</v>
      </c>
      <c r="D205" t="inlineStr">
        <is>
          <t>DALARNAS LÄN</t>
        </is>
      </c>
      <c r="E205" t="inlineStr">
        <is>
          <t>SÄTER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54246-2025</t>
        </is>
      </c>
      <c r="B206" s="1" t="n">
        <v>45964.64024305555</v>
      </c>
      <c r="C206" s="1" t="n">
        <v>46036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41664-2024</t>
        </is>
      </c>
      <c r="B207" s="1" t="n">
        <v>45560</v>
      </c>
      <c r="C207" s="1" t="n">
        <v>46036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51405-2022</t>
        </is>
      </c>
      <c r="B208" s="1" t="n">
        <v>44869</v>
      </c>
      <c r="C208" s="1" t="n">
        <v>46036</v>
      </c>
      <c r="D208" t="inlineStr">
        <is>
          <t>DALARNAS LÄN</t>
        </is>
      </c>
      <c r="E208" t="inlineStr">
        <is>
          <t>SÄTER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50366-2023</t>
        </is>
      </c>
      <c r="B209" s="1" t="n">
        <v>45216</v>
      </c>
      <c r="C209" s="1" t="n">
        <v>46036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55428-2025</t>
        </is>
      </c>
      <c r="B210" s="1" t="n">
        <v>45971.47856481482</v>
      </c>
      <c r="C210" s="1" t="n">
        <v>46036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63377-2025</t>
        </is>
      </c>
      <c r="B211" s="1" t="n">
        <v>46010.7222337963</v>
      </c>
      <c r="C211" s="1" t="n">
        <v>46036</v>
      </c>
      <c r="D211" t="inlineStr">
        <is>
          <t>DALARNAS LÄN</t>
        </is>
      </c>
      <c r="E211" t="inlineStr">
        <is>
          <t>SÄTER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3637-2024</t>
        </is>
      </c>
      <c r="B212" s="1" t="n">
        <v>45321</v>
      </c>
      <c r="C212" s="1" t="n">
        <v>46036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56831-2024</t>
        </is>
      </c>
      <c r="B213" s="1" t="n">
        <v>45628.49807870371</v>
      </c>
      <c r="C213" s="1" t="n">
        <v>46036</v>
      </c>
      <c r="D213" t="inlineStr">
        <is>
          <t>DALARNAS LÄN</t>
        </is>
      </c>
      <c r="E213" t="inlineStr">
        <is>
          <t>SÄTER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63350-2025</t>
        </is>
      </c>
      <c r="B214" s="1" t="n">
        <v>46010.66585648148</v>
      </c>
      <c r="C214" s="1" t="n">
        <v>46036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41643-2023</t>
        </is>
      </c>
      <c r="B215" s="1" t="n">
        <v>45175</v>
      </c>
      <c r="C215" s="1" t="n">
        <v>46036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55621-2025</t>
        </is>
      </c>
      <c r="B216" s="1" t="n">
        <v>45971</v>
      </c>
      <c r="C216" s="1" t="n">
        <v>46036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63654-2025</t>
        </is>
      </c>
      <c r="B217" s="1" t="n">
        <v>46014.44138888889</v>
      </c>
      <c r="C217" s="1" t="n">
        <v>46036</v>
      </c>
      <c r="D217" t="inlineStr">
        <is>
          <t>DALARNAS LÄN</t>
        </is>
      </c>
      <c r="E217" t="inlineStr">
        <is>
          <t>SÄTER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56107-2025</t>
        </is>
      </c>
      <c r="B218" s="1" t="n">
        <v>45973</v>
      </c>
      <c r="C218" s="1" t="n">
        <v>46036</v>
      </c>
      <c r="D218" t="inlineStr">
        <is>
          <t>DALARNAS LÄN</t>
        </is>
      </c>
      <c r="E218" t="inlineStr">
        <is>
          <t>SÄTER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63684-2025</t>
        </is>
      </c>
      <c r="B219" s="1" t="n">
        <v>46014.52145833334</v>
      </c>
      <c r="C219" s="1" t="n">
        <v>46036</v>
      </c>
      <c r="D219" t="inlineStr">
        <is>
          <t>DALARNAS LÄN</t>
        </is>
      </c>
      <c r="E219" t="inlineStr">
        <is>
          <t>SÄTER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51320-2024</t>
        </is>
      </c>
      <c r="B220" s="1" t="n">
        <v>45604.33113425926</v>
      </c>
      <c r="C220" s="1" t="n">
        <v>46036</v>
      </c>
      <c r="D220" t="inlineStr">
        <is>
          <t>DALARNAS LÄN</t>
        </is>
      </c>
      <c r="E220" t="inlineStr">
        <is>
          <t>SÄTER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51324-2024</t>
        </is>
      </c>
      <c r="B221" s="1" t="n">
        <v>45604.33263888889</v>
      </c>
      <c r="C221" s="1" t="n">
        <v>46036</v>
      </c>
      <c r="D221" t="inlineStr">
        <is>
          <t>DALARNAS LÄN</t>
        </is>
      </c>
      <c r="E221" t="inlineStr">
        <is>
          <t>SÄTER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56639-2025</t>
        </is>
      </c>
      <c r="B222" s="1" t="n">
        <v>45975.61846064815</v>
      </c>
      <c r="C222" s="1" t="n">
        <v>46036</v>
      </c>
      <c r="D222" t="inlineStr">
        <is>
          <t>DALARNAS LÄN</t>
        </is>
      </c>
      <c r="E222" t="inlineStr">
        <is>
          <t>SÄTER</t>
        </is>
      </c>
      <c r="G222" t="n">
        <v>17.9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17303-2021</t>
        </is>
      </c>
      <c r="B223" s="1" t="n">
        <v>44298.61732638889</v>
      </c>
      <c r="C223" s="1" t="n">
        <v>46036</v>
      </c>
      <c r="D223" t="inlineStr">
        <is>
          <t>DALARNAS LÄN</t>
        </is>
      </c>
      <c r="E223" t="inlineStr">
        <is>
          <t>SÄTER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29635-2024</t>
        </is>
      </c>
      <c r="B224" s="1" t="n">
        <v>45484.68149305556</v>
      </c>
      <c r="C224" s="1" t="n">
        <v>46036</v>
      </c>
      <c r="D224" t="inlineStr">
        <is>
          <t>DALARNAS LÄN</t>
        </is>
      </c>
      <c r="E224" t="inlineStr">
        <is>
          <t>SÄTER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59386-2024</t>
        </is>
      </c>
      <c r="B225" s="1" t="n">
        <v>45638.3634375</v>
      </c>
      <c r="C225" s="1" t="n">
        <v>46036</v>
      </c>
      <c r="D225" t="inlineStr">
        <is>
          <t>DALARNAS LÄN</t>
        </is>
      </c>
      <c r="E225" t="inlineStr">
        <is>
          <t>SÄTER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51323-2024</t>
        </is>
      </c>
      <c r="B226" s="1" t="n">
        <v>45604.33197916667</v>
      </c>
      <c r="C226" s="1" t="n">
        <v>46036</v>
      </c>
      <c r="D226" t="inlineStr">
        <is>
          <t>DALARNAS LÄN</t>
        </is>
      </c>
      <c r="E226" t="inlineStr">
        <is>
          <t>SÄTER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220-2026</t>
        </is>
      </c>
      <c r="B227" s="1" t="n">
        <v>46026.71438657407</v>
      </c>
      <c r="C227" s="1" t="n">
        <v>46036</v>
      </c>
      <c r="D227" t="inlineStr">
        <is>
          <t>DALARNAS LÄN</t>
        </is>
      </c>
      <c r="E227" t="inlineStr">
        <is>
          <t>SÄTER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34990-2024</t>
        </is>
      </c>
      <c r="B228" s="1" t="n">
        <v>45527.55416666667</v>
      </c>
      <c r="C228" s="1" t="n">
        <v>46036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34991-2024</t>
        </is>
      </c>
      <c r="B229" s="1" t="n">
        <v>45527.55650462963</v>
      </c>
      <c r="C229" s="1" t="n">
        <v>46036</v>
      </c>
      <c r="D229" t="inlineStr">
        <is>
          <t>DALARNAS LÄN</t>
        </is>
      </c>
      <c r="E229" t="inlineStr">
        <is>
          <t>SÄTER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264-2026</t>
        </is>
      </c>
      <c r="B230" s="1" t="n">
        <v>46027.44939814815</v>
      </c>
      <c r="C230" s="1" t="n">
        <v>46036</v>
      </c>
      <c r="D230" t="inlineStr">
        <is>
          <t>DALARNAS LÄN</t>
        </is>
      </c>
      <c r="E230" t="inlineStr">
        <is>
          <t>SÄTER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51468-2024</t>
        </is>
      </c>
      <c r="B231" s="1" t="n">
        <v>45604.50121527778</v>
      </c>
      <c r="C231" s="1" t="n">
        <v>46036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35005-2024</t>
        </is>
      </c>
      <c r="B232" s="1" t="n">
        <v>45527.57577546296</v>
      </c>
      <c r="C232" s="1" t="n">
        <v>46036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6767-2024</t>
        </is>
      </c>
      <c r="B233" s="1" t="n">
        <v>45342</v>
      </c>
      <c r="C233" s="1" t="n">
        <v>46036</v>
      </c>
      <c r="D233" t="inlineStr">
        <is>
          <t>DALARNAS LÄN</t>
        </is>
      </c>
      <c r="E233" t="inlineStr">
        <is>
          <t>SÄTER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58325-2025</t>
        </is>
      </c>
      <c r="B234" s="1" t="n">
        <v>45985.47695601852</v>
      </c>
      <c r="C234" s="1" t="n">
        <v>46036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57017-2024</t>
        </is>
      </c>
      <c r="B235" s="1" t="n">
        <v>45628.80585648148</v>
      </c>
      <c r="C235" s="1" t="n">
        <v>46036</v>
      </c>
      <c r="D235" t="inlineStr">
        <is>
          <t>DALARNAS LÄN</t>
        </is>
      </c>
      <c r="E235" t="inlineStr">
        <is>
          <t>SÄTER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760-2026</t>
        </is>
      </c>
      <c r="B236" s="1" t="n">
        <v>46029.6959375</v>
      </c>
      <c r="C236" s="1" t="n">
        <v>46036</v>
      </c>
      <c r="D236" t="inlineStr">
        <is>
          <t>DALARNAS LÄN</t>
        </is>
      </c>
      <c r="E236" t="inlineStr">
        <is>
          <t>SÄTER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650-2026</t>
        </is>
      </c>
      <c r="B237" s="1" t="n">
        <v>46029.57425925926</v>
      </c>
      <c r="C237" s="1" t="n">
        <v>46036</v>
      </c>
      <c r="D237" t="inlineStr">
        <is>
          <t>DALARNAS LÄN</t>
        </is>
      </c>
      <c r="E237" t="inlineStr">
        <is>
          <t>SÄTER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44729-2024</t>
        </is>
      </c>
      <c r="B238" s="1" t="n">
        <v>45574</v>
      </c>
      <c r="C238" s="1" t="n">
        <v>46036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61743-2023</t>
        </is>
      </c>
      <c r="B239" s="1" t="n">
        <v>45265</v>
      </c>
      <c r="C239" s="1" t="n">
        <v>46036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536-2026</t>
        </is>
      </c>
      <c r="B240" s="1" t="n">
        <v>46029.45364583333</v>
      </c>
      <c r="C240" s="1" t="n">
        <v>46036</v>
      </c>
      <c r="D240" t="inlineStr">
        <is>
          <t>DALARNAS LÄN</t>
        </is>
      </c>
      <c r="E240" t="inlineStr">
        <is>
          <t>SÄTER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36847-2023</t>
        </is>
      </c>
      <c r="B241" s="1" t="n">
        <v>45154.50928240741</v>
      </c>
      <c r="C241" s="1" t="n">
        <v>46036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513-2026</t>
        </is>
      </c>
      <c r="B242" s="1" t="n">
        <v>46029.4415625</v>
      </c>
      <c r="C242" s="1" t="n">
        <v>46036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62533-2023</t>
        </is>
      </c>
      <c r="B243" s="1" t="n">
        <v>45268</v>
      </c>
      <c r="C243" s="1" t="n">
        <v>46036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5196-2024</t>
        </is>
      </c>
      <c r="B244" s="1" t="n">
        <v>45330.60379629629</v>
      </c>
      <c r="C244" s="1" t="n">
        <v>46036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1343-2026</t>
        </is>
      </c>
      <c r="B245" s="1" t="n">
        <v>46031.57842592592</v>
      </c>
      <c r="C245" s="1" t="n">
        <v>46036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1122-2026</t>
        </is>
      </c>
      <c r="B246" s="1" t="n">
        <v>46030.71018518518</v>
      </c>
      <c r="C246" s="1" t="n">
        <v>46036</v>
      </c>
      <c r="D246" t="inlineStr">
        <is>
          <t>DALARNAS LÄN</t>
        </is>
      </c>
      <c r="E246" t="inlineStr">
        <is>
          <t>SÄTER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16836-2024</t>
        </is>
      </c>
      <c r="B247" s="1" t="n">
        <v>45411.48761574074</v>
      </c>
      <c r="C247" s="1" t="n">
        <v>46036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16843-2024</t>
        </is>
      </c>
      <c r="B248" s="1" t="n">
        <v>45411.49664351852</v>
      </c>
      <c r="C248" s="1" t="n">
        <v>46036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1326-2026</t>
        </is>
      </c>
      <c r="B249" s="1" t="n">
        <v>46031.55268518518</v>
      </c>
      <c r="C249" s="1" t="n">
        <v>46036</v>
      </c>
      <c r="D249" t="inlineStr">
        <is>
          <t>DALARNAS LÄN</t>
        </is>
      </c>
      <c r="E249" t="inlineStr">
        <is>
          <t>SÄTER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53706-2025</t>
        </is>
      </c>
      <c r="B250" s="1" t="n">
        <v>45960.60587962963</v>
      </c>
      <c r="C250" s="1" t="n">
        <v>46036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835-2026</t>
        </is>
      </c>
      <c r="B251" s="1" t="n">
        <v>46030.37377314815</v>
      </c>
      <c r="C251" s="1" t="n">
        <v>46036</v>
      </c>
      <c r="D251" t="inlineStr">
        <is>
          <t>DALARNAS LÄN</t>
        </is>
      </c>
      <c r="E251" t="inlineStr">
        <is>
          <t>SÄTER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1297-2026</t>
        </is>
      </c>
      <c r="B252" s="1" t="n">
        <v>46031.51877314815</v>
      </c>
      <c r="C252" s="1" t="n">
        <v>46036</v>
      </c>
      <c r="D252" t="inlineStr">
        <is>
          <t>DALARNAS LÄN</t>
        </is>
      </c>
      <c r="E252" t="inlineStr">
        <is>
          <t>SÄTER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987-2026</t>
        </is>
      </c>
      <c r="B253" s="1" t="n">
        <v>46030.58576388889</v>
      </c>
      <c r="C253" s="1" t="n">
        <v>46036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32383-2022</t>
        </is>
      </c>
      <c r="B254" s="1" t="n">
        <v>44781</v>
      </c>
      <c r="C254" s="1" t="n">
        <v>46036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HYPERLINK("https://klasma.github.io/Logging_2082/knärot/A 32383-2022 karta knärot.png", "A 32383-2022")</f>
        <v/>
      </c>
      <c r="V254">
        <f>HYPERLINK("https://klasma.github.io/Logging_2082/klagomål/A 32383-2022 FSC-klagomål.docx", "A 32383-2022")</f>
        <v/>
      </c>
      <c r="W254">
        <f>HYPERLINK("https://klasma.github.io/Logging_2082/klagomålsmail/A 32383-2022 FSC-klagomål mail.docx", "A 32383-2022")</f>
        <v/>
      </c>
      <c r="X254">
        <f>HYPERLINK("https://klasma.github.io/Logging_2082/tillsyn/A 32383-2022 tillsynsbegäran.docx", "A 32383-2022")</f>
        <v/>
      </c>
      <c r="Y254">
        <f>HYPERLINK("https://klasma.github.io/Logging_2082/tillsynsmail/A 32383-2022 tillsynsbegäran mail.docx", "A 32383-2022")</f>
        <v/>
      </c>
    </row>
    <row r="255" ht="15" customHeight="1">
      <c r="A255" t="inlineStr">
        <is>
          <t>A 1711-2026</t>
        </is>
      </c>
      <c r="B255" s="1" t="n">
        <v>46034.60328703704</v>
      </c>
      <c r="C255" s="1" t="n">
        <v>46036</v>
      </c>
      <c r="D255" t="inlineStr">
        <is>
          <t>DALARNAS LÄN</t>
        </is>
      </c>
      <c r="E255" t="inlineStr">
        <is>
          <t>SÄTER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59854-2025</t>
        </is>
      </c>
      <c r="B256" s="1" t="n">
        <v>45992.73412037037</v>
      </c>
      <c r="C256" s="1" t="n">
        <v>46036</v>
      </c>
      <c r="D256" t="inlineStr">
        <is>
          <t>DALARNAS LÄN</t>
        </is>
      </c>
      <c r="E256" t="inlineStr">
        <is>
          <t>SÄTER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45476-2024</t>
        </is>
      </c>
      <c r="B257" s="1" t="n">
        <v>45576</v>
      </c>
      <c r="C257" s="1" t="n">
        <v>46036</v>
      </c>
      <c r="D257" t="inlineStr">
        <is>
          <t>DALARNAS LÄN</t>
        </is>
      </c>
      <c r="E257" t="inlineStr">
        <is>
          <t>SÄTER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16832-2024</t>
        </is>
      </c>
      <c r="B258" s="1" t="n">
        <v>45411.48168981481</v>
      </c>
      <c r="C258" s="1" t="n">
        <v>46036</v>
      </c>
      <c r="D258" t="inlineStr">
        <is>
          <t>DALARNAS LÄN</t>
        </is>
      </c>
      <c r="E258" t="inlineStr">
        <is>
          <t>SÄTER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16840-2024</t>
        </is>
      </c>
      <c r="B259" s="1" t="n">
        <v>45411.49284722222</v>
      </c>
      <c r="C259" s="1" t="n">
        <v>46036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2047-2026</t>
        </is>
      </c>
      <c r="B260" s="1" t="n">
        <v>46031</v>
      </c>
      <c r="C260" s="1" t="n">
        <v>46036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59974-2025</t>
        </is>
      </c>
      <c r="B261" s="1" t="n">
        <v>45993.50063657408</v>
      </c>
      <c r="C261" s="1" t="n">
        <v>46036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14931-2024</t>
        </is>
      </c>
      <c r="B262" s="1" t="n">
        <v>45398.64800925926</v>
      </c>
      <c r="C262" s="1" t="n">
        <v>46036</v>
      </c>
      <c r="D262" t="inlineStr">
        <is>
          <t>DALARNAS LÄN</t>
        </is>
      </c>
      <c r="E262" t="inlineStr">
        <is>
          <t>SÄTER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7188-2023</t>
        </is>
      </c>
      <c r="B263" s="1" t="n">
        <v>44965</v>
      </c>
      <c r="C263" s="1" t="n">
        <v>46036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39262-2021</t>
        </is>
      </c>
      <c r="B264" s="1" t="n">
        <v>44413</v>
      </c>
      <c r="C264" s="1" t="n">
        <v>46036</v>
      </c>
      <c r="D264" t="inlineStr">
        <is>
          <t>DALARNAS LÄN</t>
        </is>
      </c>
      <c r="E264" t="inlineStr">
        <is>
          <t>SÄTER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50677-2024</t>
        </is>
      </c>
      <c r="B265" s="1" t="n">
        <v>45601.88305555555</v>
      </c>
      <c r="C265" s="1" t="n">
        <v>46036</v>
      </c>
      <c r="D265" t="inlineStr">
        <is>
          <t>DALARNAS LÄN</t>
        </is>
      </c>
      <c r="E265" t="inlineStr">
        <is>
          <t>SÄTER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1517-2026</t>
        </is>
      </c>
      <c r="B266" s="1" t="n">
        <v>46034.35295138889</v>
      </c>
      <c r="C266" s="1" t="n">
        <v>46036</v>
      </c>
      <c r="D266" t="inlineStr">
        <is>
          <t>DALARNAS LÄN</t>
        </is>
      </c>
      <c r="E266" t="inlineStr">
        <is>
          <t>SÄTER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56823-2024</t>
        </is>
      </c>
      <c r="B267" s="1" t="n">
        <v>45628.49032407408</v>
      </c>
      <c r="C267" s="1" t="n">
        <v>46036</v>
      </c>
      <c r="D267" t="inlineStr">
        <is>
          <t>DALARNAS LÄN</t>
        </is>
      </c>
      <c r="E267" t="inlineStr">
        <is>
          <t>SÄTER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34652-2024</t>
        </is>
      </c>
      <c r="B268" s="1" t="n">
        <v>45526.48674768519</v>
      </c>
      <c r="C268" s="1" t="n">
        <v>46036</v>
      </c>
      <c r="D268" t="inlineStr">
        <is>
          <t>DALARNAS LÄN</t>
        </is>
      </c>
      <c r="E268" t="inlineStr">
        <is>
          <t>SÄTER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61344-2023</t>
        </is>
      </c>
      <c r="B269" s="1" t="n">
        <v>45264</v>
      </c>
      <c r="C269" s="1" t="n">
        <v>46036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18974-2024</t>
        </is>
      </c>
      <c r="B270" s="1" t="n">
        <v>45427.56964120371</v>
      </c>
      <c r="C270" s="1" t="n">
        <v>46036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21697-2023</t>
        </is>
      </c>
      <c r="B271" s="1" t="n">
        <v>45063</v>
      </c>
      <c r="C271" s="1" t="n">
        <v>46036</v>
      </c>
      <c r="D271" t="inlineStr">
        <is>
          <t>DALARNAS LÄN</t>
        </is>
      </c>
      <c r="E271" t="inlineStr">
        <is>
          <t>SÄTER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13970-2025</t>
        </is>
      </c>
      <c r="B272" s="1" t="n">
        <v>45738.52033564815</v>
      </c>
      <c r="C272" s="1" t="n">
        <v>46036</v>
      </c>
      <c r="D272" t="inlineStr">
        <is>
          <t>DALARNAS LÄN</t>
        </is>
      </c>
      <c r="E272" t="inlineStr">
        <is>
          <t>SÄTER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31574-2021</t>
        </is>
      </c>
      <c r="B273" s="1" t="n">
        <v>44369.54519675926</v>
      </c>
      <c r="C273" s="1" t="n">
        <v>46036</v>
      </c>
      <c r="D273" t="inlineStr">
        <is>
          <t>DALARNAS LÄN</t>
        </is>
      </c>
      <c r="E273" t="inlineStr">
        <is>
          <t>SÄTER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30256-2023</t>
        </is>
      </c>
      <c r="B274" s="1" t="n">
        <v>45110.70590277778</v>
      </c>
      <c r="C274" s="1" t="n">
        <v>46036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52193-2021</t>
        </is>
      </c>
      <c r="B275" s="1" t="n">
        <v>44463</v>
      </c>
      <c r="C275" s="1" t="n">
        <v>46036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21948-2023</t>
        </is>
      </c>
      <c r="B276" s="1" t="n">
        <v>45068</v>
      </c>
      <c r="C276" s="1" t="n">
        <v>46036</v>
      </c>
      <c r="D276" t="inlineStr">
        <is>
          <t>DALARNAS LÄN</t>
        </is>
      </c>
      <c r="E276" t="inlineStr">
        <is>
          <t>SÄTER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57833-2023</t>
        </is>
      </c>
      <c r="B277" s="1" t="n">
        <v>45247</v>
      </c>
      <c r="C277" s="1" t="n">
        <v>46036</v>
      </c>
      <c r="D277" t="inlineStr">
        <is>
          <t>DALARNAS LÄN</t>
        </is>
      </c>
      <c r="E277" t="inlineStr">
        <is>
          <t>SÄTER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23810-2024</t>
        </is>
      </c>
      <c r="B278" s="1" t="n">
        <v>45455.44628472222</v>
      </c>
      <c r="C278" s="1" t="n">
        <v>46036</v>
      </c>
      <c r="D278" t="inlineStr">
        <is>
          <t>DALARNAS LÄN</t>
        </is>
      </c>
      <c r="E278" t="inlineStr">
        <is>
          <t>SÄTER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52220-2021</t>
        </is>
      </c>
      <c r="B279" s="1" t="n">
        <v>44462</v>
      </c>
      <c r="C279" s="1" t="n">
        <v>46036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33605-2022</t>
        </is>
      </c>
      <c r="B280" s="1" t="n">
        <v>44789.51010416666</v>
      </c>
      <c r="C280" s="1" t="n">
        <v>46036</v>
      </c>
      <c r="D280" t="inlineStr">
        <is>
          <t>DALARNAS LÄN</t>
        </is>
      </c>
      <c r="E280" t="inlineStr">
        <is>
          <t>SÄTER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19773-2024</t>
        </is>
      </c>
      <c r="B281" s="1" t="n">
        <v>45432.72061342592</v>
      </c>
      <c r="C281" s="1" t="n">
        <v>46036</v>
      </c>
      <c r="D281" t="inlineStr">
        <is>
          <t>DALARNAS LÄN</t>
        </is>
      </c>
      <c r="E281" t="inlineStr">
        <is>
          <t>SÄTER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10540-2024</t>
        </is>
      </c>
      <c r="B282" s="1" t="n">
        <v>45366.55604166666</v>
      </c>
      <c r="C282" s="1" t="n">
        <v>46036</v>
      </c>
      <c r="D282" t="inlineStr">
        <is>
          <t>DALARNAS LÄN</t>
        </is>
      </c>
      <c r="E282" t="inlineStr">
        <is>
          <t>SÄTER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38240-2022</t>
        </is>
      </c>
      <c r="B283" s="1" t="n">
        <v>44812</v>
      </c>
      <c r="C283" s="1" t="n">
        <v>46036</v>
      </c>
      <c r="D283" t="inlineStr">
        <is>
          <t>DALARNAS LÄN</t>
        </is>
      </c>
      <c r="E283" t="inlineStr">
        <is>
          <t>SÄTER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19162-2022</t>
        </is>
      </c>
      <c r="B284" s="1" t="n">
        <v>44691</v>
      </c>
      <c r="C284" s="1" t="n">
        <v>46036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11075-2024</t>
        </is>
      </c>
      <c r="B285" s="1" t="n">
        <v>45370</v>
      </c>
      <c r="C285" s="1" t="n">
        <v>46036</v>
      </c>
      <c r="D285" t="inlineStr">
        <is>
          <t>DALARNAS LÄN</t>
        </is>
      </c>
      <c r="E285" t="inlineStr">
        <is>
          <t>SÄTER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59707-2022</t>
        </is>
      </c>
      <c r="B286" s="1" t="n">
        <v>44908</v>
      </c>
      <c r="C286" s="1" t="n">
        <v>46036</v>
      </c>
      <c r="D286" t="inlineStr">
        <is>
          <t>DALARNAS LÄN</t>
        </is>
      </c>
      <c r="E286" t="inlineStr">
        <is>
          <t>SÄTER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13339-2023</t>
        </is>
      </c>
      <c r="B287" s="1" t="n">
        <v>45005</v>
      </c>
      <c r="C287" s="1" t="n">
        <v>46036</v>
      </c>
      <c r="D287" t="inlineStr">
        <is>
          <t>DALARNAS LÄN</t>
        </is>
      </c>
      <c r="E287" t="inlineStr">
        <is>
          <t>SÄTER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41951-2024</t>
        </is>
      </c>
      <c r="B288" s="1" t="n">
        <v>45561</v>
      </c>
      <c r="C288" s="1" t="n">
        <v>46036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41959-2024</t>
        </is>
      </c>
      <c r="B289" s="1" t="n">
        <v>45561</v>
      </c>
      <c r="C289" s="1" t="n">
        <v>46036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69744-2021</t>
        </is>
      </c>
      <c r="B290" s="1" t="n">
        <v>44532.55016203703</v>
      </c>
      <c r="C290" s="1" t="n">
        <v>46036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47064-2021</t>
        </is>
      </c>
      <c r="B291" s="1" t="n">
        <v>44446.64893518519</v>
      </c>
      <c r="C291" s="1" t="n">
        <v>46036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41954-2024</t>
        </is>
      </c>
      <c r="B292" s="1" t="n">
        <v>45561</v>
      </c>
      <c r="C292" s="1" t="n">
        <v>46036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26456-2024</t>
        </is>
      </c>
      <c r="B293" s="1" t="n">
        <v>45469.52028935185</v>
      </c>
      <c r="C293" s="1" t="n">
        <v>46036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847-2025</t>
        </is>
      </c>
      <c r="B294" s="1" t="n">
        <v>45665.59894675926</v>
      </c>
      <c r="C294" s="1" t="n">
        <v>46036</v>
      </c>
      <c r="D294" t="inlineStr">
        <is>
          <t>DALARNAS LÄN</t>
        </is>
      </c>
      <c r="E294" t="inlineStr">
        <is>
          <t>SÄTER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5543-2022</t>
        </is>
      </c>
      <c r="B295" s="1" t="n">
        <v>44595.60778935185</v>
      </c>
      <c r="C295" s="1" t="n">
        <v>46036</v>
      </c>
      <c r="D295" t="inlineStr">
        <is>
          <t>DALARNAS LÄN</t>
        </is>
      </c>
      <c r="E295" t="inlineStr">
        <is>
          <t>SÄTER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60655-2024</t>
        </is>
      </c>
      <c r="B296" s="1" t="n">
        <v>45644.44140046297</v>
      </c>
      <c r="C296" s="1" t="n">
        <v>46036</v>
      </c>
      <c r="D296" t="inlineStr">
        <is>
          <t>DALARNAS LÄN</t>
        </is>
      </c>
      <c r="E296" t="inlineStr">
        <is>
          <t>SÄTER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59445-2024</t>
        </is>
      </c>
      <c r="B297" s="1" t="n">
        <v>45638.45646990741</v>
      </c>
      <c r="C297" s="1" t="n">
        <v>46036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10150-2025</t>
        </is>
      </c>
      <c r="B298" s="1" t="n">
        <v>45719</v>
      </c>
      <c r="C298" s="1" t="n">
        <v>46036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38700-2023</t>
        </is>
      </c>
      <c r="B299" s="1" t="n">
        <v>45163</v>
      </c>
      <c r="C299" s="1" t="n">
        <v>46036</v>
      </c>
      <c r="D299" t="inlineStr">
        <is>
          <t>DALARNAS LÄN</t>
        </is>
      </c>
      <c r="E299" t="inlineStr">
        <is>
          <t>SÄTER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20500-2025</t>
        </is>
      </c>
      <c r="B300" s="1" t="n">
        <v>45775.57885416667</v>
      </c>
      <c r="C300" s="1" t="n">
        <v>46036</v>
      </c>
      <c r="D300" t="inlineStr">
        <is>
          <t>DALARNAS LÄN</t>
        </is>
      </c>
      <c r="E300" t="inlineStr">
        <is>
          <t>SÄTER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39487-2022</t>
        </is>
      </c>
      <c r="B301" s="1" t="n">
        <v>44817</v>
      </c>
      <c r="C301" s="1" t="n">
        <v>46036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5698-2024</t>
        </is>
      </c>
      <c r="B302" s="1" t="n">
        <v>45334.72344907407</v>
      </c>
      <c r="C302" s="1" t="n">
        <v>46036</v>
      </c>
      <c r="D302" t="inlineStr">
        <is>
          <t>DALARNAS LÄN</t>
        </is>
      </c>
      <c r="E302" t="inlineStr">
        <is>
          <t>SÄTER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41556-2021</t>
        </is>
      </c>
      <c r="B303" s="1" t="n">
        <v>44425</v>
      </c>
      <c r="C303" s="1" t="n">
        <v>46036</v>
      </c>
      <c r="D303" t="inlineStr">
        <is>
          <t>DALARNAS LÄN</t>
        </is>
      </c>
      <c r="E303" t="inlineStr">
        <is>
          <t>SÄTER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36481-2024</t>
        </is>
      </c>
      <c r="B304" s="1" t="n">
        <v>45537.37413194445</v>
      </c>
      <c r="C304" s="1" t="n">
        <v>46036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38521-2024</t>
        </is>
      </c>
      <c r="B305" s="1" t="n">
        <v>45546.56472222223</v>
      </c>
      <c r="C305" s="1" t="n">
        <v>46036</v>
      </c>
      <c r="D305" t="inlineStr">
        <is>
          <t>DALARNAS LÄN</t>
        </is>
      </c>
      <c r="E305" t="inlineStr">
        <is>
          <t>SÄTER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10254-2025</t>
        </is>
      </c>
      <c r="B306" s="1" t="n">
        <v>45720.36833333333</v>
      </c>
      <c r="C306" s="1" t="n">
        <v>46036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55497-2024</t>
        </is>
      </c>
      <c r="B307" s="1" t="n">
        <v>45622.45306712963</v>
      </c>
      <c r="C307" s="1" t="n">
        <v>46036</v>
      </c>
      <c r="D307" t="inlineStr">
        <is>
          <t>DALARNAS LÄN</t>
        </is>
      </c>
      <c r="E307" t="inlineStr">
        <is>
          <t>SÄTER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32904-2022</t>
        </is>
      </c>
      <c r="B308" s="1" t="n">
        <v>44784</v>
      </c>
      <c r="C308" s="1" t="n">
        <v>46036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57824-2023</t>
        </is>
      </c>
      <c r="B309" s="1" t="n">
        <v>45247</v>
      </c>
      <c r="C309" s="1" t="n">
        <v>46036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47044-2023</t>
        </is>
      </c>
      <c r="B310" s="1" t="n">
        <v>45201.55331018518</v>
      </c>
      <c r="C310" s="1" t="n">
        <v>46036</v>
      </c>
      <c r="D310" t="inlineStr">
        <is>
          <t>DALARNAS LÄN</t>
        </is>
      </c>
      <c r="E310" t="inlineStr">
        <is>
          <t>SÄTER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36478-2024</t>
        </is>
      </c>
      <c r="B311" s="1" t="n">
        <v>45537.37069444444</v>
      </c>
      <c r="C311" s="1" t="n">
        <v>46036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57427-2022</t>
        </is>
      </c>
      <c r="B312" s="1" t="n">
        <v>44896</v>
      </c>
      <c r="C312" s="1" t="n">
        <v>46036</v>
      </c>
      <c r="D312" t="inlineStr">
        <is>
          <t>DALARNAS LÄN</t>
        </is>
      </c>
      <c r="E312" t="inlineStr">
        <is>
          <t>SÄTER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51333-2024</t>
        </is>
      </c>
      <c r="B313" s="1" t="n">
        <v>45604.34403935185</v>
      </c>
      <c r="C313" s="1" t="n">
        <v>46036</v>
      </c>
      <c r="D313" t="inlineStr">
        <is>
          <t>DALARNAS LÄN</t>
        </is>
      </c>
      <c r="E313" t="inlineStr">
        <is>
          <t>SÄTER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19979-2025</t>
        </is>
      </c>
      <c r="B314" s="1" t="n">
        <v>45771.70621527778</v>
      </c>
      <c r="C314" s="1" t="n">
        <v>46036</v>
      </c>
      <c r="D314" t="inlineStr">
        <is>
          <t>DALARNAS LÄN</t>
        </is>
      </c>
      <c r="E314" t="inlineStr">
        <is>
          <t>SÄTER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32892-2022</t>
        </is>
      </c>
      <c r="B315" s="1" t="n">
        <v>44784.56407407407</v>
      </c>
      <c r="C315" s="1" t="n">
        <v>46036</v>
      </c>
      <c r="D315" t="inlineStr">
        <is>
          <t>DALARNAS LÄN</t>
        </is>
      </c>
      <c r="E315" t="inlineStr">
        <is>
          <t>SÄTER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60569-2024</t>
        </is>
      </c>
      <c r="B316" s="1" t="n">
        <v>45644.31773148148</v>
      </c>
      <c r="C316" s="1" t="n">
        <v>46036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17917-2025</t>
        </is>
      </c>
      <c r="B317" s="1" t="n">
        <v>45758.79458333334</v>
      </c>
      <c r="C317" s="1" t="n">
        <v>46036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5232-2022</t>
        </is>
      </c>
      <c r="B318" s="1" t="n">
        <v>44594</v>
      </c>
      <c r="C318" s="1" t="n">
        <v>46036</v>
      </c>
      <c r="D318" t="inlineStr">
        <is>
          <t>DALARNAS LÄN</t>
        </is>
      </c>
      <c r="E318" t="inlineStr">
        <is>
          <t>SÄTER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34497-2023</t>
        </is>
      </c>
      <c r="B319" s="1" t="n">
        <v>45140</v>
      </c>
      <c r="C319" s="1" t="n">
        <v>46036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23262-2024</t>
        </is>
      </c>
      <c r="B320" s="1" t="n">
        <v>45453.36730324074</v>
      </c>
      <c r="C320" s="1" t="n">
        <v>46036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18062-2025</t>
        </is>
      </c>
      <c r="B321" s="1" t="n">
        <v>45761.48274305555</v>
      </c>
      <c r="C321" s="1" t="n">
        <v>46036</v>
      </c>
      <c r="D321" t="inlineStr">
        <is>
          <t>DALARNAS LÄN</t>
        </is>
      </c>
      <c r="E321" t="inlineStr">
        <is>
          <t>SÄTER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37923-2022</t>
        </is>
      </c>
      <c r="B322" s="1" t="n">
        <v>44811.45211805555</v>
      </c>
      <c r="C322" s="1" t="n">
        <v>46036</v>
      </c>
      <c r="D322" t="inlineStr">
        <is>
          <t>DALARNAS LÄN</t>
        </is>
      </c>
      <c r="E322" t="inlineStr">
        <is>
          <t>SÄTER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16834-2024</t>
        </is>
      </c>
      <c r="B323" s="1" t="n">
        <v>45411.48457175926</v>
      </c>
      <c r="C323" s="1" t="n">
        <v>46036</v>
      </c>
      <c r="D323" t="inlineStr">
        <is>
          <t>DALARNAS LÄN</t>
        </is>
      </c>
      <c r="E323" t="inlineStr">
        <is>
          <t>SÄTER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34993-2024</t>
        </is>
      </c>
      <c r="B324" s="1" t="n">
        <v>45527.56167824074</v>
      </c>
      <c r="C324" s="1" t="n">
        <v>46036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21766-2024</t>
        </is>
      </c>
      <c r="B325" s="1" t="n">
        <v>45442.60379629629</v>
      </c>
      <c r="C325" s="1" t="n">
        <v>46036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12957-2022</t>
        </is>
      </c>
      <c r="B326" s="1" t="n">
        <v>44643</v>
      </c>
      <c r="C326" s="1" t="n">
        <v>46036</v>
      </c>
      <c r="D326" t="inlineStr">
        <is>
          <t>DALARNAS LÄN</t>
        </is>
      </c>
      <c r="E326" t="inlineStr">
        <is>
          <t>SÄTER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56827-2024</t>
        </is>
      </c>
      <c r="B327" s="1" t="n">
        <v>45628.49442129629</v>
      </c>
      <c r="C327" s="1" t="n">
        <v>46036</v>
      </c>
      <c r="D327" t="inlineStr">
        <is>
          <t>DALARNAS LÄN</t>
        </is>
      </c>
      <c r="E327" t="inlineStr">
        <is>
          <t>SÄTER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54312-2023</t>
        </is>
      </c>
      <c r="B328" s="1" t="n">
        <v>45232</v>
      </c>
      <c r="C328" s="1" t="n">
        <v>46036</v>
      </c>
      <c r="D328" t="inlineStr">
        <is>
          <t>DALARNAS LÄN</t>
        </is>
      </c>
      <c r="E328" t="inlineStr">
        <is>
          <t>SÄTER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4216-2023</t>
        </is>
      </c>
      <c r="B329" s="1" t="n">
        <v>44953.45762731481</v>
      </c>
      <c r="C329" s="1" t="n">
        <v>46036</v>
      </c>
      <c r="D329" t="inlineStr">
        <is>
          <t>DALARNAS LÄN</t>
        </is>
      </c>
      <c r="E329" t="inlineStr">
        <is>
          <t>SÄTER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5981-2023</t>
        </is>
      </c>
      <c r="B330" s="1" t="n">
        <v>44964</v>
      </c>
      <c r="C330" s="1" t="n">
        <v>46036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33872-2024</t>
        </is>
      </c>
      <c r="B331" s="1" t="n">
        <v>45520.96</v>
      </c>
      <c r="C331" s="1" t="n">
        <v>46036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42998-2023</t>
        </is>
      </c>
      <c r="B332" s="1" t="n">
        <v>45182</v>
      </c>
      <c r="C332" s="1" t="n">
        <v>46036</v>
      </c>
      <c r="D332" t="inlineStr">
        <is>
          <t>DALARNAS LÄN</t>
        </is>
      </c>
      <c r="E332" t="inlineStr">
        <is>
          <t>SÄTER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51847-2024</t>
        </is>
      </c>
      <c r="B333" s="1" t="n">
        <v>45604</v>
      </c>
      <c r="C333" s="1" t="n">
        <v>46036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53695-2024</t>
        </is>
      </c>
      <c r="B334" s="1" t="n">
        <v>45614</v>
      </c>
      <c r="C334" s="1" t="n">
        <v>46036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17914-2025</t>
        </is>
      </c>
      <c r="B335" s="1" t="n">
        <v>45758.78844907408</v>
      </c>
      <c r="C335" s="1" t="n">
        <v>46036</v>
      </c>
      <c r="D335" t="inlineStr">
        <is>
          <t>DALARNAS LÄN</t>
        </is>
      </c>
      <c r="E335" t="inlineStr">
        <is>
          <t>SÄTER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17915-2025</t>
        </is>
      </c>
      <c r="B336" s="1" t="n">
        <v>45758.79019675926</v>
      </c>
      <c r="C336" s="1" t="n">
        <v>46036</v>
      </c>
      <c r="D336" t="inlineStr">
        <is>
          <t>DALARNAS LÄN</t>
        </is>
      </c>
      <c r="E336" t="inlineStr">
        <is>
          <t>SÄTER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17916-2025</t>
        </is>
      </c>
      <c r="B337" s="1" t="n">
        <v>45758.79270833333</v>
      </c>
      <c r="C337" s="1" t="n">
        <v>46036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21762-2024</t>
        </is>
      </c>
      <c r="B338" s="1" t="n">
        <v>45442.60010416667</v>
      </c>
      <c r="C338" s="1" t="n">
        <v>46036</v>
      </c>
      <c r="D338" t="inlineStr">
        <is>
          <t>DALARNAS LÄN</t>
        </is>
      </c>
      <c r="E338" t="inlineStr">
        <is>
          <t>SÄTER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54310-2023</t>
        </is>
      </c>
      <c r="B339" s="1" t="n">
        <v>45232.89916666667</v>
      </c>
      <c r="C339" s="1" t="n">
        <v>46036</v>
      </c>
      <c r="D339" t="inlineStr">
        <is>
          <t>DALARNAS LÄN</t>
        </is>
      </c>
      <c r="E339" t="inlineStr">
        <is>
          <t>SÄTER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58798-2024</t>
        </is>
      </c>
      <c r="B340" s="1" t="n">
        <v>45636.30075231481</v>
      </c>
      <c r="C340" s="1" t="n">
        <v>46036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37440-2022</t>
        </is>
      </c>
      <c r="B341" s="1" t="n">
        <v>44809</v>
      </c>
      <c r="C341" s="1" t="n">
        <v>46036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33473-2022</t>
        </is>
      </c>
      <c r="B342" s="1" t="n">
        <v>44788</v>
      </c>
      <c r="C342" s="1" t="n">
        <v>46036</v>
      </c>
      <c r="D342" t="inlineStr">
        <is>
          <t>DALARNAS LÄN</t>
        </is>
      </c>
      <c r="E342" t="inlineStr">
        <is>
          <t>SÄTER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28549-2022</t>
        </is>
      </c>
      <c r="B343" s="1" t="n">
        <v>44748</v>
      </c>
      <c r="C343" s="1" t="n">
        <v>46036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46559-2021</t>
        </is>
      </c>
      <c r="B344" s="1" t="n">
        <v>44445</v>
      </c>
      <c r="C344" s="1" t="n">
        <v>46036</v>
      </c>
      <c r="D344" t="inlineStr">
        <is>
          <t>DALARNAS LÄN</t>
        </is>
      </c>
      <c r="E344" t="inlineStr">
        <is>
          <t>SÄTER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46036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21583-2025</t>
        </is>
      </c>
      <c r="B346" s="1" t="n">
        <v>45783.28149305555</v>
      </c>
      <c r="C346" s="1" t="n">
        <v>46036</v>
      </c>
      <c r="D346" t="inlineStr">
        <is>
          <t>DALARNAS LÄN</t>
        </is>
      </c>
      <c r="E346" t="inlineStr">
        <is>
          <t>SÄTER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49684-2024</t>
        </is>
      </c>
      <c r="B347" s="1" t="n">
        <v>45596.67398148148</v>
      </c>
      <c r="C347" s="1" t="n">
        <v>46036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19322-2024</t>
        </is>
      </c>
      <c r="B348" s="1" t="n">
        <v>45428.91826388889</v>
      </c>
      <c r="C348" s="1" t="n">
        <v>46036</v>
      </c>
      <c r="D348" t="inlineStr">
        <is>
          <t>DALARNAS LÄN</t>
        </is>
      </c>
      <c r="E348" t="inlineStr">
        <is>
          <t>SÄTER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19767-2024</t>
        </is>
      </c>
      <c r="B349" s="1" t="n">
        <v>45432.7103125</v>
      </c>
      <c r="C349" s="1" t="n">
        <v>46036</v>
      </c>
      <c r="D349" t="inlineStr">
        <is>
          <t>DALARNAS LÄN</t>
        </is>
      </c>
      <c r="E349" t="inlineStr">
        <is>
          <t>SÄTER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6640-2025</t>
        </is>
      </c>
      <c r="B350" s="1" t="n">
        <v>45700.38395833333</v>
      </c>
      <c r="C350" s="1" t="n">
        <v>46036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22970-2025</t>
        </is>
      </c>
      <c r="B351" s="1" t="n">
        <v>45790</v>
      </c>
      <c r="C351" s="1" t="n">
        <v>46036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10404-2024</t>
        </is>
      </c>
      <c r="B352" s="1" t="n">
        <v>45365</v>
      </c>
      <c r="C352" s="1" t="n">
        <v>46036</v>
      </c>
      <c r="D352" t="inlineStr">
        <is>
          <t>DALARNAS LÄN</t>
        </is>
      </c>
      <c r="E352" t="inlineStr">
        <is>
          <t>SÄTER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1123-2025</t>
        </is>
      </c>
      <c r="B353" s="1" t="n">
        <v>45666.66917824074</v>
      </c>
      <c r="C353" s="1" t="n">
        <v>46036</v>
      </c>
      <c r="D353" t="inlineStr">
        <is>
          <t>DALARNAS LÄN</t>
        </is>
      </c>
      <c r="E353" t="inlineStr">
        <is>
          <t>SÄTER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33482-2023</t>
        </is>
      </c>
      <c r="B354" s="1" t="n">
        <v>45118</v>
      </c>
      <c r="C354" s="1" t="n">
        <v>46036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21911-2024</t>
        </is>
      </c>
      <c r="B355" s="1" t="n">
        <v>45443.36738425926</v>
      </c>
      <c r="C355" s="1" t="n">
        <v>46036</v>
      </c>
      <c r="D355" t="inlineStr">
        <is>
          <t>DALARNAS LÄN</t>
        </is>
      </c>
      <c r="E355" t="inlineStr">
        <is>
          <t>SÄTER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25294-2024</t>
        </is>
      </c>
      <c r="B356" s="1" t="n">
        <v>45462.65965277778</v>
      </c>
      <c r="C356" s="1" t="n">
        <v>46036</v>
      </c>
      <c r="D356" t="inlineStr">
        <is>
          <t>DALARNAS LÄN</t>
        </is>
      </c>
      <c r="E356" t="inlineStr">
        <is>
          <t>SÄTER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12285-2024</t>
        </is>
      </c>
      <c r="B357" s="1" t="n">
        <v>45377</v>
      </c>
      <c r="C357" s="1" t="n">
        <v>46036</v>
      </c>
      <c r="D357" t="inlineStr">
        <is>
          <t>DALARNAS LÄN</t>
        </is>
      </c>
      <c r="E357" t="inlineStr">
        <is>
          <t>SÄTER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25793-2025</t>
        </is>
      </c>
      <c r="B358" s="1" t="n">
        <v>45804.39335648148</v>
      </c>
      <c r="C358" s="1" t="n">
        <v>46036</v>
      </c>
      <c r="D358" t="inlineStr">
        <is>
          <t>DALARNAS LÄN</t>
        </is>
      </c>
      <c r="E358" t="inlineStr">
        <is>
          <t>SÄTER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26057-2025</t>
        </is>
      </c>
      <c r="B359" s="1" t="n">
        <v>45804.81481481482</v>
      </c>
      <c r="C359" s="1" t="n">
        <v>46036</v>
      </c>
      <c r="D359" t="inlineStr">
        <is>
          <t>DALARNAS LÄN</t>
        </is>
      </c>
      <c r="E359" t="inlineStr">
        <is>
          <t>SÄTER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27006-2025</t>
        </is>
      </c>
      <c r="B360" s="1" t="n">
        <v>45811</v>
      </c>
      <c r="C360" s="1" t="n">
        <v>46036</v>
      </c>
      <c r="D360" t="inlineStr">
        <is>
          <t>DALARNAS LÄN</t>
        </is>
      </c>
      <c r="E360" t="inlineStr">
        <is>
          <t>SÄTER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27018-2025</t>
        </is>
      </c>
      <c r="B361" s="1" t="n">
        <v>45811</v>
      </c>
      <c r="C361" s="1" t="n">
        <v>46036</v>
      </c>
      <c r="D361" t="inlineStr">
        <is>
          <t>DALARNAS LÄN</t>
        </is>
      </c>
      <c r="E361" t="inlineStr">
        <is>
          <t>SÄTER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26940-2025</t>
        </is>
      </c>
      <c r="B362" s="1" t="n">
        <v>45811</v>
      </c>
      <c r="C362" s="1" t="n">
        <v>46036</v>
      </c>
      <c r="D362" t="inlineStr">
        <is>
          <t>DALARNAS LÄN</t>
        </is>
      </c>
      <c r="E362" t="inlineStr">
        <is>
          <t>SÄTER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27057-2025</t>
        </is>
      </c>
      <c r="B363" s="1" t="n">
        <v>45811.63216435185</v>
      </c>
      <c r="C363" s="1" t="n">
        <v>46036</v>
      </c>
      <c r="D363" t="inlineStr">
        <is>
          <t>DALARNAS LÄN</t>
        </is>
      </c>
      <c r="E363" t="inlineStr">
        <is>
          <t>SÄTER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2026-01-14T10:51:19Z</dcterms:created>
  <dcterms:modified xmlns:dcterms="http://purl.org/dc/terms/" xmlns:xsi="http://www.w3.org/2001/XMLSchema-instance" xsi:type="dcterms:W3CDTF">2026-01-14T10:51:20Z</dcterms:modified>
</cp:coreProperties>
</file>