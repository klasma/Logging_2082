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46280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46280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46280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46280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46280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46280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46280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46280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46280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46280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46280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46280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46280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46280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46280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46280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46280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46280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46280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46280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46280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46280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21111-2026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46280</v>
      </c>
      <c r="F37" t="inlineStr">
        <is>
          <t>DALARNAS LÄN</t>
        </is>
      </c>
      <c r="G37" t="inlineStr">
        <is>
          <t>SÄTER</t>
        </is>
      </c>
      <c r="I37" t="n">
        <v>4.6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Fjällig taggsvamp s.str.</t>
        </is>
      </c>
      <c r="W37">
        <f>HYPERLINK("https://klasma.github.io/Logging_2082/artfynd/A 21111-2026 artfynd.xlsx", "A 21111-2026")</f>
        <v/>
      </c>
      <c r="X37">
        <f>HYPERLINK("https://klasma.github.io/Logging_2082/kartor/A 21111-2026 karta.png", "A 21111-2026")</f>
        <v/>
      </c>
      <c r="Y37">
        <f>HYPERLINK("https://klasma.github.io/Logging_2082/kartor_geotiff/A 21111-2026 georefererad karta.tif", "A 21111-2026")</f>
        <v/>
      </c>
      <c r="AA37">
        <f>HYPERLINK("https://klasma.github.io/Logging_2082/klagomål/A 21111-2026 FSC-klagomål.docx", "A 21111-2026")</f>
        <v/>
      </c>
      <c r="AB37">
        <f>HYPERLINK("https://klasma.github.io/Logging_2082/klagomålsmail/A 21111-2026 FSC-klagomål mail.docx", "A 21111-2026")</f>
        <v/>
      </c>
      <c r="AC37">
        <f>HYPERLINK("https://klasma.github.io/Logging_2082/tillsyn/A 21111-2026 tillsynsbegäran.docx", "A 21111-2026")</f>
        <v/>
      </c>
      <c r="AD37">
        <f>HYPERLINK("https://klasma.github.io/Logging_2082/tillsynsmail/A 21111-2026 tillsynsbegäran mail.docx", "A 21111-2026")</f>
        <v/>
      </c>
    </row>
    <row r="38" ht="15" customHeight="1">
      <c r="A38" t="inlineStr">
        <is>
          <t>A 21120-2026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46280</v>
      </c>
      <c r="F38" t="inlineStr">
        <is>
          <t>DALARNAS LÄN</t>
        </is>
      </c>
      <c r="G38" t="inlineStr">
        <is>
          <t>SÄTER</t>
        </is>
      </c>
      <c r="I38" t="n">
        <v>4.8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21120-2026 artfynd.xlsx", "A 21120-2026")</f>
        <v/>
      </c>
      <c r="X38">
        <f>HYPERLINK("https://klasma.github.io/Logging_2082/kartor/A 21120-2026 karta.png", "A 21120-2026")</f>
        <v/>
      </c>
      <c r="Y38">
        <f>HYPERLINK("https://klasma.github.io/Logging_2082/kartor_geotiff/A 21120-2026 georefererad karta.tif", "A 21120-2026")</f>
        <v/>
      </c>
      <c r="Z38">
        <f>HYPERLINK("https://klasma.github.io/Logging_2082/knärot/A 21120-2026 karta knärot.png", "A 21120-2026")</f>
        <v/>
      </c>
      <c r="AA38">
        <f>HYPERLINK("https://klasma.github.io/Logging_2082/klagomål/A 21120-2026 FSC-klagomål.docx", "A 21120-2026")</f>
        <v/>
      </c>
      <c r="AB38">
        <f>HYPERLINK("https://klasma.github.io/Logging_2082/klagomålsmail/A 21120-2026 FSC-klagomål mail.docx", "A 21120-2026")</f>
        <v/>
      </c>
      <c r="AC38">
        <f>HYPERLINK("https://klasma.github.io/Logging_2082/tillsyn/A 21120-2026 tillsynsbegäran.docx", "A 21120-2026")</f>
        <v/>
      </c>
      <c r="AD38">
        <f>HYPERLINK("https://klasma.github.io/Logging_2082/tillsynsmail/A 21120-2026 tillsynsbegäran mail.docx", "A 21120-2026")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46280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46280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32383-2022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46280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32383-2022 artfynd.xlsx", "A 32383-2022")</f>
        <v/>
      </c>
      <c r="X41">
        <f>HYPERLINK("https://klasma.github.io/Logging_2082/kartor/A 32383-2022 karta.png", "A 32383-2022")</f>
        <v/>
      </c>
      <c r="Y41">
        <f>HYPERLINK("https://klasma.github.io/Logging_2082/kartor_geotiff/A 32383-2022 georefererad karta.tif", "A 32383-2022")</f>
        <v/>
      </c>
      <c r="Z41">
        <f>HYPERLINK("https://klasma.github.io/Logging_2082/knärot/A 32383-2022 karta knärot.png", "A 32383-2022")</f>
        <v/>
      </c>
      <c r="AA41">
        <f>HYPERLINK("https://klasma.github.io/Logging_2082/klagomål/A 32383-2022 FSC-klagomål.docx", "A 32383-2022")</f>
        <v/>
      </c>
      <c r="AB41">
        <f>HYPERLINK("https://klasma.github.io/Logging_2082/klagomålsmail/A 32383-2022 FSC-klagomål mail.docx", "A 32383-2022")</f>
        <v/>
      </c>
      <c r="AC41">
        <f>HYPERLINK("https://klasma.github.io/Logging_2082/tillsyn/A 32383-2022 tillsynsbegäran.docx", "A 32383-2022")</f>
        <v/>
      </c>
      <c r="AD41">
        <f>HYPERLINK("https://klasma.github.io/Logging_2082/tillsynsmail/A 32383-2022 tillsynsbegäran mail.docx", "A 32383-2022")</f>
        <v/>
      </c>
    </row>
    <row r="42" ht="15" customHeight="1">
      <c r="A42" t="inlineStr">
        <is>
          <t>A 33605-2022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46280</v>
      </c>
      <c r="F42" t="inlineStr">
        <is>
          <t>DALARNAS LÄN</t>
        </is>
      </c>
      <c r="G42" t="inlineStr">
        <is>
          <t>SÄTER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33605-2022 artfynd.xlsx", "A 33605-2022")</f>
        <v/>
      </c>
      <c r="X42">
        <f>HYPERLINK("https://klasma.github.io/Logging_2082/kartor/A 33605-2022 karta.png", "A 33605-2022")</f>
        <v/>
      </c>
      <c r="Y42">
        <f>HYPERLINK("https://klasma.github.io/Logging_2082/kartor_geotiff/A 33605-2022 georefererad karta.tif", "A 33605-2022")</f>
        <v/>
      </c>
      <c r="AA42">
        <f>HYPERLINK("https://klasma.github.io/Logging_2082/klagomål/A 33605-2022 FSC-klagomål.docx", "A 33605-2022")</f>
        <v/>
      </c>
      <c r="AB42">
        <f>HYPERLINK("https://klasma.github.io/Logging_2082/klagomålsmail/A 33605-2022 FSC-klagomål mail.docx", "A 33605-2022")</f>
        <v/>
      </c>
      <c r="AC42">
        <f>HYPERLINK("https://klasma.github.io/Logging_2082/tillsyn/A 33605-2022 tillsynsbegäran.docx", "A 33605-2022")</f>
        <v/>
      </c>
      <c r="AD42">
        <f>HYPERLINK("https://klasma.github.io/Logging_2082/tillsynsmail/A 33605-2022 tillsynsbegäran mail.docx", "A 33605-2022")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46280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46280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46280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46280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46280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46280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46280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46280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46280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46280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46280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46280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46280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46280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46280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46280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46280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46280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46280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46280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46280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46280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46280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46280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46280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46280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46280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46280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46280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46280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46280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46280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46280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46280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46280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46280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46280</v>
      </c>
      <c r="F79" t="inlineStr">
        <is>
          <t>DALARNAS LÄN</t>
        </is>
      </c>
      <c r="G79" t="inlineStr">
        <is>
          <t>SÄTER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46280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46280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46280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46280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46280</v>
      </c>
      <c r="F84" t="inlineStr">
        <is>
          <t>DALARNAS LÄN</t>
        </is>
      </c>
      <c r="G84" t="inlineStr">
        <is>
          <t>SÄTER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46280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46280</v>
      </c>
      <c r="F86" t="inlineStr">
        <is>
          <t>DALARNAS LÄN</t>
        </is>
      </c>
      <c r="G86" t="inlineStr">
        <is>
          <t>SÄTER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46280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46280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46280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46280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46280</v>
      </c>
      <c r="F91" t="inlineStr">
        <is>
          <t>DALARNAS LÄN</t>
        </is>
      </c>
      <c r="G91" t="inlineStr">
        <is>
          <t>SÄTER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45118</v>
      </c>
      <c r="E92" s="1" t="n">
        <v>46280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46280</v>
      </c>
      <c r="F93" t="inlineStr">
        <is>
          <t>DALARNAS LÄN</t>
        </is>
      </c>
      <c r="G93" t="inlineStr">
        <is>
          <t>SÄTER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45462</v>
      </c>
      <c r="E94" s="1" t="n">
        <v>46280</v>
      </c>
      <c r="F94" t="inlineStr">
        <is>
          <t>DALARNAS LÄN</t>
        </is>
      </c>
      <c r="G94" t="inlineStr">
        <is>
          <t>SÄTER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46280</v>
      </c>
      <c r="F95" t="inlineStr">
        <is>
          <t>DALARNAS LÄN</t>
        </is>
      </c>
      <c r="G95" t="inlineStr">
        <is>
          <t>SÄTER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46280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46280</v>
      </c>
      <c r="F97" t="inlineStr">
        <is>
          <t>DALARNAS LÄN</t>
        </is>
      </c>
      <c r="G97" t="inlineStr">
        <is>
          <t>SÄTER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46280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46280</v>
      </c>
      <c r="F99" t="inlineStr">
        <is>
          <t>DALARNAS LÄN</t>
        </is>
      </c>
      <c r="G99" t="inlineStr">
        <is>
          <t>SÄTER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46280</v>
      </c>
      <c r="F100" t="inlineStr">
        <is>
          <t>DALARNAS LÄN</t>
        </is>
      </c>
      <c r="G100" t="inlineStr">
        <is>
          <t>SÄTER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46280</v>
      </c>
      <c r="F101" t="inlineStr">
        <is>
          <t>DALARNAS LÄN</t>
        </is>
      </c>
      <c r="G101" t="inlineStr">
        <is>
          <t>SÄTER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46280</v>
      </c>
      <c r="F102" t="inlineStr">
        <is>
          <t>DALARNAS LÄN</t>
        </is>
      </c>
      <c r="G102" t="inlineStr">
        <is>
          <t>SÄTER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46026</v>
      </c>
      <c r="E103" s="1" t="n">
        <v>46280</v>
      </c>
      <c r="F103" t="inlineStr">
        <is>
          <t>DALARNAS LÄN</t>
        </is>
      </c>
      <c r="G103" t="inlineStr">
        <is>
          <t>SÄTER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46027</v>
      </c>
      <c r="E104" s="1" t="n">
        <v>46280</v>
      </c>
      <c r="F104" t="inlineStr">
        <is>
          <t>DALARNAS LÄN</t>
        </is>
      </c>
      <c r="G104" t="inlineStr">
        <is>
          <t>SÄTER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46280</v>
      </c>
      <c r="F105" t="inlineStr">
        <is>
          <t>DALARNAS LÄN</t>
        </is>
      </c>
      <c r="G105" t="inlineStr">
        <is>
          <t>SÄTER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44784</v>
      </c>
      <c r="E106" s="1" t="n">
        <v>46280</v>
      </c>
      <c r="F106" t="inlineStr">
        <is>
          <t>DALARNAS LÄN</t>
        </is>
      </c>
      <c r="G106" t="inlineStr">
        <is>
          <t>SÄTER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46030</v>
      </c>
      <c r="E107" s="1" t="n">
        <v>46280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46280</v>
      </c>
      <c r="F108" t="inlineStr">
        <is>
          <t>DALARNAS LÄN</t>
        </is>
      </c>
      <c r="G108" t="inlineStr">
        <is>
          <t>SÄTER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46280</v>
      </c>
      <c r="F109" t="inlineStr">
        <is>
          <t>DALARNAS LÄN</t>
        </is>
      </c>
      <c r="G109" t="inlineStr">
        <is>
          <t>SÄTER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46280</v>
      </c>
      <c r="F110" t="inlineStr">
        <is>
          <t>DALARNAS LÄN</t>
        </is>
      </c>
      <c r="G110" t="inlineStr">
        <is>
          <t>SÄTER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46280</v>
      </c>
      <c r="F111" t="inlineStr">
        <is>
          <t>DALARNAS LÄN</t>
        </is>
      </c>
      <c r="G111" t="inlineStr">
        <is>
          <t>SÄTER</t>
        </is>
      </c>
      <c r="H111" t="inlineStr">
        <is>
          <t>Kommuner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46280</v>
      </c>
      <c r="F112" t="inlineStr">
        <is>
          <t>DALARNAS LÄN</t>
        </is>
      </c>
      <c r="G112" t="inlineStr">
        <is>
          <t>SÄTER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46280</v>
      </c>
      <c r="F113" t="inlineStr">
        <is>
          <t>DALARNAS LÄN</t>
        </is>
      </c>
      <c r="G113" t="inlineStr">
        <is>
          <t>SÄTER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46280</v>
      </c>
      <c r="F114" t="inlineStr">
        <is>
          <t>DALARNAS LÄN</t>
        </is>
      </c>
      <c r="G114" t="inlineStr">
        <is>
          <t>SÄTER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46280</v>
      </c>
      <c r="F115" t="inlineStr">
        <is>
          <t>DALARNAS LÄN</t>
        </is>
      </c>
      <c r="G115" t="inlineStr">
        <is>
          <t>SÄTER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46280</v>
      </c>
      <c r="F116" t="inlineStr">
        <is>
          <t>DALARNAS LÄN</t>
        </is>
      </c>
      <c r="G116" t="inlineStr">
        <is>
          <t>SÄTER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46280</v>
      </c>
      <c r="F117" t="inlineStr">
        <is>
          <t>DALARNAS LÄN</t>
        </is>
      </c>
      <c r="G117" t="inlineStr">
        <is>
          <t>SÄTER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44690</v>
      </c>
      <c r="E118" s="1" t="n">
        <v>46280</v>
      </c>
      <c r="F118" t="inlineStr">
        <is>
          <t>DALARNAS LÄN</t>
        </is>
      </c>
      <c r="G118" t="inlineStr">
        <is>
          <t>SÄTER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46280</v>
      </c>
      <c r="F119" t="inlineStr">
        <is>
          <t>DALARNAS LÄN</t>
        </is>
      </c>
      <c r="G119" t="inlineStr">
        <is>
          <t>SÄTER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46280</v>
      </c>
      <c r="F120" t="inlineStr">
        <is>
          <t>DALARNAS LÄN</t>
        </is>
      </c>
      <c r="G120" t="inlineStr">
        <is>
          <t>SÄTER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46280</v>
      </c>
      <c r="F121" t="inlineStr">
        <is>
          <t>DALARNAS LÄN</t>
        </is>
      </c>
      <c r="G121" t="inlineStr">
        <is>
          <t>SÄTER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46280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46280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46280</v>
      </c>
      <c r="F124" t="inlineStr">
        <is>
          <t>DALARNAS LÄN</t>
        </is>
      </c>
      <c r="G124" t="inlineStr">
        <is>
          <t>SÄTER</t>
        </is>
      </c>
      <c r="I124" t="n">
        <v>10.6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46280</v>
      </c>
      <c r="F125" t="inlineStr">
        <is>
          <t>DALARNAS LÄN</t>
        </is>
      </c>
      <c r="G125" t="inlineStr">
        <is>
          <t>SÄTER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46280</v>
      </c>
      <c r="F126" t="inlineStr">
        <is>
          <t>DALARNAS LÄN</t>
        </is>
      </c>
      <c r="G126" t="inlineStr">
        <is>
          <t>SÄTER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46280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46280</v>
      </c>
      <c r="F128" t="inlineStr">
        <is>
          <t>DALARNAS LÄN</t>
        </is>
      </c>
      <c r="G128" t="inlineStr">
        <is>
          <t>SÄTER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46051</v>
      </c>
      <c r="E129" s="1" t="n">
        <v>46280</v>
      </c>
      <c r="F129" t="inlineStr">
        <is>
          <t>DALARNAS LÄN</t>
        </is>
      </c>
      <c r="G129" t="inlineStr">
        <is>
          <t>SÄTER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45971</v>
      </c>
      <c r="E130" s="1" t="n">
        <v>46280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46280</v>
      </c>
      <c r="F131" t="inlineStr">
        <is>
          <t>DALARNAS LÄN</t>
        </is>
      </c>
      <c r="G131" t="inlineStr">
        <is>
          <t>SÄTER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46280</v>
      </c>
      <c r="F132" t="inlineStr">
        <is>
          <t>DALARNAS LÄN</t>
        </is>
      </c>
      <c r="G132" t="inlineStr">
        <is>
          <t>SÄTER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46280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46057</v>
      </c>
      <c r="E134" s="1" t="n">
        <v>46280</v>
      </c>
      <c r="F134" t="inlineStr">
        <is>
          <t>DALARNAS LÄN</t>
        </is>
      </c>
      <c r="G134" t="inlineStr">
        <is>
          <t>SÄTER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46280</v>
      </c>
      <c r="F135" t="inlineStr">
        <is>
          <t>DALARNAS LÄN</t>
        </is>
      </c>
      <c r="G135" t="inlineStr">
        <is>
          <t>SÄTER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46280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46280</v>
      </c>
      <c r="F137" t="inlineStr">
        <is>
          <t>DALARNAS LÄN</t>
        </is>
      </c>
      <c r="G137" t="inlineStr">
        <is>
          <t>SÄTER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46280</v>
      </c>
      <c r="F138" t="inlineStr">
        <is>
          <t>DALARNAS LÄN</t>
        </is>
      </c>
      <c r="G138" t="inlineStr">
        <is>
          <t>SÄTER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46280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8435-2026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46065</v>
      </c>
      <c r="E140" s="1" t="n">
        <v>46280</v>
      </c>
      <c r="F140" t="inlineStr">
        <is>
          <t>DALARNAS LÄN</t>
        </is>
      </c>
      <c r="G140" t="inlineStr">
        <is>
          <t>SÄTER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46064</v>
      </c>
      <c r="E141" s="1" t="n">
        <v>46280</v>
      </c>
      <c r="F141" t="inlineStr">
        <is>
          <t>DALARNAS LÄN</t>
        </is>
      </c>
      <c r="G141" t="inlineStr">
        <is>
          <t>SÄTER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46280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46280</v>
      </c>
      <c r="F143" t="inlineStr">
        <is>
          <t>DALARNAS LÄN</t>
        </is>
      </c>
      <c r="G143" t="inlineStr">
        <is>
          <t>SÄTER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46280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46280</v>
      </c>
      <c r="F145" t="inlineStr">
        <is>
          <t>DALARNAS LÄN</t>
        </is>
      </c>
      <c r="G145" t="inlineStr">
        <is>
          <t>SÄTER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46280</v>
      </c>
      <c r="F146" t="inlineStr">
        <is>
          <t>DALARNAS LÄN</t>
        </is>
      </c>
      <c r="G146" t="inlineStr">
        <is>
          <t>SÄTER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46280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45870</v>
      </c>
      <c r="E148" s="1" t="n">
        <v>46280</v>
      </c>
      <c r="F148" t="inlineStr">
        <is>
          <t>DALARNAS LÄN</t>
        </is>
      </c>
      <c r="G148" t="inlineStr">
        <is>
          <t>SÄTER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46280</v>
      </c>
      <c r="F149" t="inlineStr">
        <is>
          <t>DALARNAS LÄN</t>
        </is>
      </c>
      <c r="G149" t="inlineStr">
        <is>
          <t>SÄTER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44727</v>
      </c>
      <c r="E150" s="1" t="n">
        <v>46280</v>
      </c>
      <c r="F150" t="inlineStr">
        <is>
          <t>DALARNAS LÄN</t>
        </is>
      </c>
      <c r="G150" t="inlineStr">
        <is>
          <t>SÄTER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46280</v>
      </c>
      <c r="F151" t="inlineStr">
        <is>
          <t>DALARNAS LÄN</t>
        </is>
      </c>
      <c r="G151" t="inlineStr">
        <is>
          <t>SÄTER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46280</v>
      </c>
      <c r="F152" t="inlineStr">
        <is>
          <t>DALARNAS LÄN</t>
        </is>
      </c>
      <c r="G152" t="inlineStr">
        <is>
          <t>SÄTER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37075-2025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46280</v>
      </c>
      <c r="F153" t="inlineStr">
        <is>
          <t>DALARNAS LÄN</t>
        </is>
      </c>
      <c r="G153" t="inlineStr">
        <is>
          <t>SÄTER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46280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46280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46280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46077</v>
      </c>
      <c r="E157" s="1" t="n">
        <v>46280</v>
      </c>
      <c r="F157" t="inlineStr">
        <is>
          <t>DALARNAS LÄN</t>
        </is>
      </c>
      <c r="G157" t="inlineStr">
        <is>
          <t>SÄTER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46280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46280</v>
      </c>
      <c r="F159" t="inlineStr">
        <is>
          <t>DALARNAS LÄN</t>
        </is>
      </c>
      <c r="G159" t="inlineStr">
        <is>
          <t>SÄTER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46280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46280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46280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46280</v>
      </c>
      <c r="F163" t="inlineStr">
        <is>
          <t>DALARNAS LÄN</t>
        </is>
      </c>
      <c r="G163" t="inlineStr">
        <is>
          <t>SÄTER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46280</v>
      </c>
      <c r="F164" t="inlineStr">
        <is>
          <t>DALARNAS LÄN</t>
        </is>
      </c>
      <c r="G164" t="inlineStr">
        <is>
          <t>SÄTER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46280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46280</v>
      </c>
      <c r="F166" t="inlineStr">
        <is>
          <t>DALARNAS LÄN</t>
        </is>
      </c>
      <c r="G166" t="inlineStr">
        <is>
          <t>SÄTER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46280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46280</v>
      </c>
      <c r="F168" t="inlineStr">
        <is>
          <t>DALARNAS LÄN</t>
        </is>
      </c>
      <c r="G168" t="inlineStr">
        <is>
          <t>SÄTER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46280</v>
      </c>
      <c r="F169" t="inlineStr">
        <is>
          <t>DALARNAS LÄN</t>
        </is>
      </c>
      <c r="G169" t="inlineStr">
        <is>
          <t>SÄTER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46280</v>
      </c>
      <c r="F170" t="inlineStr">
        <is>
          <t>DALARNAS LÄN</t>
        </is>
      </c>
      <c r="G170" t="inlineStr">
        <is>
          <t>SÄTER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46098</v>
      </c>
      <c r="E171" s="1" t="n">
        <v>46280</v>
      </c>
      <c r="F171" t="inlineStr">
        <is>
          <t>DALARNAS LÄN</t>
        </is>
      </c>
      <c r="G171" t="inlineStr">
        <is>
          <t>SÄTER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46098</v>
      </c>
      <c r="E172" s="1" t="n">
        <v>46280</v>
      </c>
      <c r="F172" t="inlineStr">
        <is>
          <t>DALARNAS LÄN</t>
        </is>
      </c>
      <c r="G172" t="inlineStr">
        <is>
          <t>SÄTER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46280</v>
      </c>
      <c r="F173" t="inlineStr">
        <is>
          <t>DALARNAS LÄN</t>
        </is>
      </c>
      <c r="G173" t="inlineStr">
        <is>
          <t>SÄTER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46280</v>
      </c>
      <c r="F174" t="inlineStr">
        <is>
          <t>DALARNAS LÄN</t>
        </is>
      </c>
      <c r="G174" t="inlineStr">
        <is>
          <t>SÄTER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46280</v>
      </c>
      <c r="F175" t="inlineStr">
        <is>
          <t>DALARNAS LÄN</t>
        </is>
      </c>
      <c r="G175" t="inlineStr">
        <is>
          <t>SÄTER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53878-2025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45961</v>
      </c>
      <c r="E176" s="1" t="n">
        <v>46280</v>
      </c>
      <c r="F176" t="inlineStr">
        <is>
          <t>DALARNAS LÄN</t>
        </is>
      </c>
      <c r="G176" t="inlineStr">
        <is>
          <t>SÄTER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53559-2025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45960</v>
      </c>
      <c r="E177" s="1" t="n">
        <v>46280</v>
      </c>
      <c r="F177" t="inlineStr">
        <is>
          <t>DALARNAS LÄN</t>
        </is>
      </c>
      <c r="G177" t="inlineStr">
        <is>
          <t>SÄTER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46280</v>
      </c>
      <c r="F178" t="inlineStr">
        <is>
          <t>DALARNAS LÄN</t>
        </is>
      </c>
      <c r="G178" t="inlineStr">
        <is>
          <t>SÄTER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44572</v>
      </c>
      <c r="E179" s="1" t="n">
        <v>46280</v>
      </c>
      <c r="F179" t="inlineStr">
        <is>
          <t>DALARNAS LÄN</t>
        </is>
      </c>
      <c r="G179" t="inlineStr">
        <is>
          <t>SÄTER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46280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45622</v>
      </c>
      <c r="E181" s="1" t="n">
        <v>46280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46280</v>
      </c>
      <c r="F182" t="inlineStr">
        <is>
          <t>DALARNAS LÄN</t>
        </is>
      </c>
      <c r="G182" t="inlineStr">
        <is>
          <t>SÄTER</t>
        </is>
      </c>
      <c r="H182" t="inlineStr">
        <is>
          <t>Kommuner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46280</v>
      </c>
      <c r="F183" t="inlineStr">
        <is>
          <t>DALARNAS LÄN</t>
        </is>
      </c>
      <c r="G183" t="inlineStr">
        <is>
          <t>SÄTER</t>
        </is>
      </c>
      <c r="I183" t="n">
        <v>15.2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46280</v>
      </c>
      <c r="F184" t="inlineStr">
        <is>
          <t>DALARNAS LÄN</t>
        </is>
      </c>
      <c r="G184" t="inlineStr">
        <is>
          <t>SÄTER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46280</v>
      </c>
      <c r="F185" t="inlineStr">
        <is>
          <t>DALARNAS LÄN</t>
        </is>
      </c>
      <c r="G185" t="inlineStr">
        <is>
          <t>SÄTER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46280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46280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46280</v>
      </c>
      <c r="F188" t="inlineStr">
        <is>
          <t>DALARNAS LÄN</t>
        </is>
      </c>
      <c r="G188" t="inlineStr">
        <is>
          <t>SÄTER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46280</v>
      </c>
      <c r="F189" t="inlineStr">
        <is>
          <t>DALARNAS LÄN</t>
        </is>
      </c>
      <c r="G189" t="inlineStr">
        <is>
          <t>SÄTER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46280</v>
      </c>
      <c r="F190" t="inlineStr">
        <is>
          <t>DALARNAS LÄN</t>
        </is>
      </c>
      <c r="G190" t="inlineStr">
        <is>
          <t>SÄTER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45561</v>
      </c>
      <c r="E191" s="1" t="n">
        <v>46280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46280</v>
      </c>
      <c r="F192" t="inlineStr">
        <is>
          <t>DALARNAS LÄN</t>
        </is>
      </c>
      <c r="G192" t="inlineStr">
        <is>
          <t>SÄTER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46280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46280</v>
      </c>
      <c r="F194" t="inlineStr">
        <is>
          <t>DALARNAS LÄN</t>
        </is>
      </c>
      <c r="G194" t="inlineStr">
        <is>
          <t>SÄTER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46280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46280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46280</v>
      </c>
      <c r="F197" t="inlineStr">
        <is>
          <t>DALARNAS LÄN</t>
        </is>
      </c>
      <c r="G197" t="inlineStr">
        <is>
          <t>SÄTER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45138</v>
      </c>
      <c r="E198" s="1" t="n">
        <v>46280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46280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10.8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46280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46280</v>
      </c>
      <c r="F201" t="inlineStr">
        <is>
          <t>DALARNAS LÄN</t>
        </is>
      </c>
      <c r="G201" t="inlineStr">
        <is>
          <t>SÄTER</t>
        </is>
      </c>
      <c r="H201" t="inlineStr">
        <is>
          <t>Kommuner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46280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46280</v>
      </c>
      <c r="F203" t="inlineStr">
        <is>
          <t>DALARNAS LÄN</t>
        </is>
      </c>
      <c r="G203" t="inlineStr">
        <is>
          <t>SÄTER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46280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46280</v>
      </c>
      <c r="F205" t="inlineStr">
        <is>
          <t>DALARNAS LÄN</t>
        </is>
      </c>
      <c r="G205" t="inlineStr">
        <is>
          <t>SÄTER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46280</v>
      </c>
      <c r="F206" t="inlineStr">
        <is>
          <t>DALARNAS LÄN</t>
        </is>
      </c>
      <c r="G206" t="inlineStr">
        <is>
          <t>SÄTER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46280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46280</v>
      </c>
      <c r="F208" t="inlineStr">
        <is>
          <t>DALARNAS LÄN</t>
        </is>
      </c>
      <c r="G208" t="inlineStr">
        <is>
          <t>SÄTER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46280</v>
      </c>
      <c r="F209" t="inlineStr">
        <is>
          <t>DALARNAS LÄN</t>
        </is>
      </c>
      <c r="G209" t="inlineStr">
        <is>
          <t>SÄTER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46280</v>
      </c>
      <c r="F210" t="inlineStr">
        <is>
          <t>DALARNAS LÄN</t>
        </is>
      </c>
      <c r="G210" t="inlineStr">
        <is>
          <t>SÄTER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46280</v>
      </c>
      <c r="F211" t="inlineStr">
        <is>
          <t>DALARNAS LÄN</t>
        </is>
      </c>
      <c r="G211" t="inlineStr">
        <is>
          <t>SÄTER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46280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46280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10.8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46280</v>
      </c>
      <c r="F214" t="inlineStr">
        <is>
          <t>DALARNAS LÄN</t>
        </is>
      </c>
      <c r="G214" t="inlineStr">
        <is>
          <t>SÄTER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46280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46280</v>
      </c>
      <c r="F216" t="inlineStr">
        <is>
          <t>DALARNAS LÄN</t>
        </is>
      </c>
      <c r="G216" t="inlineStr">
        <is>
          <t>SÄTER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46280</v>
      </c>
      <c r="F217" t="inlineStr">
        <is>
          <t>DALARNAS LÄN</t>
        </is>
      </c>
      <c r="G217" t="inlineStr">
        <is>
          <t>SÄTER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46280</v>
      </c>
      <c r="F218" t="inlineStr">
        <is>
          <t>DALARNAS LÄN</t>
        </is>
      </c>
      <c r="G218" t="inlineStr">
        <is>
          <t>SÄTER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46280</v>
      </c>
      <c r="F219" t="inlineStr">
        <is>
          <t>DALARNAS LÄN</t>
        </is>
      </c>
      <c r="G219" t="inlineStr">
        <is>
          <t>SÄTER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46280</v>
      </c>
      <c r="F220" t="inlineStr">
        <is>
          <t>DALARNAS LÄN</t>
        </is>
      </c>
      <c r="G220" t="inlineStr">
        <is>
          <t>SÄTER</t>
        </is>
      </c>
      <c r="H220" t="inlineStr">
        <is>
          <t>Kommuner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46280</v>
      </c>
      <c r="F221" t="inlineStr">
        <is>
          <t>DALARNAS LÄN</t>
        </is>
      </c>
      <c r="G221" t="inlineStr">
        <is>
          <t>SÄTER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46280</v>
      </c>
      <c r="F222" t="inlineStr">
        <is>
          <t>DALARNAS LÄN</t>
        </is>
      </c>
      <c r="G222" t="inlineStr">
        <is>
          <t>SÄTER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46280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46280</v>
      </c>
      <c r="F224" t="inlineStr">
        <is>
          <t>DALARNAS LÄN</t>
        </is>
      </c>
      <c r="G224" t="inlineStr">
        <is>
          <t>SÄTER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46280</v>
      </c>
      <c r="F225" t="inlineStr">
        <is>
          <t>DALARNAS LÄN</t>
        </is>
      </c>
      <c r="G225" t="inlineStr">
        <is>
          <t>SÄTER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46280</v>
      </c>
      <c r="F226" t="inlineStr">
        <is>
          <t>DALARNAS LÄN</t>
        </is>
      </c>
      <c r="G226" t="inlineStr">
        <is>
          <t>SÄTER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46280</v>
      </c>
      <c r="F227" t="inlineStr">
        <is>
          <t>DALARNAS LÄN</t>
        </is>
      </c>
      <c r="G227" t="inlineStr">
        <is>
          <t>SÄTER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46280</v>
      </c>
      <c r="F228" t="inlineStr">
        <is>
          <t>DALARNAS LÄN</t>
        </is>
      </c>
      <c r="G228" t="inlineStr">
        <is>
          <t>SÄTER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46280</v>
      </c>
      <c r="F229" t="inlineStr">
        <is>
          <t>DALARNAS LÄN</t>
        </is>
      </c>
      <c r="G229" t="inlineStr">
        <is>
          <t>SÄTER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46280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43770-2024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46280</v>
      </c>
      <c r="F231" t="inlineStr">
        <is>
          <t>DALARNAS LÄN</t>
        </is>
      </c>
      <c r="G231" t="inlineStr">
        <is>
          <t>SÄTER</t>
        </is>
      </c>
      <c r="I231" t="n">
        <v>13.2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44732</v>
      </c>
      <c r="E232" s="1" t="n">
        <v>46280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44982</v>
      </c>
      <c r="E233" s="1" t="n">
        <v>46280</v>
      </c>
      <c r="F233" t="inlineStr">
        <is>
          <t>DALARNAS LÄN</t>
        </is>
      </c>
      <c r="G233" t="inlineStr">
        <is>
          <t>SÄTER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46280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46280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45236</v>
      </c>
      <c r="E236" s="1" t="n">
        <v>46280</v>
      </c>
      <c r="F236" t="inlineStr">
        <is>
          <t>DALARNAS LÄN</t>
        </is>
      </c>
      <c r="G236" t="inlineStr">
        <is>
          <t>SÄTER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46280</v>
      </c>
      <c r="F237" t="inlineStr">
        <is>
          <t>DALARNAS LÄN</t>
        </is>
      </c>
      <c r="G237" t="inlineStr">
        <is>
          <t>SÄTER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46280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  <c r="Z238">
        <f>HYPERLINK("https://klasma.github.io/Logging_2082/knärot/A 57416-2022 karta knärot.png", "A 57416-2022")</f>
        <v/>
      </c>
      <c r="AA238">
        <f>HYPERLINK("https://klasma.github.io/Logging_2082/klagomål/A 57416-2022 FSC-klagomål.docx", "A 57416-2022")</f>
        <v/>
      </c>
      <c r="AB238">
        <f>HYPERLINK("https://klasma.github.io/Logging_2082/klagomålsmail/A 57416-2022 FSC-klagomål mail.docx", "A 57416-2022")</f>
        <v/>
      </c>
      <c r="AC238">
        <f>HYPERLINK("https://klasma.github.io/Logging_2082/tillsyn/A 57416-2022 tillsynsbegäran.docx", "A 57416-2022")</f>
        <v/>
      </c>
      <c r="AD238">
        <f>HYPERLINK("https://klasma.github.io/Logging_2082/tillsynsmail/A 57416-2022 tillsynsbegäran mail.docx", "A 57416-2022")</f>
        <v/>
      </c>
    </row>
    <row r="239" ht="15" customHeight="1">
      <c r="A239" t="inlineStr">
        <is>
          <t>A 22148-2026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46280</v>
      </c>
      <c r="F239" t="inlineStr">
        <is>
          <t>DALARNAS LÄN</t>
        </is>
      </c>
      <c r="G239" t="inlineStr">
        <is>
          <t>SÄTER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46280</v>
      </c>
      <c r="F240" t="inlineStr">
        <is>
          <t>DALARNAS LÄN</t>
        </is>
      </c>
      <c r="G240" t="inlineStr">
        <is>
          <t>SÄTER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46280</v>
      </c>
      <c r="F241" t="inlineStr">
        <is>
          <t>DALARNAS LÄN</t>
        </is>
      </c>
      <c r="G241" t="inlineStr">
        <is>
          <t>SÄTER</t>
        </is>
      </c>
      <c r="I241" t="n">
        <v>9.6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46155</v>
      </c>
      <c r="E242" s="1" t="n">
        <v>46280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46280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46163</v>
      </c>
      <c r="E244" s="1" t="n">
        <v>46280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46280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46280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46280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46280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46280</v>
      </c>
      <c r="F249" t="inlineStr">
        <is>
          <t>DALARNAS LÄN</t>
        </is>
      </c>
      <c r="G249" t="inlineStr">
        <is>
          <t>SÄTER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46280</v>
      </c>
      <c r="F250" t="inlineStr">
        <is>
          <t>DALARNAS LÄN</t>
        </is>
      </c>
      <c r="G250" t="inlineStr">
        <is>
          <t>SÄTER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46280</v>
      </c>
      <c r="F251" t="inlineStr">
        <is>
          <t>DALARNAS LÄN</t>
        </is>
      </c>
      <c r="G251" t="inlineStr">
        <is>
          <t>SÄTER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46280</v>
      </c>
      <c r="F252" t="inlineStr">
        <is>
          <t>DALARNAS LÄN</t>
        </is>
      </c>
      <c r="G252" t="inlineStr">
        <is>
          <t>SÄTER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46280</v>
      </c>
      <c r="F253" t="inlineStr">
        <is>
          <t>DALARNAS LÄN</t>
        </is>
      </c>
      <c r="G253" t="inlineStr">
        <is>
          <t>SÄTER</t>
        </is>
      </c>
      <c r="H253" t="inlineStr">
        <is>
          <t>Övriga statliga verk och myndigheter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46280</v>
      </c>
      <c r="F254" t="inlineStr">
        <is>
          <t>DALARNAS LÄN</t>
        </is>
      </c>
      <c r="G254" t="inlineStr">
        <is>
          <t>SÄTER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46280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46280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46280</v>
      </c>
      <c r="F257" t="inlineStr">
        <is>
          <t>DALARNAS LÄN</t>
        </is>
      </c>
      <c r="G257" t="inlineStr">
        <is>
          <t>SÄTER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46280</v>
      </c>
      <c r="F258" t="inlineStr">
        <is>
          <t>DALARNAS LÄN</t>
        </is>
      </c>
      <c r="G258" t="inlineStr">
        <is>
          <t>SÄTER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46280</v>
      </c>
      <c r="F259" t="inlineStr">
        <is>
          <t>DALARNAS LÄN</t>
        </is>
      </c>
      <c r="G259" t="inlineStr">
        <is>
          <t>SÄTER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42225-2022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44830</v>
      </c>
      <c r="E260" s="1" t="n">
        <v>46280</v>
      </c>
      <c r="F260" t="inlineStr">
        <is>
          <t>DALARNAS LÄN</t>
        </is>
      </c>
      <c r="G260" t="inlineStr">
        <is>
          <t>SÄTER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28281-2026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46280</v>
      </c>
      <c r="F261" t="inlineStr">
        <is>
          <t>DALARNAS LÄN</t>
        </is>
      </c>
      <c r="G261" t="inlineStr">
        <is>
          <t>SÄTER</t>
        </is>
      </c>
      <c r="H261" t="inlineStr">
        <is>
          <t>Sveaskog</t>
        </is>
      </c>
      <c r="I261" t="n">
        <v>19.8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46280</v>
      </c>
      <c r="F262" t="inlineStr">
        <is>
          <t>DALARNAS LÄN</t>
        </is>
      </c>
      <c r="G262" t="inlineStr">
        <is>
          <t>SÄTER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46204</v>
      </c>
      <c r="E263" s="1" t="n">
        <v>46280</v>
      </c>
      <c r="F263" t="inlineStr">
        <is>
          <t>DALARNAS LÄN</t>
        </is>
      </c>
      <c r="G263" t="inlineStr">
        <is>
          <t>SÄTER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46280</v>
      </c>
      <c r="F264" t="inlineStr">
        <is>
          <t>DALARNAS LÄN</t>
        </is>
      </c>
      <c r="G264" t="inlineStr">
        <is>
          <t>SÄTER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46280</v>
      </c>
      <c r="F265" t="inlineStr">
        <is>
          <t>DALARNAS LÄN</t>
        </is>
      </c>
      <c r="G265" t="inlineStr">
        <is>
          <t>SÄTER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46280</v>
      </c>
      <c r="F266" t="inlineStr">
        <is>
          <t>DALARNAS LÄN</t>
        </is>
      </c>
      <c r="G266" t="inlineStr">
        <is>
          <t>SÄTER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46254</v>
      </c>
      <c r="E267" s="1" t="n">
        <v>46280</v>
      </c>
      <c r="F267" t="inlineStr">
        <is>
          <t>DALARNAS LÄN</t>
        </is>
      </c>
      <c r="G267" t="inlineStr">
        <is>
          <t>SÄTER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45321</v>
      </c>
      <c r="E268" s="1" t="n">
        <v>46280</v>
      </c>
      <c r="F268" t="inlineStr">
        <is>
          <t>DALARNAS LÄN</t>
        </is>
      </c>
      <c r="G268" t="inlineStr">
        <is>
          <t>SÄTER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46211</v>
      </c>
      <c r="E269" s="1" t="n">
        <v>46280</v>
      </c>
      <c r="F269" t="inlineStr">
        <is>
          <t>DALARNAS LÄN</t>
        </is>
      </c>
      <c r="G269" t="inlineStr">
        <is>
          <t>SÄTER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45628</v>
      </c>
      <c r="E270" s="1" t="n">
        <v>46280</v>
      </c>
      <c r="F270" t="inlineStr">
        <is>
          <t>DALARNAS LÄN</t>
        </is>
      </c>
      <c r="G270" t="inlineStr">
        <is>
          <t>SÄTER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46280</v>
      </c>
      <c r="F271" t="inlineStr">
        <is>
          <t>DALARNAS LÄN</t>
        </is>
      </c>
      <c r="G271" t="inlineStr">
        <is>
          <t>SÄTER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46261</v>
      </c>
      <c r="E272" s="1" t="n">
        <v>46280</v>
      </c>
      <c r="F272" t="inlineStr">
        <is>
          <t>DALARNAS LÄN</t>
        </is>
      </c>
      <c r="G272" t="inlineStr">
        <is>
          <t>SÄTER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51320-2024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45604</v>
      </c>
      <c r="E273" s="1" t="n">
        <v>46280</v>
      </c>
      <c r="F273" t="inlineStr">
        <is>
          <t>DALARNAS LÄN</t>
        </is>
      </c>
      <c r="G273" t="inlineStr">
        <is>
          <t>SÄTER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51324-2024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45604</v>
      </c>
      <c r="E274" s="1" t="n">
        <v>46280</v>
      </c>
      <c r="F274" t="inlineStr">
        <is>
          <t>DALARNAS LÄN</t>
        </is>
      </c>
      <c r="G274" t="inlineStr">
        <is>
          <t>SÄTER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35564-2026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46262</v>
      </c>
      <c r="E275" s="1" t="n">
        <v>46280</v>
      </c>
      <c r="F275" t="inlineStr">
        <is>
          <t>DALARNAS LÄN</t>
        </is>
      </c>
      <c r="G275" t="inlineStr">
        <is>
          <t>SÄTER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46280</v>
      </c>
      <c r="F276" t="inlineStr">
        <is>
          <t>DALARNAS LÄN</t>
        </is>
      </c>
      <c r="G276" t="inlineStr">
        <is>
          <t>SÄTER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46280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45638</v>
      </c>
      <c r="E278" s="1" t="n">
        <v>46280</v>
      </c>
      <c r="F278" t="inlineStr">
        <is>
          <t>DALARNAS LÄN</t>
        </is>
      </c>
      <c r="G278" t="inlineStr">
        <is>
          <t>SÄTER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51323-2024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45604</v>
      </c>
      <c r="E279" s="1" t="n">
        <v>46280</v>
      </c>
      <c r="F279" t="inlineStr">
        <is>
          <t>DALARNAS LÄN</t>
        </is>
      </c>
      <c r="G279" t="inlineStr">
        <is>
          <t>SÄTER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45527</v>
      </c>
      <c r="E280" s="1" t="n">
        <v>46280</v>
      </c>
      <c r="F280" t="inlineStr">
        <is>
          <t>DALARNAS LÄN</t>
        </is>
      </c>
      <c r="G280" t="inlineStr">
        <is>
          <t>SÄTER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45527</v>
      </c>
      <c r="E281" s="1" t="n">
        <v>46280</v>
      </c>
      <c r="F281" t="inlineStr">
        <is>
          <t>DALARNAS LÄN</t>
        </is>
      </c>
      <c r="G281" t="inlineStr">
        <is>
          <t>SÄTER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46280</v>
      </c>
      <c r="F282" t="inlineStr">
        <is>
          <t>DALARNAS LÄN</t>
        </is>
      </c>
      <c r="G282" t="inlineStr">
        <is>
          <t>SÄTER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46280</v>
      </c>
      <c r="F283" t="inlineStr">
        <is>
          <t>DALARNAS LÄN</t>
        </is>
      </c>
      <c r="G283" t="inlineStr">
        <is>
          <t>SÄTER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46280</v>
      </c>
      <c r="F284" t="inlineStr">
        <is>
          <t>DALARNAS LÄN</t>
        </is>
      </c>
      <c r="G284" t="inlineStr">
        <is>
          <t>SÄTER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46280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46280</v>
      </c>
      <c r="F286" t="inlineStr">
        <is>
          <t>DALARNAS LÄN</t>
        </is>
      </c>
      <c r="G286" t="inlineStr">
        <is>
          <t>SÄTER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46280</v>
      </c>
      <c r="F287" t="inlineStr">
        <is>
          <t>DALARNAS LÄN</t>
        </is>
      </c>
      <c r="G287" t="inlineStr">
        <is>
          <t>SÄTER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45268</v>
      </c>
      <c r="E288" s="1" t="n">
        <v>46280</v>
      </c>
      <c r="F288" t="inlineStr">
        <is>
          <t>DALARNAS LÄN</t>
        </is>
      </c>
      <c r="G288" t="inlineStr">
        <is>
          <t>SÄTER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45330</v>
      </c>
      <c r="E289" s="1" t="n">
        <v>46280</v>
      </c>
      <c r="F289" t="inlineStr">
        <is>
          <t>DALARNAS LÄN</t>
        </is>
      </c>
      <c r="G289" t="inlineStr">
        <is>
          <t>SÄTER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45411</v>
      </c>
      <c r="E290" s="1" t="n">
        <v>46280</v>
      </c>
      <c r="F290" t="inlineStr">
        <is>
          <t>DALARNAS LÄN</t>
        </is>
      </c>
      <c r="G290" t="inlineStr">
        <is>
          <t>SÄTER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16843-2024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45411</v>
      </c>
      <c r="E291" s="1" t="n">
        <v>46280</v>
      </c>
      <c r="F291" t="inlineStr">
        <is>
          <t>DALARNAS LÄN</t>
        </is>
      </c>
      <c r="G291" t="inlineStr">
        <is>
          <t>SÄTER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36969-2026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46273</v>
      </c>
      <c r="E292" s="1" t="n">
        <v>46280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46275</v>
      </c>
      <c r="E293" s="1" t="n">
        <v>46280</v>
      </c>
      <c r="F293" t="inlineStr">
        <is>
          <t>DALARNAS LÄN</t>
        </is>
      </c>
      <c r="G293" t="inlineStr">
        <is>
          <t>SÄTER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46234</v>
      </c>
      <c r="E294" s="1" t="n">
        <v>46280</v>
      </c>
      <c r="F294" t="inlineStr">
        <is>
          <t>DALARNAS LÄN</t>
        </is>
      </c>
      <c r="G294" t="inlineStr">
        <is>
          <t>SÄTER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46275</v>
      </c>
      <c r="E295" s="1" t="n">
        <v>46280</v>
      </c>
      <c r="F295" t="inlineStr">
        <is>
          <t>DALARNAS LÄN</t>
        </is>
      </c>
      <c r="G295" t="inlineStr">
        <is>
          <t>SÄTER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45576</v>
      </c>
      <c r="E296" s="1" t="n">
        <v>46280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46280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16840-2024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45411</v>
      </c>
      <c r="E298" s="1" t="n">
        <v>46280</v>
      </c>
      <c r="F298" t="inlineStr">
        <is>
          <t>DALARNAS LÄN</t>
        </is>
      </c>
      <c r="G298" t="inlineStr">
        <is>
          <t>SÄTER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14931-2024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45398</v>
      </c>
      <c r="E299" s="1" t="n">
        <v>46280</v>
      </c>
      <c r="F299" t="inlineStr">
        <is>
          <t>DALARNAS LÄN</t>
        </is>
      </c>
      <c r="G299" t="inlineStr">
        <is>
          <t>SÄTER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46280</v>
      </c>
      <c r="F300" t="inlineStr">
        <is>
          <t>DALARNAS LÄN</t>
        </is>
      </c>
      <c r="G300" t="inlineStr">
        <is>
          <t>SÄTER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46280</v>
      </c>
      <c r="F301" t="inlineStr">
        <is>
          <t>DALARNAS LÄN</t>
        </is>
      </c>
      <c r="G301" t="inlineStr">
        <is>
          <t>SÄTER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45526</v>
      </c>
      <c r="E302" s="1" t="n">
        <v>46280</v>
      </c>
      <c r="F302" t="inlineStr">
        <is>
          <t>DALARNAS LÄN</t>
        </is>
      </c>
      <c r="G302" t="inlineStr">
        <is>
          <t>SÄTER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46280</v>
      </c>
      <c r="F303" t="inlineStr">
        <is>
          <t>DALARNAS LÄN</t>
        </is>
      </c>
      <c r="G303" t="inlineStr">
        <is>
          <t>SÄTER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46280</v>
      </c>
      <c r="F304" t="inlineStr">
        <is>
          <t>DALARNAS LÄN</t>
        </is>
      </c>
      <c r="G304" t="inlineStr">
        <is>
          <t>SÄTER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46280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46280</v>
      </c>
      <c r="F306" t="inlineStr">
        <is>
          <t>DALARNAS LÄN</t>
        </is>
      </c>
      <c r="G306" t="inlineStr">
        <is>
          <t>SÄTER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52193-2021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44463</v>
      </c>
      <c r="E307" s="1" t="n">
        <v>46280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45455</v>
      </c>
      <c r="E308" s="1" t="n">
        <v>46280</v>
      </c>
      <c r="F308" t="inlineStr">
        <is>
          <t>DALARNAS LÄN</t>
        </is>
      </c>
      <c r="G308" t="inlineStr">
        <is>
          <t>SÄTER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44462</v>
      </c>
      <c r="E309" s="1" t="n">
        <v>46280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46280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45366</v>
      </c>
      <c r="E311" s="1" t="n">
        <v>46280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44812</v>
      </c>
      <c r="E312" s="1" t="n">
        <v>46280</v>
      </c>
      <c r="F312" t="inlineStr">
        <is>
          <t>DALARNAS LÄN</t>
        </is>
      </c>
      <c r="G312" t="inlineStr">
        <is>
          <t>SÄTER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44691</v>
      </c>
      <c r="E313" s="1" t="n">
        <v>46280</v>
      </c>
      <c r="F313" t="inlineStr">
        <is>
          <t>DALARNAS LÄN</t>
        </is>
      </c>
      <c r="G313" t="inlineStr">
        <is>
          <t>SÄTER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59707-2022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46280</v>
      </c>
      <c r="F314" t="inlineStr">
        <is>
          <t>DALARNAS LÄN</t>
        </is>
      </c>
      <c r="G314" t="inlineStr">
        <is>
          <t>SÄTER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45005</v>
      </c>
      <c r="E315" s="1" t="n">
        <v>46280</v>
      </c>
      <c r="F315" t="inlineStr">
        <is>
          <t>DALARNAS LÄN</t>
        </is>
      </c>
      <c r="G315" t="inlineStr">
        <is>
          <t>SÄTER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69744-2021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44532</v>
      </c>
      <c r="E316" s="1" t="n">
        <v>46280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46280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46280</v>
      </c>
      <c r="F318" t="inlineStr">
        <is>
          <t>DALARNAS LÄN</t>
        </is>
      </c>
      <c r="G318" t="inlineStr">
        <is>
          <t>SÄTER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44595</v>
      </c>
      <c r="E319" s="1" t="n">
        <v>46280</v>
      </c>
      <c r="F319" t="inlineStr">
        <is>
          <t>DALARNAS LÄN</t>
        </is>
      </c>
      <c r="G319" t="inlineStr">
        <is>
          <t>SÄTER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45644</v>
      </c>
      <c r="E320" s="1" t="n">
        <v>46280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46280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45719</v>
      </c>
      <c r="E322" s="1" t="n">
        <v>46280</v>
      </c>
      <c r="F322" t="inlineStr">
        <is>
          <t>DALARNAS LÄN</t>
        </is>
      </c>
      <c r="G322" t="inlineStr">
        <is>
          <t>SÄTER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46280</v>
      </c>
      <c r="F323" t="inlineStr">
        <is>
          <t>DALARNAS LÄN</t>
        </is>
      </c>
      <c r="G323" t="inlineStr">
        <is>
          <t>SÄTER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46280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46280</v>
      </c>
      <c r="F325" t="inlineStr">
        <is>
          <t>DALARNAS LÄN</t>
        </is>
      </c>
      <c r="G325" t="inlineStr">
        <is>
          <t>SÄTER</t>
        </is>
      </c>
      <c r="H325" t="inlineStr">
        <is>
          <t>Kommuner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46280</v>
      </c>
      <c r="F326" t="inlineStr">
        <is>
          <t>DALARNAS LÄN</t>
        </is>
      </c>
      <c r="G326" t="inlineStr">
        <is>
          <t>SÄTER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46280</v>
      </c>
      <c r="F327" t="inlineStr">
        <is>
          <t>DALARNAS LÄN</t>
        </is>
      </c>
      <c r="G327" t="inlineStr">
        <is>
          <t>SÄTER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46280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46280</v>
      </c>
      <c r="F329" t="inlineStr">
        <is>
          <t>DALARNAS LÄN</t>
        </is>
      </c>
      <c r="G329" t="inlineStr">
        <is>
          <t>SÄTER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46280</v>
      </c>
      <c r="F330" t="inlineStr">
        <is>
          <t>DALARNAS LÄN</t>
        </is>
      </c>
      <c r="G330" t="inlineStr">
        <is>
          <t>SÄTER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51333-2024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45604</v>
      </c>
      <c r="E331" s="1" t="n">
        <v>46280</v>
      </c>
      <c r="F331" t="inlineStr">
        <is>
          <t>DALARNAS LÄN</t>
        </is>
      </c>
      <c r="G331" t="inlineStr">
        <is>
          <t>SÄTER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46280</v>
      </c>
      <c r="F332" t="inlineStr">
        <is>
          <t>DALARNAS LÄN</t>
        </is>
      </c>
      <c r="G332" t="inlineStr">
        <is>
          <t>SÄTER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46280</v>
      </c>
      <c r="F333" t="inlineStr">
        <is>
          <t>DALARNAS LÄN</t>
        </is>
      </c>
      <c r="G333" t="inlineStr">
        <is>
          <t>SÄTER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45140</v>
      </c>
      <c r="E334" s="1" t="n">
        <v>46280</v>
      </c>
      <c r="F334" t="inlineStr">
        <is>
          <t>DALARNAS LÄN</t>
        </is>
      </c>
      <c r="G334" t="inlineStr">
        <is>
          <t>SÄTER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45453</v>
      </c>
      <c r="E335" s="1" t="n">
        <v>46280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44811</v>
      </c>
      <c r="E336" s="1" t="n">
        <v>46280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46280</v>
      </c>
      <c r="F337" t="inlineStr">
        <is>
          <t>DALARNAS LÄN</t>
        </is>
      </c>
      <c r="G337" t="inlineStr">
        <is>
          <t>SÄTER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45527</v>
      </c>
      <c r="E338" s="1" t="n">
        <v>46280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21766-2024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45442</v>
      </c>
      <c r="E339" s="1" t="n">
        <v>46280</v>
      </c>
      <c r="F339" t="inlineStr">
        <is>
          <t>DALARNAS LÄN</t>
        </is>
      </c>
      <c r="G339" t="inlineStr">
        <is>
          <t>SÄTER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12957-2022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44643</v>
      </c>
      <c r="E340" s="1" t="n">
        <v>46280</v>
      </c>
      <c r="F340" t="inlineStr">
        <is>
          <t>DALARNAS LÄN</t>
        </is>
      </c>
      <c r="G340" t="inlineStr">
        <is>
          <t>SÄTER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46280</v>
      </c>
      <c r="F341" t="inlineStr">
        <is>
          <t>DALARNAS LÄN</t>
        </is>
      </c>
      <c r="G341" t="inlineStr">
        <is>
          <t>SÄTER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54312-2023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46280</v>
      </c>
      <c r="F342" t="inlineStr">
        <is>
          <t>DALARNAS LÄN</t>
        </is>
      </c>
      <c r="G342" t="inlineStr">
        <is>
          <t>SÄTER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44953</v>
      </c>
      <c r="E343" s="1" t="n">
        <v>46280</v>
      </c>
      <c r="F343" t="inlineStr">
        <is>
          <t>DALARNAS LÄN</t>
        </is>
      </c>
      <c r="G343" t="inlineStr">
        <is>
          <t>SÄTER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46280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46280</v>
      </c>
      <c r="F345" t="inlineStr">
        <is>
          <t>DALARNAS LÄN</t>
        </is>
      </c>
      <c r="G345" t="inlineStr">
        <is>
          <t>SÄTER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42998-2023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45182</v>
      </c>
      <c r="E346" s="1" t="n">
        <v>46280</v>
      </c>
      <c r="F346" t="inlineStr">
        <is>
          <t>DALARNAS LÄN</t>
        </is>
      </c>
      <c r="G346" t="inlineStr">
        <is>
          <t>SÄTER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45604</v>
      </c>
      <c r="E347" s="1" t="n">
        <v>46280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46280</v>
      </c>
      <c r="F348" t="inlineStr">
        <is>
          <t>DALARNAS LÄN</t>
        </is>
      </c>
      <c r="G348" t="inlineStr">
        <is>
          <t>SÄTER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44809</v>
      </c>
      <c r="E349" s="1" t="n">
        <v>46280</v>
      </c>
      <c r="F349" t="inlineStr">
        <is>
          <t>DALARNAS LÄN</t>
        </is>
      </c>
      <c r="G349" t="inlineStr">
        <is>
          <t>SÄTER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33473-2022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44788</v>
      </c>
      <c r="E350" s="1" t="n">
        <v>46280</v>
      </c>
      <c r="F350" t="inlineStr">
        <is>
          <t>DALARNAS LÄN</t>
        </is>
      </c>
      <c r="G350" t="inlineStr">
        <is>
          <t>SÄTER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28549-2022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44748</v>
      </c>
      <c r="E351" s="1" t="n">
        <v>46280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46280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45783</v>
      </c>
      <c r="E353" s="1" t="n">
        <v>46280</v>
      </c>
      <c r="F353" t="inlineStr">
        <is>
          <t>DALARNAS LÄN</t>
        </is>
      </c>
      <c r="G353" t="inlineStr">
        <is>
          <t>SÄTER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46280</v>
      </c>
      <c r="F354" t="inlineStr">
        <is>
          <t>DALARNAS LÄN</t>
        </is>
      </c>
      <c r="G354" t="inlineStr">
        <is>
          <t>SÄTER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46280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46280</v>
      </c>
      <c r="F356" t="inlineStr">
        <is>
          <t>DALARNAS LÄN</t>
        </is>
      </c>
      <c r="G356" t="inlineStr">
        <is>
          <t>SÄTER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46280</v>
      </c>
      <c r="F357" t="inlineStr">
        <is>
          <t>DALARNAS LÄN</t>
        </is>
      </c>
      <c r="G357" t="inlineStr">
        <is>
          <t>SÄTER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46280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46280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46280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46280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46280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46280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46280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46280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46280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46280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2026-09-15T08:12:54Z</dcterms:created>
  <dcterms:modified xmlns:dcterms="http://purl.org/dc/terms/" xmlns:xsi="http://www.w3.org/2001/XMLSchema-instance" xsi:type="dcterms:W3CDTF">2026-09-15T08:12:54Z</dcterms:modified>
</cp:coreProperties>
</file>