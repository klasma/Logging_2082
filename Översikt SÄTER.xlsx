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46256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46256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46256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46256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46256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46256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46256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46256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46256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46256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Ask
Grönsångare
Kransmossa</t>
        </is>
      </c>
      <c r="W17">
        <f>HYPERLINK("https://klasma.github.io/Logging_2082/artfynd/A 12817-2026 artfynd.xlsx", "A 12817-2026")</f>
        <v/>
      </c>
      <c r="X17">
        <f>HYPERLINK("https://klasma.github.io/Logging_2082/kartor/A 12817-2026 karta.png", "A 12817-2026")</f>
        <v/>
      </c>
      <c r="Y17">
        <f>HYPERLINK("https://klasma.github.io/Logging_2082/kartor_geotiff/A 12817-2026 georefererad karta.tif", "A 12817-2026")</f>
        <v/>
      </c>
      <c r="AA17">
        <f>HYPERLINK("https://klasma.github.io/Logging_2082/klagomål/A 12817-2026 FSC-klagomål.docx", "A 12817-2026")</f>
        <v/>
      </c>
      <c r="AB17">
        <f>HYPERLINK("https://klasma.github.io/Logging_2082/klagomålsmail/A 12817-2026 FSC-klagomål mail.docx", "A 12817-2026")</f>
        <v/>
      </c>
      <c r="AC17">
        <f>HYPERLINK("https://klasma.github.io/Logging_2082/tillsyn/A 12817-2026 tillsynsbegäran.docx", "A 12817-2026")</f>
        <v/>
      </c>
      <c r="AD17">
        <f>HYPERLINK("https://klasma.github.io/Logging_2082/tillsynsmail/A 12817-2026 tillsynsbegäran mail.docx", "A 12817-2026")</f>
        <v/>
      </c>
      <c r="AE17">
        <f>HYPERLINK("https://klasma.github.io/Logging_2082/fåglar/A 12817-2026 prioriterade fågelarter.docx", "A 12817-2026")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46256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46256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46256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46256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46256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49656-2025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45939</v>
      </c>
      <c r="E23" s="1" t="n">
        <v>46256</v>
      </c>
      <c r="F23" t="inlineStr">
        <is>
          <t>DALARNAS LÄN</t>
        </is>
      </c>
      <c r="G23" t="inlineStr">
        <is>
          <t>SÄTER</t>
        </is>
      </c>
      <c r="I23" t="n">
        <v>0.6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Knärot
Motaggsvamp</t>
        </is>
      </c>
      <c r="W23">
        <f>HYPERLINK("https://klasma.github.io/Logging_2082/artfynd/A 49656-2025 artfynd.xlsx", "A 49656-2025")</f>
        <v/>
      </c>
      <c r="X23">
        <f>HYPERLINK("https://klasma.github.io/Logging_2082/kartor/A 49656-2025 karta.png", "A 49656-2025")</f>
        <v/>
      </c>
      <c r="Y23">
        <f>HYPERLINK("https://klasma.github.io/Logging_2082/kartor_geotiff/A 49656-2025 georefererad karta.tif", "A 49656-2025")</f>
        <v/>
      </c>
      <c r="Z23">
        <f>HYPERLINK("https://klasma.github.io/Logging_2082/knärot/A 49656-2025 karta knärot.png", "A 49656-2025")</f>
        <v/>
      </c>
      <c r="AA23">
        <f>HYPERLINK("https://klasma.github.io/Logging_2082/klagomål/A 49656-2025 FSC-klagomål.docx", "A 49656-2025")</f>
        <v/>
      </c>
      <c r="AB23">
        <f>HYPERLINK("https://klasma.github.io/Logging_2082/klagomålsmail/A 49656-2025 FSC-klagomål mail.docx", "A 49656-2025")</f>
        <v/>
      </c>
      <c r="AC23">
        <f>HYPERLINK("https://klasma.github.io/Logging_2082/tillsyn/A 49656-2025 tillsynsbegäran.docx", "A 49656-2025")</f>
        <v/>
      </c>
      <c r="AD23">
        <f>HYPERLINK("https://klasma.github.io/Logging_2082/tillsynsmail/A 49656-2025 tillsynsbegäran mail.docx", "A 49656-2025")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46256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46256</v>
      </c>
      <c r="F25" t="inlineStr">
        <is>
          <t>DALARNAS LÄN</t>
        </is>
      </c>
      <c r="G25" t="inlineStr">
        <is>
          <t>SÄTER</t>
        </is>
      </c>
      <c r="H25" t="inlineStr">
        <is>
          <t>Bergvik skog väst AB</t>
        </is>
      </c>
      <c r="I25" t="n">
        <v>8.6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Jungfrulin
Klasefibbla</t>
        </is>
      </c>
      <c r="W25">
        <f>HYPERLINK("https://klasma.github.io/Logging_2082/artfynd/A 52205-2021 artfynd.xlsx", "A 52205-2021")</f>
        <v/>
      </c>
      <c r="X25">
        <f>HYPERLINK("https://klasma.github.io/Logging_2082/kartor/A 52205-2021 karta.png", "A 52205-2021")</f>
        <v/>
      </c>
      <c r="Y25">
        <f>HYPERLINK("https://klasma.github.io/Logging_2082/kartor_geotiff/A 52205-2021 georefererad karta.tif", "A 52205-2021")</f>
        <v/>
      </c>
      <c r="AA25">
        <f>HYPERLINK("https://klasma.github.io/Logging_2082/klagomål/A 52205-2021 FSC-klagomål.docx", "A 52205-2021")</f>
        <v/>
      </c>
      <c r="AB25">
        <f>HYPERLINK("https://klasma.github.io/Logging_2082/klagomålsmail/A 52205-2021 FSC-klagomål mail.docx", "A 52205-2021")</f>
        <v/>
      </c>
      <c r="AC25">
        <f>HYPERLINK("https://klasma.github.io/Logging_2082/tillsyn/A 52205-2021 tillsynsbegäran.docx", "A 52205-2021")</f>
        <v/>
      </c>
      <c r="AD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46256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46256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46256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46256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46256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46256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9682-2025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46256</v>
      </c>
      <c r="F32" t="inlineStr">
        <is>
          <t>DALARNAS LÄN</t>
        </is>
      </c>
      <c r="G32" t="inlineStr">
        <is>
          <t>SÄTER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Ögonpyrola</t>
        </is>
      </c>
      <c r="W32">
        <f>HYPERLINK("https://klasma.github.io/Logging_2082/artfynd/A 9682-2025 artfynd.xlsx", "A 9682-2025")</f>
        <v/>
      </c>
      <c r="X32">
        <f>HYPERLINK("https://klasma.github.io/Logging_2082/kartor/A 9682-2025 karta.png", "A 9682-2025")</f>
        <v/>
      </c>
      <c r="Y32">
        <f>HYPERLINK("https://klasma.github.io/Logging_2082/kartor_geotiff/A 9682-2025 georefererad karta.tif", "A 9682-2025")</f>
        <v/>
      </c>
      <c r="AA32">
        <f>HYPERLINK("https://klasma.github.io/Logging_2082/klagomål/A 9682-2025 FSC-klagomål.docx", "A 9682-2025")</f>
        <v/>
      </c>
      <c r="AB32">
        <f>HYPERLINK("https://klasma.github.io/Logging_2082/klagomålsmail/A 9682-2025 FSC-klagomål mail.docx", "A 9682-2025")</f>
        <v/>
      </c>
      <c r="AC32">
        <f>HYPERLINK("https://klasma.github.io/Logging_2082/tillsyn/A 9682-2025 tillsynsbegäran.docx", "A 9682-2025")</f>
        <v/>
      </c>
      <c r="AD32">
        <f>HYPERLINK("https://klasma.github.io/Logging_2082/tillsynsmail/A 9682-2025 tillsynsbegäran mail.docx", "A 9682-2025")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46256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39406-2024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45551</v>
      </c>
      <c r="E34" s="1" t="n">
        <v>46256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Sotriska</t>
        </is>
      </c>
      <c r="W34">
        <f>HYPERLINK("https://klasma.github.io/Logging_2082/artfynd/A 39406-2024 artfynd.xlsx", "A 39406-2024")</f>
        <v/>
      </c>
      <c r="X34">
        <f>HYPERLINK("https://klasma.github.io/Logging_2082/kartor/A 39406-2024 karta.png", "A 39406-2024")</f>
        <v/>
      </c>
      <c r="Y34">
        <f>HYPERLINK("https://klasma.github.io/Logging_2082/kartor_geotiff/A 39406-2024 georefererad karta.tif", "A 39406-2024")</f>
        <v/>
      </c>
      <c r="AA34">
        <f>HYPERLINK("https://klasma.github.io/Logging_2082/klagomål/A 39406-2024 FSC-klagomål.docx", "A 39406-2024")</f>
        <v/>
      </c>
      <c r="AB34">
        <f>HYPERLINK("https://klasma.github.io/Logging_2082/klagomålsmail/A 39406-2024 FSC-klagomål mail.docx", "A 39406-2024")</f>
        <v/>
      </c>
      <c r="AC34">
        <f>HYPERLINK("https://klasma.github.io/Logging_2082/tillsyn/A 39406-2024 tillsynsbegäran.docx", "A 39406-2024")</f>
        <v/>
      </c>
      <c r="AD34">
        <f>HYPERLINK("https://klasma.github.io/Logging_2082/tillsynsmail/A 39406-2024 tillsynsbegäran mail.docx", "A 39406-2024")</f>
        <v/>
      </c>
    </row>
    <row r="35" ht="15" customHeight="1">
      <c r="A35" t="inlineStr">
        <is>
          <t>A 49653-2025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46256</v>
      </c>
      <c r="F35" t="inlineStr">
        <is>
          <t>DALARNAS LÄN</t>
        </is>
      </c>
      <c r="G35" t="inlineStr">
        <is>
          <t>SÄTER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49653-2025 artfynd.xlsx", "A 49653-2025")</f>
        <v/>
      </c>
      <c r="X35">
        <f>HYPERLINK("https://klasma.github.io/Logging_2082/kartor/A 49653-2025 karta.png", "A 49653-2025")</f>
        <v/>
      </c>
      <c r="Y35">
        <f>HYPERLINK("https://klasma.github.io/Logging_2082/kartor_geotiff/A 49653-2025 georefererad karta.tif", "A 49653-2025")</f>
        <v/>
      </c>
      <c r="AA35">
        <f>HYPERLINK("https://klasma.github.io/Logging_2082/klagomål/A 49653-2025 FSC-klagomål.docx", "A 49653-2025")</f>
        <v/>
      </c>
      <c r="AB35">
        <f>HYPERLINK("https://klasma.github.io/Logging_2082/klagomålsmail/A 49653-2025 FSC-klagomål mail.docx", "A 49653-2025")</f>
        <v/>
      </c>
      <c r="AC35">
        <f>HYPERLINK("https://klasma.github.io/Logging_2082/tillsyn/A 49653-2025 tillsynsbegäran.docx", "A 49653-2025")</f>
        <v/>
      </c>
      <c r="AD35">
        <f>HYPERLINK("https://klasma.github.io/Logging_2082/tillsynsmail/A 49653-2025 tillsynsbegäran mail.docx", "A 49653-2025")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46256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46256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46256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32383-2022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44781</v>
      </c>
      <c r="E39" s="1" t="n">
        <v>46256</v>
      </c>
      <c r="F39" t="inlineStr">
        <is>
          <t>DALARNAS LÄN</t>
        </is>
      </c>
      <c r="G39" t="inlineStr">
        <is>
          <t>SÄTER</t>
        </is>
      </c>
      <c r="H39" t="inlineStr">
        <is>
          <t>Bergvik skog väst AB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HYPERLINK("https://klasma.github.io/Logging_2082/artfynd/A 32383-2022 artfynd.xlsx", "A 32383-2022")</f>
        <v/>
      </c>
      <c r="X39">
        <f>HYPERLINK("https://klasma.github.io/Logging_2082/kartor/A 32383-2022 karta.png", "A 32383-2022")</f>
        <v/>
      </c>
      <c r="Y39">
        <f>HYPERLINK("https://klasma.github.io/Logging_2082/kartor_geotiff/A 32383-2022 georefererad karta.tif", "A 32383-2022")</f>
        <v/>
      </c>
      <c r="Z39">
        <f>HYPERLINK("https://klasma.github.io/Logging_2082/knärot/A 32383-2022 karta knärot.png", "A 32383-2022")</f>
        <v/>
      </c>
      <c r="AA39">
        <f>HYPERLINK("https://klasma.github.io/Logging_2082/klagomål/A 32383-2022 FSC-klagomål.docx", "A 32383-2022")</f>
        <v/>
      </c>
      <c r="AB39">
        <f>HYPERLINK("https://klasma.github.io/Logging_2082/klagomålsmail/A 32383-2022 FSC-klagomål mail.docx", "A 32383-2022")</f>
        <v/>
      </c>
      <c r="AC39">
        <f>HYPERLINK("https://klasma.github.io/Logging_2082/tillsyn/A 32383-2022 tillsynsbegäran.docx", "A 32383-2022")</f>
        <v/>
      </c>
      <c r="AD39">
        <f>HYPERLINK("https://klasma.github.io/Logging_2082/tillsynsmail/A 32383-2022 tillsynsbegäran mail.docx", "A 32383-2022")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46256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46256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46256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46256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46256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46256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21120-2026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46146</v>
      </c>
      <c r="E46" s="1" t="n">
        <v>46256</v>
      </c>
      <c r="F46" t="inlineStr">
        <is>
          <t>DALARNAS LÄN</t>
        </is>
      </c>
      <c r="G46" t="inlineStr">
        <is>
          <t>SÄTER</t>
        </is>
      </c>
      <c r="I46" t="n">
        <v>4.8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21120-2026 artfynd.xlsx", "A 21120-2026")</f>
        <v/>
      </c>
      <c r="X46">
        <f>HYPERLINK("https://klasma.github.io/Logging_2082/kartor/A 21120-2026 karta.png", "A 21120-2026")</f>
        <v/>
      </c>
      <c r="Y46">
        <f>HYPERLINK("https://klasma.github.io/Logging_2082/kartor_geotiff/A 21120-2026 georefererad karta.tif", "A 21120-2026")</f>
        <v/>
      </c>
      <c r="Z46">
        <f>HYPERLINK("https://klasma.github.io/Logging_2082/knärot/A 21120-2026 karta knärot.png", "A 21120-2026")</f>
        <v/>
      </c>
      <c r="AA46">
        <f>HYPERLINK("https://klasma.github.io/Logging_2082/klagomål/A 21120-2026 FSC-klagomål.docx", "A 21120-2026")</f>
        <v/>
      </c>
      <c r="AB46">
        <f>HYPERLINK("https://klasma.github.io/Logging_2082/klagomålsmail/A 21120-2026 FSC-klagomål mail.docx", "A 21120-2026")</f>
        <v/>
      </c>
      <c r="AC46">
        <f>HYPERLINK("https://klasma.github.io/Logging_2082/tillsyn/A 21120-2026 tillsynsbegäran.docx", "A 21120-2026")</f>
        <v/>
      </c>
      <c r="AD46">
        <f>HYPERLINK("https://klasma.github.io/Logging_2082/tillsynsmail/A 21120-2026 tillsynsbegäran mail.docx", "A 21120-2026")</f>
        <v/>
      </c>
    </row>
    <row r="47" ht="15" customHeight="1">
      <c r="A47" t="inlineStr">
        <is>
          <t>A 68448-2021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44529</v>
      </c>
      <c r="E47" s="1" t="n">
        <v>46256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Knärot</t>
        </is>
      </c>
      <c r="W47">
        <f>HYPERLINK("https://klasma.github.io/Logging_2082/artfynd/A 68448-2021 artfynd.xlsx", "A 68448-2021")</f>
        <v/>
      </c>
      <c r="X47">
        <f>HYPERLINK("https://klasma.github.io/Logging_2082/kartor/A 68448-2021 karta.png", "A 68448-2021")</f>
        <v/>
      </c>
      <c r="Y47">
        <f>HYPERLINK("https://klasma.github.io/Logging_2082/kartor_geotiff/A 68448-2021 georefererad karta.tif", "A 68448-2021")</f>
        <v/>
      </c>
      <c r="Z47">
        <f>HYPERLINK("https://klasma.github.io/Logging_2082/knärot/A 68448-2021 karta knärot.png", "A 68448-2021")</f>
        <v/>
      </c>
      <c r="AA47">
        <f>HYPERLINK("https://klasma.github.io/Logging_2082/klagomål/A 68448-2021 FSC-klagomål.docx", "A 68448-2021")</f>
        <v/>
      </c>
      <c r="AB47">
        <f>HYPERLINK("https://klasma.github.io/Logging_2082/klagomålsmail/A 68448-2021 FSC-klagomål mail.docx", "A 68448-2021")</f>
        <v/>
      </c>
      <c r="AC47">
        <f>HYPERLINK("https://klasma.github.io/Logging_2082/tillsyn/A 68448-2021 tillsynsbegäran.docx", "A 68448-2021")</f>
        <v/>
      </c>
      <c r="AD47">
        <f>HYPERLINK("https://klasma.github.io/Logging_2082/tillsynsmail/A 68448-2021 tillsynsbegäran mail.docx", "A 68448-2021")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46256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46256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46256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46256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46256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46256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46256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46256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46256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46256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46256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46256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65388-2021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46256</v>
      </c>
      <c r="F60" t="inlineStr">
        <is>
          <t>DALARNAS LÄN</t>
        </is>
      </c>
      <c r="G60" t="inlineStr">
        <is>
          <t>SÄTER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46256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46256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46256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46256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46256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46256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46256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46256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46256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52190-2021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46256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46256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45377</v>
      </c>
      <c r="E72" s="1" t="n">
        <v>46256</v>
      </c>
      <c r="F72" t="inlineStr">
        <is>
          <t>DALARNAS LÄN</t>
        </is>
      </c>
      <c r="G72" t="inlineStr">
        <is>
          <t>SÄTER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45225-2022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46256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46256</v>
      </c>
      <c r="F74" t="inlineStr">
        <is>
          <t>DALARNAS LÄN</t>
        </is>
      </c>
      <c r="G74" t="inlineStr">
        <is>
          <t>SÄTER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46256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22905-2022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44715</v>
      </c>
      <c r="E76" s="1" t="n">
        <v>46256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45604</v>
      </c>
      <c r="E77" s="1" t="n">
        <v>46256</v>
      </c>
      <c r="F77" t="inlineStr">
        <is>
          <t>DALARNAS LÄN</t>
        </is>
      </c>
      <c r="G77" t="inlineStr">
        <is>
          <t>SÄTER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46256</v>
      </c>
      <c r="F78" t="inlineStr">
        <is>
          <t>DALARNAS LÄN</t>
        </is>
      </c>
      <c r="G78" t="inlineStr">
        <is>
          <t>SÄTER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46256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27006-2025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46256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35163-2023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46256</v>
      </c>
      <c r="F81" t="inlineStr">
        <is>
          <t>DALARNAS LÄN</t>
        </is>
      </c>
      <c r="G81" t="inlineStr">
        <is>
          <t>SÄTER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46256</v>
      </c>
      <c r="F82" t="inlineStr">
        <is>
          <t>DALARNAS LÄN</t>
        </is>
      </c>
      <c r="G82" t="inlineStr">
        <is>
          <t>SÄTER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45138</v>
      </c>
      <c r="E83" s="1" t="n">
        <v>46256</v>
      </c>
      <c r="F83" t="inlineStr">
        <is>
          <t>DALARNAS LÄN</t>
        </is>
      </c>
      <c r="G83" t="inlineStr">
        <is>
          <t>SÄTER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44748</v>
      </c>
      <c r="E84" s="1" t="n">
        <v>46256</v>
      </c>
      <c r="F84" t="inlineStr">
        <is>
          <t>DALARNAS LÄN</t>
        </is>
      </c>
      <c r="G84" t="inlineStr">
        <is>
          <t>SÄTER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45063</v>
      </c>
      <c r="E85" s="1" t="n">
        <v>46256</v>
      </c>
      <c r="F85" t="inlineStr">
        <is>
          <t>DALARNAS LÄN</t>
        </is>
      </c>
      <c r="G85" t="inlineStr">
        <is>
          <t>SÄTER</t>
        </is>
      </c>
      <c r="H85" t="inlineStr">
        <is>
          <t>Kommuner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44960</v>
      </c>
      <c r="E86" s="1" t="n">
        <v>46256</v>
      </c>
      <c r="F86" t="inlineStr">
        <is>
          <t>DALARNAS LÄN</t>
        </is>
      </c>
      <c r="G86" t="inlineStr">
        <is>
          <t>SÄTER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45811</v>
      </c>
      <c r="E87" s="1" t="n">
        <v>46256</v>
      </c>
      <c r="F87" t="inlineStr">
        <is>
          <t>DALARNAS LÄN</t>
        </is>
      </c>
      <c r="G87" t="inlineStr">
        <is>
          <t>SÄTER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46256</v>
      </c>
      <c r="F88" t="inlineStr">
        <is>
          <t>DALARNAS LÄN</t>
        </is>
      </c>
      <c r="G88" t="inlineStr">
        <is>
          <t>SÄTER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46256</v>
      </c>
      <c r="F89" t="inlineStr">
        <is>
          <t>DALARNAS LÄN</t>
        </is>
      </c>
      <c r="G89" t="inlineStr">
        <is>
          <t>SÄTER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46256</v>
      </c>
      <c r="F90" t="inlineStr">
        <is>
          <t>DALARNAS LÄN</t>
        </is>
      </c>
      <c r="G90" t="inlineStr">
        <is>
          <t>SÄTER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45552</v>
      </c>
      <c r="E91" s="1" t="n">
        <v>46256</v>
      </c>
      <c r="F91" t="inlineStr">
        <is>
          <t>DALARNAS LÄN</t>
        </is>
      </c>
      <c r="G91" t="inlineStr">
        <is>
          <t>SÄTER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32886-2022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46256</v>
      </c>
      <c r="F92" t="inlineStr">
        <is>
          <t>DALARNAS LÄN</t>
        </is>
      </c>
      <c r="G92" t="inlineStr">
        <is>
          <t>SÄTER</t>
        </is>
      </c>
      <c r="I92" t="n">
        <v>10.9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19747-2025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46256</v>
      </c>
      <c r="F93" t="inlineStr">
        <is>
          <t>DALARNAS LÄN</t>
        </is>
      </c>
      <c r="G93" t="inlineStr">
        <is>
          <t>SÄTER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44572</v>
      </c>
      <c r="E94" s="1" t="n">
        <v>46256</v>
      </c>
      <c r="F94" t="inlineStr">
        <is>
          <t>DALARNAS LÄN</t>
        </is>
      </c>
      <c r="G94" t="inlineStr">
        <is>
          <t>SÄTER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46256</v>
      </c>
      <c r="F95" t="inlineStr">
        <is>
          <t>DALARNAS LÄN</t>
        </is>
      </c>
      <c r="G95" t="inlineStr">
        <is>
          <t>SÄTER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46256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51328-2024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45604</v>
      </c>
      <c r="E97" s="1" t="n">
        <v>46256</v>
      </c>
      <c r="F97" t="inlineStr">
        <is>
          <t>DALARNAS LÄN</t>
        </is>
      </c>
      <c r="G97" t="inlineStr">
        <is>
          <t>SÄTER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51339-2024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46256</v>
      </c>
      <c r="F98" t="inlineStr">
        <is>
          <t>DALARNAS LÄN</t>
        </is>
      </c>
      <c r="G98" t="inlineStr">
        <is>
          <t>SÄTER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46256</v>
      </c>
      <c r="F99" t="inlineStr">
        <is>
          <t>DALARNAS LÄN</t>
        </is>
      </c>
      <c r="G99" t="inlineStr">
        <is>
          <t>SÄTER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45268</v>
      </c>
      <c r="E100" s="1" t="n">
        <v>46256</v>
      </c>
      <c r="F100" t="inlineStr">
        <is>
          <t>DALARNAS LÄN</t>
        </is>
      </c>
      <c r="G100" t="inlineStr">
        <is>
          <t>SÄTER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40671-2023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45170</v>
      </c>
      <c r="E101" s="1" t="n">
        <v>46256</v>
      </c>
      <c r="F101" t="inlineStr">
        <is>
          <t>DALARNAS LÄN</t>
        </is>
      </c>
      <c r="G101" t="inlineStr">
        <is>
          <t>SÄTER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45566</v>
      </c>
      <c r="E102" s="1" t="n">
        <v>46256</v>
      </c>
      <c r="F102" t="inlineStr">
        <is>
          <t>DALARNAS LÄN</t>
        </is>
      </c>
      <c r="G102" t="inlineStr">
        <is>
          <t>SÄTER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46256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44581</v>
      </c>
      <c r="E104" s="1" t="n">
        <v>46256</v>
      </c>
      <c r="F104" t="inlineStr">
        <is>
          <t>DALARNAS LÄN</t>
        </is>
      </c>
      <c r="G104" t="inlineStr">
        <is>
          <t>SÄTER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28852-2025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46256</v>
      </c>
      <c r="F105" t="inlineStr">
        <is>
          <t>DALARNAS LÄN</t>
        </is>
      </c>
      <c r="G105" t="inlineStr">
        <is>
          <t>SÄTER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46256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46256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46256</v>
      </c>
      <c r="F108" t="inlineStr">
        <is>
          <t>DALARNAS LÄN</t>
        </is>
      </c>
      <c r="G108" t="inlineStr">
        <is>
          <t>SÄTER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46256</v>
      </c>
      <c r="F109" t="inlineStr">
        <is>
          <t>DALARNAS LÄN</t>
        </is>
      </c>
      <c r="G109" t="inlineStr">
        <is>
          <t>SÄTER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46256</v>
      </c>
      <c r="F110" t="inlineStr">
        <is>
          <t>DALARNAS LÄN</t>
        </is>
      </c>
      <c r="G110" t="inlineStr">
        <is>
          <t>SÄTER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46256</v>
      </c>
      <c r="F111" t="inlineStr">
        <is>
          <t>DALARNAS LÄN</t>
        </is>
      </c>
      <c r="G111" t="inlineStr">
        <is>
          <t>SÄTER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45911</v>
      </c>
      <c r="E112" s="1" t="n">
        <v>46256</v>
      </c>
      <c r="F112" t="inlineStr">
        <is>
          <t>DALARNAS LÄN</t>
        </is>
      </c>
      <c r="G112" t="inlineStr">
        <is>
          <t>SÄTER</t>
        </is>
      </c>
      <c r="H112" t="inlineStr">
        <is>
          <t>Bergvik skog väst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44972</v>
      </c>
      <c r="E113" s="1" t="n">
        <v>46256</v>
      </c>
      <c r="F113" t="inlineStr">
        <is>
          <t>DALARNAS LÄN</t>
        </is>
      </c>
      <c r="G113" t="inlineStr">
        <is>
          <t>SÄTER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45098</v>
      </c>
      <c r="E114" s="1" t="n">
        <v>46256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46256</v>
      </c>
      <c r="F115" t="inlineStr">
        <is>
          <t>DALARNAS LÄN</t>
        </is>
      </c>
      <c r="G115" t="inlineStr">
        <is>
          <t>SÄTER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  <c r="Z115">
        <f>HYPERLINK("https://klasma.github.io/Logging_2082/knärot/A 498-2025 karta knärot.png", "A 498-2025")</f>
        <v/>
      </c>
      <c r="AA115">
        <f>HYPERLINK("https://klasma.github.io/Logging_2082/klagomål/A 498-2025 FSC-klagomål.docx", "A 498-2025")</f>
        <v/>
      </c>
      <c r="AB115">
        <f>HYPERLINK("https://klasma.github.io/Logging_2082/klagomålsmail/A 498-2025 FSC-klagomål mail.docx", "A 498-2025")</f>
        <v/>
      </c>
      <c r="AC115">
        <f>HYPERLINK("https://klasma.github.io/Logging_2082/tillsyn/A 498-2025 tillsynsbegäran.docx", "A 498-2025")</f>
        <v/>
      </c>
      <c r="AD115">
        <f>HYPERLINK("https://klasma.github.io/Logging_2082/tillsynsmail/A 498-2025 tillsynsbegäran mail.docx", "A 498-2025")</f>
        <v/>
      </c>
    </row>
    <row r="116" ht="15" customHeight="1">
      <c r="A116" t="inlineStr">
        <is>
          <t>A 8697-2023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46256</v>
      </c>
      <c r="F116" t="inlineStr">
        <is>
          <t>DALARNAS LÄN</t>
        </is>
      </c>
      <c r="G116" t="inlineStr">
        <is>
          <t>SÄTER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45569</v>
      </c>
      <c r="E117" s="1" t="n">
        <v>46256</v>
      </c>
      <c r="F117" t="inlineStr">
        <is>
          <t>DALARNAS LÄN</t>
        </is>
      </c>
      <c r="G117" t="inlineStr">
        <is>
          <t>SÄTER</t>
        </is>
      </c>
      <c r="I117" t="n">
        <v>13.2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46256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25690-2022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46256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9586-2023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44982</v>
      </c>
      <c r="E120" s="1" t="n">
        <v>46256</v>
      </c>
      <c r="F120" t="inlineStr">
        <is>
          <t>DALARNAS LÄN</t>
        </is>
      </c>
      <c r="G120" t="inlineStr">
        <is>
          <t>SÄTER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46256</v>
      </c>
      <c r="F121" t="inlineStr">
        <is>
          <t>DALARNAS LÄN</t>
        </is>
      </c>
      <c r="G121" t="inlineStr">
        <is>
          <t>SÄTER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45281</v>
      </c>
      <c r="E122" s="1" t="n">
        <v>46256</v>
      </c>
      <c r="F122" t="inlineStr">
        <is>
          <t>DALARNAS LÄN</t>
        </is>
      </c>
      <c r="G122" t="inlineStr">
        <is>
          <t>SÄTER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54440-2022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44882</v>
      </c>
      <c r="E123" s="1" t="n">
        <v>46256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46256</v>
      </c>
      <c r="F124" t="inlineStr">
        <is>
          <t>DALARNAS LÄN</t>
        </is>
      </c>
      <c r="G124" t="inlineStr">
        <is>
          <t>SÄTER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46256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46256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41.4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57416-2022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46256</v>
      </c>
      <c r="F127" t="inlineStr">
        <is>
          <t>DALARNAS LÄN</t>
        </is>
      </c>
      <c r="G127" t="inlineStr">
        <is>
          <t>SÄTER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  <c r="Z127">
        <f>HYPERLINK("https://klasma.github.io/Logging_2082/knärot/A 57416-2022 karta knärot.png", "A 57416-2022")</f>
        <v/>
      </c>
      <c r="AA127">
        <f>HYPERLINK("https://klasma.github.io/Logging_2082/klagomål/A 57416-2022 FSC-klagomål.docx", "A 57416-2022")</f>
        <v/>
      </c>
      <c r="AB127">
        <f>HYPERLINK("https://klasma.github.io/Logging_2082/klagomålsmail/A 57416-2022 FSC-klagomål mail.docx", "A 57416-2022")</f>
        <v/>
      </c>
      <c r="AC127">
        <f>HYPERLINK("https://klasma.github.io/Logging_2082/tillsyn/A 57416-2022 tillsynsbegäran.docx", "A 57416-2022")</f>
        <v/>
      </c>
      <c r="AD127">
        <f>HYPERLINK("https://klasma.github.io/Logging_2082/tillsynsmail/A 57416-2022 tillsynsbegäran mail.docx", "A 57416-2022")</f>
        <v/>
      </c>
    </row>
    <row r="128" ht="15" customHeight="1">
      <c r="A128" t="inlineStr">
        <is>
          <t>A 45161-2021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46256</v>
      </c>
      <c r="F128" t="inlineStr">
        <is>
          <t>DALARNAS LÄN</t>
        </is>
      </c>
      <c r="G128" t="inlineStr">
        <is>
          <t>SÄTER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46256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58864-2024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46256</v>
      </c>
      <c r="F130" t="inlineStr">
        <is>
          <t>DALARNAS LÄN</t>
        </is>
      </c>
      <c r="G130" t="inlineStr">
        <is>
          <t>SÄTER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44956</v>
      </c>
      <c r="E131" s="1" t="n">
        <v>46256</v>
      </c>
      <c r="F131" t="inlineStr">
        <is>
          <t>DALARNAS LÄN</t>
        </is>
      </c>
      <c r="G131" t="inlineStr">
        <is>
          <t>SÄTER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43725-2021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44433</v>
      </c>
      <c r="E132" s="1" t="n">
        <v>46256</v>
      </c>
      <c r="F132" t="inlineStr">
        <is>
          <t>DALARNAS LÄN</t>
        </is>
      </c>
      <c r="G132" t="inlineStr">
        <is>
          <t>SÄTER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46256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44455</v>
      </c>
      <c r="E134" s="1" t="n">
        <v>46256</v>
      </c>
      <c r="F134" t="inlineStr">
        <is>
          <t>DALARNAS LÄN</t>
        </is>
      </c>
      <c r="G134" t="inlineStr">
        <is>
          <t>SÄTER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46256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46256</v>
      </c>
      <c r="F136" t="inlineStr">
        <is>
          <t>DALARNAS LÄN</t>
        </is>
      </c>
      <c r="G136" t="inlineStr">
        <is>
          <t>SÄTER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48862-2025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46256</v>
      </c>
      <c r="F137" t="inlineStr">
        <is>
          <t>DALARNAS LÄN</t>
        </is>
      </c>
      <c r="G137" t="inlineStr">
        <is>
          <t>SÄTER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46256</v>
      </c>
      <c r="F138" t="inlineStr">
        <is>
          <t>DALARNAS LÄN</t>
        </is>
      </c>
      <c r="G138" t="inlineStr">
        <is>
          <t>SÄTER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46256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46256</v>
      </c>
      <c r="F140" t="inlineStr">
        <is>
          <t>DALARNAS LÄN</t>
        </is>
      </c>
      <c r="G140" t="inlineStr">
        <is>
          <t>SÄTER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42225-2022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46256</v>
      </c>
      <c r="F141" t="inlineStr">
        <is>
          <t>DALARNAS LÄN</t>
        </is>
      </c>
      <c r="G141" t="inlineStr">
        <is>
          <t>SÄTER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46256</v>
      </c>
      <c r="F142" t="inlineStr">
        <is>
          <t>DALARNAS LÄN</t>
        </is>
      </c>
      <c r="G142" t="inlineStr">
        <is>
          <t>SÄTER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46256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46256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46256</v>
      </c>
      <c r="F145" t="inlineStr">
        <is>
          <t>DALARNAS LÄN</t>
        </is>
      </c>
      <c r="G145" t="inlineStr">
        <is>
          <t>SÄTER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46256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51824-2025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46256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44869</v>
      </c>
      <c r="E148" s="1" t="n">
        <v>46256</v>
      </c>
      <c r="F148" t="inlineStr">
        <is>
          <t>DALARNAS LÄN</t>
        </is>
      </c>
      <c r="G148" t="inlineStr">
        <is>
          <t>SÄTER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46256</v>
      </c>
      <c r="F149" t="inlineStr">
        <is>
          <t>DALARNAS LÄN</t>
        </is>
      </c>
      <c r="G149" t="inlineStr">
        <is>
          <t>SÄTER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46577-2023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46256</v>
      </c>
      <c r="F150" t="inlineStr">
        <is>
          <t>DALARNAS LÄN</t>
        </is>
      </c>
      <c r="G150" t="inlineStr">
        <is>
          <t>SÄTER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45216</v>
      </c>
      <c r="E151" s="1" t="n">
        <v>46256</v>
      </c>
      <c r="F151" t="inlineStr">
        <is>
          <t>DALARNAS LÄN</t>
        </is>
      </c>
      <c r="G151" t="inlineStr">
        <is>
          <t>SÄTER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53540-2025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45960</v>
      </c>
      <c r="E152" s="1" t="n">
        <v>46256</v>
      </c>
      <c r="F152" t="inlineStr">
        <is>
          <t>DALARNAS LÄN</t>
        </is>
      </c>
      <c r="G152" t="inlineStr">
        <is>
          <t>SÄTER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46256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46256</v>
      </c>
      <c r="F154" t="inlineStr">
        <is>
          <t>DALARNAS LÄN</t>
        </is>
      </c>
      <c r="G154" t="inlineStr">
        <is>
          <t>SÄTER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46256</v>
      </c>
      <c r="F155" t="inlineStr">
        <is>
          <t>DALARNAS LÄN</t>
        </is>
      </c>
      <c r="G155" t="inlineStr">
        <is>
          <t>SÄTER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53559-2025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45960</v>
      </c>
      <c r="E156" s="1" t="n">
        <v>46256</v>
      </c>
      <c r="F156" t="inlineStr">
        <is>
          <t>DALARNAS LÄN</t>
        </is>
      </c>
      <c r="G156" t="inlineStr">
        <is>
          <t>SÄTER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46256</v>
      </c>
      <c r="F157" t="inlineStr">
        <is>
          <t>DALARNAS LÄN</t>
        </is>
      </c>
      <c r="G157" t="inlineStr">
        <is>
          <t>SÄTER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46256</v>
      </c>
      <c r="F158" t="inlineStr">
        <is>
          <t>DALARNAS LÄN</t>
        </is>
      </c>
      <c r="G158" t="inlineStr">
        <is>
          <t>SÄTER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46256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51320-2024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45604</v>
      </c>
      <c r="E160" s="1" t="n">
        <v>46256</v>
      </c>
      <c r="F160" t="inlineStr">
        <is>
          <t>DALARNAS LÄN</t>
        </is>
      </c>
      <c r="G160" t="inlineStr">
        <is>
          <t>SÄTER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51324-2024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45604</v>
      </c>
      <c r="E161" s="1" t="n">
        <v>46256</v>
      </c>
      <c r="F161" t="inlineStr">
        <is>
          <t>DALARNAS LÄN</t>
        </is>
      </c>
      <c r="G161" t="inlineStr">
        <is>
          <t>SÄTER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45971</v>
      </c>
      <c r="E162" s="1" t="n">
        <v>46256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46256</v>
      </c>
      <c r="F163" t="inlineStr">
        <is>
          <t>DALARNAS LÄN</t>
        </is>
      </c>
      <c r="G163" t="inlineStr">
        <is>
          <t>SÄTER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46256</v>
      </c>
      <c r="F164" t="inlineStr">
        <is>
          <t>DALARNAS LÄN</t>
        </is>
      </c>
      <c r="G164" t="inlineStr">
        <is>
          <t>SÄTER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46256</v>
      </c>
      <c r="F165" t="inlineStr">
        <is>
          <t>DALARNAS LÄN</t>
        </is>
      </c>
      <c r="G165" t="inlineStr">
        <is>
          <t>SÄTER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51323-2024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45604</v>
      </c>
      <c r="E166" s="1" t="n">
        <v>46256</v>
      </c>
      <c r="F166" t="inlineStr">
        <is>
          <t>DALARNAS LÄN</t>
        </is>
      </c>
      <c r="G166" t="inlineStr">
        <is>
          <t>SÄTER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45527</v>
      </c>
      <c r="E167" s="1" t="n">
        <v>46256</v>
      </c>
      <c r="F167" t="inlineStr">
        <is>
          <t>DALARNAS LÄN</t>
        </is>
      </c>
      <c r="G167" t="inlineStr">
        <is>
          <t>SÄTER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45527</v>
      </c>
      <c r="E168" s="1" t="n">
        <v>46256</v>
      </c>
      <c r="F168" t="inlineStr">
        <is>
          <t>DALARNAS LÄN</t>
        </is>
      </c>
      <c r="G168" t="inlineStr">
        <is>
          <t>SÄTER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44585</v>
      </c>
      <c r="E169" s="1" t="n">
        <v>46256</v>
      </c>
      <c r="F169" t="inlineStr">
        <is>
          <t>DALARNAS LÄN</t>
        </is>
      </c>
      <c r="G169" t="inlineStr">
        <is>
          <t>SÄTER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46256</v>
      </c>
      <c r="F170" t="inlineStr">
        <is>
          <t>DALARNAS LÄN</t>
        </is>
      </c>
      <c r="G170" t="inlineStr">
        <is>
          <t>SÄTER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45527</v>
      </c>
      <c r="E171" s="1" t="n">
        <v>46256</v>
      </c>
      <c r="F171" t="inlineStr">
        <is>
          <t>DALARNAS LÄN</t>
        </is>
      </c>
      <c r="G171" t="inlineStr">
        <is>
          <t>SÄTER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45282</v>
      </c>
      <c r="E172" s="1" t="n">
        <v>46256</v>
      </c>
      <c r="F172" t="inlineStr">
        <is>
          <t>DALARNAS LÄN</t>
        </is>
      </c>
      <c r="G172" t="inlineStr">
        <is>
          <t>SÄTER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6767-2024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46256</v>
      </c>
      <c r="F173" t="inlineStr">
        <is>
          <t>DALARNAS LÄN</t>
        </is>
      </c>
      <c r="G173" t="inlineStr">
        <is>
          <t>SÄTER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45455</v>
      </c>
      <c r="E174" s="1" t="n">
        <v>46256</v>
      </c>
      <c r="F174" t="inlineStr">
        <is>
          <t>DALARNAS LÄN</t>
        </is>
      </c>
      <c r="G174" t="inlineStr">
        <is>
          <t>SÄTER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46256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46256</v>
      </c>
      <c r="F176" t="inlineStr">
        <is>
          <t>DALARNAS LÄN</t>
        </is>
      </c>
      <c r="G176" t="inlineStr">
        <is>
          <t>SÄTER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46256</v>
      </c>
      <c r="F177" t="inlineStr">
        <is>
          <t>DALARNAS LÄN</t>
        </is>
      </c>
      <c r="G177" t="inlineStr">
        <is>
          <t>SÄTER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45154</v>
      </c>
      <c r="E178" s="1" t="n">
        <v>46256</v>
      </c>
      <c r="F178" t="inlineStr">
        <is>
          <t>DALARNAS LÄN</t>
        </is>
      </c>
      <c r="G178" t="inlineStr">
        <is>
          <t>SÄTER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45268</v>
      </c>
      <c r="E179" s="1" t="n">
        <v>46256</v>
      </c>
      <c r="F179" t="inlineStr">
        <is>
          <t>DALARNAS LÄN</t>
        </is>
      </c>
      <c r="G179" t="inlineStr">
        <is>
          <t>SÄTER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46256</v>
      </c>
      <c r="F180" t="inlineStr">
        <is>
          <t>DALARNAS LÄN</t>
        </is>
      </c>
      <c r="G180" t="inlineStr">
        <is>
          <t>SÄTER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46256</v>
      </c>
      <c r="F181" t="inlineStr">
        <is>
          <t>DALARNAS LÄN</t>
        </is>
      </c>
      <c r="G181" t="inlineStr">
        <is>
          <t>SÄTER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46256</v>
      </c>
      <c r="F182" t="inlineStr">
        <is>
          <t>DALARNAS LÄN</t>
        </is>
      </c>
      <c r="G182" t="inlineStr">
        <is>
          <t>SÄTER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46256</v>
      </c>
      <c r="F183" t="inlineStr">
        <is>
          <t>DALARNAS LÄN</t>
        </is>
      </c>
      <c r="G183" t="inlineStr">
        <is>
          <t>SÄTER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45740</v>
      </c>
      <c r="E184" s="1" t="n">
        <v>46256</v>
      </c>
      <c r="F184" t="inlineStr">
        <is>
          <t>DALARNAS LÄN</t>
        </is>
      </c>
      <c r="G184" t="inlineStr">
        <is>
          <t>SÄTER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35410-2025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45855</v>
      </c>
      <c r="E185" s="1" t="n">
        <v>46256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45855</v>
      </c>
      <c r="E186" s="1" t="n">
        <v>46256</v>
      </c>
      <c r="F186" t="inlineStr">
        <is>
          <t>DALARNAS LÄN</t>
        </is>
      </c>
      <c r="G186" t="inlineStr">
        <is>
          <t>SÄTER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46256</v>
      </c>
      <c r="F187" t="inlineStr">
        <is>
          <t>DALARNAS LÄN</t>
        </is>
      </c>
      <c r="G187" t="inlineStr">
        <is>
          <t>SÄTER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44727</v>
      </c>
      <c r="E188" s="1" t="n">
        <v>46256</v>
      </c>
      <c r="F188" t="inlineStr">
        <is>
          <t>DALARNAS LÄN</t>
        </is>
      </c>
      <c r="G188" t="inlineStr">
        <is>
          <t>SÄTER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45993</v>
      </c>
      <c r="E189" s="1" t="n">
        <v>46256</v>
      </c>
      <c r="F189" t="inlineStr">
        <is>
          <t>DALARNAS LÄN</t>
        </is>
      </c>
      <c r="G189" t="inlineStr">
        <is>
          <t>SÄTER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46256</v>
      </c>
      <c r="F190" t="inlineStr">
        <is>
          <t>DALARNAS LÄN</t>
        </is>
      </c>
      <c r="G190" t="inlineStr">
        <is>
          <t>SÄTER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46256</v>
      </c>
      <c r="F191" t="inlineStr">
        <is>
          <t>DALARNAS LÄN</t>
        </is>
      </c>
      <c r="G191" t="inlineStr">
        <is>
          <t>SÄTER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46256</v>
      </c>
      <c r="F192" t="inlineStr">
        <is>
          <t>DALARNAS LÄN</t>
        </is>
      </c>
      <c r="G192" t="inlineStr">
        <is>
          <t>SÄTER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45411</v>
      </c>
      <c r="E193" s="1" t="n">
        <v>46256</v>
      </c>
      <c r="F193" t="inlineStr">
        <is>
          <t>DALARNAS LÄN</t>
        </is>
      </c>
      <c r="G193" t="inlineStr">
        <is>
          <t>SÄTER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46256</v>
      </c>
      <c r="F194" t="inlineStr">
        <is>
          <t>DALARNAS LÄN</t>
        </is>
      </c>
      <c r="G194" t="inlineStr">
        <is>
          <t>SÄTER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14931-2024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46256</v>
      </c>
      <c r="F195" t="inlineStr">
        <is>
          <t>DALARNAS LÄN</t>
        </is>
      </c>
      <c r="G195" t="inlineStr">
        <is>
          <t>SÄTER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44965</v>
      </c>
      <c r="E196" s="1" t="n">
        <v>46256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20337-2024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46256</v>
      </c>
      <c r="F197" t="inlineStr">
        <is>
          <t>DALARNAS LÄN</t>
        </is>
      </c>
      <c r="G197" t="inlineStr">
        <is>
          <t>SÄTER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45628</v>
      </c>
      <c r="E198" s="1" t="n">
        <v>46256</v>
      </c>
      <c r="F198" t="inlineStr">
        <is>
          <t>DALARNAS LÄN</t>
        </is>
      </c>
      <c r="G198" t="inlineStr">
        <is>
          <t>SÄTER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45526</v>
      </c>
      <c r="E199" s="1" t="n">
        <v>46256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44609</v>
      </c>
      <c r="E200" s="1" t="n">
        <v>46256</v>
      </c>
      <c r="F200" t="inlineStr">
        <is>
          <t>DALARNAS LÄN</t>
        </is>
      </c>
      <c r="G200" t="inlineStr">
        <is>
          <t>SÄTER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46256</v>
      </c>
      <c r="F201" t="inlineStr">
        <is>
          <t>DALARNAS LÄN</t>
        </is>
      </c>
      <c r="G201" t="inlineStr">
        <is>
          <t>SÄTER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45427</v>
      </c>
      <c r="E202" s="1" t="n">
        <v>46256</v>
      </c>
      <c r="F202" t="inlineStr">
        <is>
          <t>DALARNAS LÄN</t>
        </is>
      </c>
      <c r="G202" t="inlineStr">
        <is>
          <t>SÄTER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45063</v>
      </c>
      <c r="E203" s="1" t="n">
        <v>46256</v>
      </c>
      <c r="F203" t="inlineStr">
        <is>
          <t>DALARNAS LÄN</t>
        </is>
      </c>
      <c r="G203" t="inlineStr">
        <is>
          <t>SÄTER</t>
        </is>
      </c>
      <c r="H203" t="inlineStr">
        <is>
          <t>Kommuner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46256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46256</v>
      </c>
      <c r="F205" t="inlineStr">
        <is>
          <t>DALARNAS LÄN</t>
        </is>
      </c>
      <c r="G205" t="inlineStr">
        <is>
          <t>SÄTER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45939</v>
      </c>
      <c r="E206" s="1" t="n">
        <v>46256</v>
      </c>
      <c r="F206" t="inlineStr">
        <is>
          <t>DALARNAS LÄN</t>
        </is>
      </c>
      <c r="G206" t="inlineStr">
        <is>
          <t>SÄTER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46026</v>
      </c>
      <c r="E207" s="1" t="n">
        <v>46256</v>
      </c>
      <c r="F207" t="inlineStr">
        <is>
          <t>DALARNAS LÄN</t>
        </is>
      </c>
      <c r="G207" t="inlineStr">
        <is>
          <t>SÄTER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46027</v>
      </c>
      <c r="E208" s="1" t="n">
        <v>46256</v>
      </c>
      <c r="F208" t="inlineStr">
        <is>
          <t>DALARNAS LÄN</t>
        </is>
      </c>
      <c r="G208" t="inlineStr">
        <is>
          <t>SÄTER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987-2026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46030</v>
      </c>
      <c r="E209" s="1" t="n">
        <v>46256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46031</v>
      </c>
      <c r="E210" s="1" t="n">
        <v>46256</v>
      </c>
      <c r="F210" t="inlineStr">
        <is>
          <t>DALARNAS LÄN</t>
        </is>
      </c>
      <c r="G210" t="inlineStr">
        <is>
          <t>SÄTER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46256</v>
      </c>
      <c r="F211" t="inlineStr">
        <is>
          <t>DALARNAS LÄN</t>
        </is>
      </c>
      <c r="G211" t="inlineStr">
        <is>
          <t>SÄTER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46256</v>
      </c>
      <c r="F212" t="inlineStr">
        <is>
          <t>DALARNAS LÄN</t>
        </is>
      </c>
      <c r="G212" t="inlineStr">
        <is>
          <t>SÄTER</t>
        </is>
      </c>
      <c r="H212" t="inlineStr">
        <is>
          <t>Kommuner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45870</v>
      </c>
      <c r="E213" s="1" t="n">
        <v>46256</v>
      </c>
      <c r="F213" t="inlineStr">
        <is>
          <t>DALARNAS LÄN</t>
        </is>
      </c>
      <c r="G213" t="inlineStr">
        <is>
          <t>SÄTER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46256</v>
      </c>
      <c r="F214" t="inlineStr">
        <is>
          <t>DALARNAS LÄN</t>
        </is>
      </c>
      <c r="G214" t="inlineStr">
        <is>
          <t>SÄTER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46256</v>
      </c>
      <c r="F215" t="inlineStr">
        <is>
          <t>DALARNAS LÄN</t>
        </is>
      </c>
      <c r="G215" t="inlineStr">
        <is>
          <t>SÄTER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46256</v>
      </c>
      <c r="F216" t="inlineStr">
        <is>
          <t>DALARNAS LÄN</t>
        </is>
      </c>
      <c r="G216" t="inlineStr">
        <is>
          <t>SÄTER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46256</v>
      </c>
      <c r="F217" t="inlineStr">
        <is>
          <t>DALARNAS LÄN</t>
        </is>
      </c>
      <c r="G217" t="inlineStr">
        <is>
          <t>SÄTER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46036</v>
      </c>
      <c r="E218" s="1" t="n">
        <v>46256</v>
      </c>
      <c r="F218" t="inlineStr">
        <is>
          <t>DALARNAS LÄN</t>
        </is>
      </c>
      <c r="G218" t="inlineStr">
        <is>
          <t>SÄTER</t>
        </is>
      </c>
      <c r="I218" t="n">
        <v>10.9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44572</v>
      </c>
      <c r="E219" s="1" t="n">
        <v>46256</v>
      </c>
      <c r="F219" t="inlineStr">
        <is>
          <t>DALARNAS LÄN</t>
        </is>
      </c>
      <c r="G219" t="inlineStr">
        <is>
          <t>SÄTER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46256</v>
      </c>
      <c r="F220" t="inlineStr">
        <is>
          <t>DALARNAS LÄN</t>
        </is>
      </c>
      <c r="G220" t="inlineStr">
        <is>
          <t>SÄTER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46037</v>
      </c>
      <c r="E221" s="1" t="n">
        <v>46256</v>
      </c>
      <c r="F221" t="inlineStr">
        <is>
          <t>DALARNAS LÄN</t>
        </is>
      </c>
      <c r="G221" t="inlineStr">
        <is>
          <t>SÄTER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45622</v>
      </c>
      <c r="E222" s="1" t="n">
        <v>46256</v>
      </c>
      <c r="F222" t="inlineStr">
        <is>
          <t>DALARNAS LÄN</t>
        </is>
      </c>
      <c r="G222" t="inlineStr">
        <is>
          <t>SÄTER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45110</v>
      </c>
      <c r="E223" s="1" t="n">
        <v>46256</v>
      </c>
      <c r="F223" t="inlineStr">
        <is>
          <t>DALARNAS LÄN</t>
        </is>
      </c>
      <c r="G223" t="inlineStr">
        <is>
          <t>SÄTER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52193-2021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46256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45599</v>
      </c>
      <c r="E225" s="1" t="n">
        <v>46256</v>
      </c>
      <c r="F225" t="inlineStr">
        <is>
          <t>DALARNAS LÄN</t>
        </is>
      </c>
      <c r="G225" t="inlineStr">
        <is>
          <t>SÄTER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45455</v>
      </c>
      <c r="E226" s="1" t="n">
        <v>46256</v>
      </c>
      <c r="F226" t="inlineStr">
        <is>
          <t>DALARNAS LÄN</t>
        </is>
      </c>
      <c r="G226" t="inlineStr">
        <is>
          <t>SÄTER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46256</v>
      </c>
      <c r="F227" t="inlineStr">
        <is>
          <t>DALARNAS LÄN</t>
        </is>
      </c>
      <c r="G227" t="inlineStr">
        <is>
          <t>SÄTER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52220-2021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44462</v>
      </c>
      <c r="E228" s="1" t="n">
        <v>46256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46256</v>
      </c>
      <c r="F229" t="inlineStr">
        <is>
          <t>DALARNAS LÄN</t>
        </is>
      </c>
      <c r="G229" t="inlineStr">
        <is>
          <t>SÄTER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46256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46045</v>
      </c>
      <c r="E231" s="1" t="n">
        <v>46256</v>
      </c>
      <c r="F231" t="inlineStr">
        <is>
          <t>DALARNAS LÄN</t>
        </is>
      </c>
      <c r="G231" t="inlineStr">
        <is>
          <t>SÄTER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23679-2026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46164</v>
      </c>
      <c r="E232" s="1" t="n">
        <v>46256</v>
      </c>
      <c r="F232" t="inlineStr">
        <is>
          <t>DALARNAS LÄN</t>
        </is>
      </c>
      <c r="G232" t="inlineStr">
        <is>
          <t>SÄTER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46256</v>
      </c>
      <c r="F233" t="inlineStr">
        <is>
          <t>DALARNAS LÄN</t>
        </is>
      </c>
      <c r="G233" t="inlineStr">
        <is>
          <t>SÄTER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46256</v>
      </c>
      <c r="F234" t="inlineStr">
        <is>
          <t>DALARNAS LÄN</t>
        </is>
      </c>
      <c r="G234" t="inlineStr">
        <is>
          <t>SÄTER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46256</v>
      </c>
      <c r="F235" t="inlineStr">
        <is>
          <t>DALARNAS LÄN</t>
        </is>
      </c>
      <c r="G235" t="inlineStr">
        <is>
          <t>SÄTER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45366</v>
      </c>
      <c r="E236" s="1" t="n">
        <v>46256</v>
      </c>
      <c r="F236" t="inlineStr">
        <is>
          <t>DALARNAS LÄN</t>
        </is>
      </c>
      <c r="G236" t="inlineStr">
        <is>
          <t>SÄTER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46167</v>
      </c>
      <c r="E237" s="1" t="n">
        <v>46256</v>
      </c>
      <c r="F237" t="inlineStr">
        <is>
          <t>DALARNAS LÄN</t>
        </is>
      </c>
      <c r="G237" t="inlineStr">
        <is>
          <t>SÄTER</t>
        </is>
      </c>
      <c r="I237" t="n">
        <v>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44992</v>
      </c>
      <c r="E238" s="1" t="n">
        <v>46256</v>
      </c>
      <c r="F238" t="inlineStr">
        <is>
          <t>DALARNAS LÄN</t>
        </is>
      </c>
      <c r="G238" t="inlineStr">
        <is>
          <t>SÄTER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44812</v>
      </c>
      <c r="E239" s="1" t="n">
        <v>46256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19162-2022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44691</v>
      </c>
      <c r="E240" s="1" t="n">
        <v>46256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45971</v>
      </c>
      <c r="E241" s="1" t="n">
        <v>46256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46174</v>
      </c>
      <c r="E242" s="1" t="n">
        <v>46256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46256</v>
      </c>
      <c r="F243" t="inlineStr">
        <is>
          <t>DALARNAS LÄN</t>
        </is>
      </c>
      <c r="G243" t="inlineStr">
        <is>
          <t>SÄTER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46057</v>
      </c>
      <c r="E244" s="1" t="n">
        <v>46256</v>
      </c>
      <c r="F244" t="inlineStr">
        <is>
          <t>DALARNAS LÄN</t>
        </is>
      </c>
      <c r="G244" t="inlineStr">
        <is>
          <t>SÄTER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38264-2025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45883</v>
      </c>
      <c r="E245" s="1" t="n">
        <v>46256</v>
      </c>
      <c r="F245" t="inlineStr">
        <is>
          <t>DALARNAS LÄN</t>
        </is>
      </c>
      <c r="G245" t="inlineStr">
        <is>
          <t>SÄTER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44908</v>
      </c>
      <c r="E246" s="1" t="n">
        <v>46256</v>
      </c>
      <c r="F246" t="inlineStr">
        <is>
          <t>DALARNAS LÄN</t>
        </is>
      </c>
      <c r="G246" t="inlineStr">
        <is>
          <t>SÄTER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45005</v>
      </c>
      <c r="E247" s="1" t="n">
        <v>46256</v>
      </c>
      <c r="F247" t="inlineStr">
        <is>
          <t>DALARNAS LÄN</t>
        </is>
      </c>
      <c r="G247" t="inlineStr">
        <is>
          <t>SÄTER</t>
        </is>
      </c>
      <c r="I247" t="n">
        <v>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69744-2021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46256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46256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46256</v>
      </c>
      <c r="F250" t="inlineStr">
        <is>
          <t>DALARNAS LÄN</t>
        </is>
      </c>
      <c r="G250" t="inlineStr">
        <is>
          <t>SÄTER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26456-2024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46256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46256</v>
      </c>
      <c r="F252" t="inlineStr">
        <is>
          <t>DALARNAS LÄN</t>
        </is>
      </c>
      <c r="G252" t="inlineStr">
        <is>
          <t>SÄTER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46256</v>
      </c>
      <c r="F253" t="inlineStr">
        <is>
          <t>DALARNAS LÄN</t>
        </is>
      </c>
      <c r="G253" t="inlineStr">
        <is>
          <t>SÄTER</t>
        </is>
      </c>
      <c r="H253" t="inlineStr">
        <is>
          <t>Övriga statliga verk och myndigheter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46256</v>
      </c>
      <c r="F254" t="inlineStr">
        <is>
          <t>DALARNAS LÄN</t>
        </is>
      </c>
      <c r="G254" t="inlineStr">
        <is>
          <t>SÄTER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5543-2022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44595</v>
      </c>
      <c r="E255" s="1" t="n">
        <v>46256</v>
      </c>
      <c r="F255" t="inlineStr">
        <is>
          <t>DALARNAS LÄN</t>
        </is>
      </c>
      <c r="G255" t="inlineStr">
        <is>
          <t>SÄTER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46256</v>
      </c>
      <c r="F256" t="inlineStr">
        <is>
          <t>DALARNAS LÄN</t>
        </is>
      </c>
      <c r="G256" t="inlineStr">
        <is>
          <t>SÄTER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60655-2024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45644</v>
      </c>
      <c r="E257" s="1" t="n">
        <v>46256</v>
      </c>
      <c r="F257" t="inlineStr">
        <is>
          <t>DALARNAS LÄN</t>
        </is>
      </c>
      <c r="G257" t="inlineStr">
        <is>
          <t>SÄTER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46256</v>
      </c>
      <c r="F258" t="inlineStr">
        <is>
          <t>DALARNAS LÄN</t>
        </is>
      </c>
      <c r="G258" t="inlineStr">
        <is>
          <t>SÄTER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46256</v>
      </c>
      <c r="F259" t="inlineStr">
        <is>
          <t>DALARNAS LÄN</t>
        </is>
      </c>
      <c r="G259" t="inlineStr">
        <is>
          <t>SÄTER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45638</v>
      </c>
      <c r="E260" s="1" t="n">
        <v>46256</v>
      </c>
      <c r="F260" t="inlineStr">
        <is>
          <t>DALARNAS LÄN</t>
        </is>
      </c>
      <c r="G260" t="inlineStr">
        <is>
          <t>SÄTER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46256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46256</v>
      </c>
      <c r="F262" t="inlineStr">
        <is>
          <t>DALARNAS LÄN</t>
        </is>
      </c>
      <c r="G262" t="inlineStr">
        <is>
          <t>SÄTER</t>
        </is>
      </c>
      <c r="H262" t="inlineStr">
        <is>
          <t>Bergvik skog väst AB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46256</v>
      </c>
      <c r="F263" t="inlineStr">
        <is>
          <t>DALARNAS LÄN</t>
        </is>
      </c>
      <c r="G263" t="inlineStr">
        <is>
          <t>SÄTER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11405-2026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46083</v>
      </c>
      <c r="E264" s="1" t="n">
        <v>46256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45163</v>
      </c>
      <c r="E265" s="1" t="n">
        <v>46256</v>
      </c>
      <c r="F265" t="inlineStr">
        <is>
          <t>DALARNAS LÄN</t>
        </is>
      </c>
      <c r="G265" t="inlineStr">
        <is>
          <t>SÄTER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46256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39487-2022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44817</v>
      </c>
      <c r="E267" s="1" t="n">
        <v>46256</v>
      </c>
      <c r="F267" t="inlineStr">
        <is>
          <t>DALARNAS LÄN</t>
        </is>
      </c>
      <c r="G267" t="inlineStr">
        <is>
          <t>SÄTER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45334</v>
      </c>
      <c r="E268" s="1" t="n">
        <v>46256</v>
      </c>
      <c r="F268" t="inlineStr">
        <is>
          <t>DALARNAS LÄN</t>
        </is>
      </c>
      <c r="G268" t="inlineStr">
        <is>
          <t>SÄTER</t>
        </is>
      </c>
      <c r="H268" t="inlineStr">
        <is>
          <t>Kommuner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46256</v>
      </c>
      <c r="F269" t="inlineStr">
        <is>
          <t>DALARNAS LÄN</t>
        </is>
      </c>
      <c r="G269" t="inlineStr">
        <is>
          <t>SÄTER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46256</v>
      </c>
      <c r="F270" t="inlineStr">
        <is>
          <t>DALARNAS LÄN</t>
        </is>
      </c>
      <c r="G270" t="inlineStr">
        <is>
          <t>SÄTER</t>
        </is>
      </c>
      <c r="H270" t="inlineStr">
        <is>
          <t>Kommuner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13265-2026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46256</v>
      </c>
      <c r="F271" t="inlineStr">
        <is>
          <t>DALARNAS LÄN</t>
        </is>
      </c>
      <c r="G271" t="inlineStr">
        <is>
          <t>SÄTER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46256</v>
      </c>
      <c r="F272" t="inlineStr">
        <is>
          <t>DALARNAS LÄN</t>
        </is>
      </c>
      <c r="G272" t="inlineStr">
        <is>
          <t>SÄTER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46094</v>
      </c>
      <c r="E273" s="1" t="n">
        <v>46256</v>
      </c>
      <c r="F273" t="inlineStr">
        <is>
          <t>DALARNAS LÄN</t>
        </is>
      </c>
      <c r="G273" t="inlineStr">
        <is>
          <t>SÄTER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28613-2026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46256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38521-2024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45546</v>
      </c>
      <c r="E275" s="1" t="n">
        <v>46256</v>
      </c>
      <c r="F275" t="inlineStr">
        <is>
          <t>DALARNAS LÄN</t>
        </is>
      </c>
      <c r="G275" t="inlineStr">
        <is>
          <t>SÄTER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13888-2026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46256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13899-2026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46098</v>
      </c>
      <c r="E277" s="1" t="n">
        <v>46256</v>
      </c>
      <c r="F277" t="inlineStr">
        <is>
          <t>DALARNAS LÄN</t>
        </is>
      </c>
      <c r="G277" t="inlineStr">
        <is>
          <t>SÄTER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27771-2026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46191</v>
      </c>
      <c r="E278" s="1" t="n">
        <v>46256</v>
      </c>
      <c r="F278" t="inlineStr">
        <is>
          <t>DALARNAS LÄN</t>
        </is>
      </c>
      <c r="G278" t="inlineStr">
        <is>
          <t>SÄTER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46256</v>
      </c>
      <c r="F279" t="inlineStr">
        <is>
          <t>DALARNAS LÄN</t>
        </is>
      </c>
      <c r="G279" t="inlineStr">
        <is>
          <t>SÄTER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32122-2026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46234</v>
      </c>
      <c r="E280" s="1" t="n">
        <v>46256</v>
      </c>
      <c r="F280" t="inlineStr">
        <is>
          <t>DALARNAS LÄN</t>
        </is>
      </c>
      <c r="G280" t="inlineStr">
        <is>
          <t>SÄTER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46256</v>
      </c>
      <c r="F281" t="inlineStr">
        <is>
          <t>DALARNAS LÄN</t>
        </is>
      </c>
      <c r="G281" t="inlineStr">
        <is>
          <t>SÄTER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44784</v>
      </c>
      <c r="E282" s="1" t="n">
        <v>46256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28281-2026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46256</v>
      </c>
      <c r="F283" t="inlineStr">
        <is>
          <t>DALARNAS LÄN</t>
        </is>
      </c>
      <c r="G283" t="inlineStr">
        <is>
          <t>SÄTER</t>
        </is>
      </c>
      <c r="H283" t="inlineStr">
        <is>
          <t>Sveaskog</t>
        </is>
      </c>
      <c r="I283" t="n">
        <v>19.8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46113</v>
      </c>
      <c r="E284" s="1" t="n">
        <v>46256</v>
      </c>
      <c r="F284" t="inlineStr">
        <is>
          <t>DALARNAS LÄN</t>
        </is>
      </c>
      <c r="G284" t="inlineStr">
        <is>
          <t>SÄTER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46256</v>
      </c>
      <c r="F285" t="inlineStr">
        <is>
          <t>DALARNAS LÄN</t>
        </is>
      </c>
      <c r="G285" t="inlineStr">
        <is>
          <t>SÄTER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46256</v>
      </c>
      <c r="F286" t="inlineStr">
        <is>
          <t>DALARNAS LÄN</t>
        </is>
      </c>
      <c r="G286" t="inlineStr">
        <is>
          <t>SÄTER</t>
        </is>
      </c>
      <c r="H286" t="inlineStr">
        <is>
          <t>Kommuner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46256</v>
      </c>
      <c r="F287" t="inlineStr">
        <is>
          <t>DALARNAS LÄN</t>
        </is>
      </c>
      <c r="G287" t="inlineStr">
        <is>
          <t>SÄTER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10222-2026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46256</v>
      </c>
      <c r="F288" t="inlineStr">
        <is>
          <t>DALARNAS LÄN</t>
        </is>
      </c>
      <c r="G288" t="inlineStr">
        <is>
          <t>SÄTER</t>
        </is>
      </c>
      <c r="I288" t="n">
        <v>15.2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46256</v>
      </c>
      <c r="F289" t="inlineStr">
        <is>
          <t>DALARNAS LÄN</t>
        </is>
      </c>
      <c r="G289" t="inlineStr">
        <is>
          <t>SÄTER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12938-2026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46256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46256</v>
      </c>
      <c r="F291" t="inlineStr">
        <is>
          <t>DALARNAS LÄN</t>
        </is>
      </c>
      <c r="G291" t="inlineStr">
        <is>
          <t>SÄTER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46136</v>
      </c>
      <c r="E292" s="1" t="n">
        <v>46256</v>
      </c>
      <c r="F292" t="inlineStr">
        <is>
          <t>DALARNAS LÄN</t>
        </is>
      </c>
      <c r="G292" t="inlineStr">
        <is>
          <t>SÄTER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46204</v>
      </c>
      <c r="E293" s="1" t="n">
        <v>46256</v>
      </c>
      <c r="F293" t="inlineStr">
        <is>
          <t>DALARNAS LÄN</t>
        </is>
      </c>
      <c r="G293" t="inlineStr">
        <is>
          <t>SÄTER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51333-2024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45604</v>
      </c>
      <c r="E294" s="1" t="n">
        <v>46256</v>
      </c>
      <c r="F294" t="inlineStr">
        <is>
          <t>DALARNAS LÄN</t>
        </is>
      </c>
      <c r="G294" t="inlineStr">
        <is>
          <t>SÄTER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45561</v>
      </c>
      <c r="E295" s="1" t="n">
        <v>46256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45771</v>
      </c>
      <c r="E296" s="1" t="n">
        <v>46256</v>
      </c>
      <c r="F296" t="inlineStr">
        <is>
          <t>DALARNAS LÄN</t>
        </is>
      </c>
      <c r="G296" t="inlineStr">
        <is>
          <t>SÄTER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45574</v>
      </c>
      <c r="E297" s="1" t="n">
        <v>46256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32892-2022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44784</v>
      </c>
      <c r="E298" s="1" t="n">
        <v>46256</v>
      </c>
      <c r="F298" t="inlineStr">
        <is>
          <t>DALARNAS LÄN</t>
        </is>
      </c>
      <c r="G298" t="inlineStr">
        <is>
          <t>SÄTER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46256</v>
      </c>
      <c r="F299" t="inlineStr">
        <is>
          <t>DALARNAS LÄN</t>
        </is>
      </c>
      <c r="G299" t="inlineStr">
        <is>
          <t>SÄTER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34497-2023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45140</v>
      </c>
      <c r="E300" s="1" t="n">
        <v>46256</v>
      </c>
      <c r="F300" t="inlineStr">
        <is>
          <t>DALARNAS LÄN</t>
        </is>
      </c>
      <c r="G300" t="inlineStr">
        <is>
          <t>SÄTER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44719-2024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46256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10.8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23262-2024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46256</v>
      </c>
      <c r="F302" t="inlineStr">
        <is>
          <t>DALARNAS LÄN</t>
        </is>
      </c>
      <c r="G302" t="inlineStr">
        <is>
          <t>SÄTER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63654-2025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46014</v>
      </c>
      <c r="E303" s="1" t="n">
        <v>46256</v>
      </c>
      <c r="F303" t="inlineStr">
        <is>
          <t>DALARNAS LÄN</t>
        </is>
      </c>
      <c r="G303" t="inlineStr">
        <is>
          <t>SÄTER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46256</v>
      </c>
      <c r="F304" t="inlineStr">
        <is>
          <t>DALARNAS LÄN</t>
        </is>
      </c>
      <c r="G304" t="inlineStr">
        <is>
          <t>SÄTER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44811</v>
      </c>
      <c r="E305" s="1" t="n">
        <v>46256</v>
      </c>
      <c r="F305" t="inlineStr">
        <is>
          <t>DALARNAS LÄN</t>
        </is>
      </c>
      <c r="G305" t="inlineStr">
        <is>
          <t>SÄTER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45411</v>
      </c>
      <c r="E306" s="1" t="n">
        <v>46256</v>
      </c>
      <c r="F306" t="inlineStr">
        <is>
          <t>DALARNAS LÄN</t>
        </is>
      </c>
      <c r="G306" t="inlineStr">
        <is>
          <t>SÄTER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8810-2026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46256</v>
      </c>
      <c r="F307" t="inlineStr">
        <is>
          <t>DALARNAS LÄN</t>
        </is>
      </c>
      <c r="G307" t="inlineStr">
        <is>
          <t>SÄTER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43125-2024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46256</v>
      </c>
      <c r="F308" t="inlineStr">
        <is>
          <t>DALARNAS LÄN</t>
        </is>
      </c>
      <c r="G308" t="inlineStr">
        <is>
          <t>SÄTER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46256</v>
      </c>
      <c r="F309" t="inlineStr">
        <is>
          <t>DALARNAS LÄN</t>
        </is>
      </c>
      <c r="G309" t="inlineStr">
        <is>
          <t>SÄTER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41959-2024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45561</v>
      </c>
      <c r="E310" s="1" t="n">
        <v>46256</v>
      </c>
      <c r="F310" t="inlineStr">
        <is>
          <t>DALARNAS LÄN</t>
        </is>
      </c>
      <c r="G310" t="inlineStr">
        <is>
          <t>SÄTER</t>
        </is>
      </c>
      <c r="H310" t="inlineStr">
        <is>
          <t>Bergvik skog väst AB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46256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34993-2024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45527</v>
      </c>
      <c r="E312" s="1" t="n">
        <v>46256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46256</v>
      </c>
      <c r="F313" t="inlineStr">
        <is>
          <t>DALARNAS LÄN</t>
        </is>
      </c>
      <c r="G313" t="inlineStr">
        <is>
          <t>SÄTER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45442</v>
      </c>
      <c r="E314" s="1" t="n">
        <v>46256</v>
      </c>
      <c r="F314" t="inlineStr">
        <is>
          <t>DALARNAS LÄN</t>
        </is>
      </c>
      <c r="G314" t="inlineStr">
        <is>
          <t>SÄTER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46256</v>
      </c>
      <c r="F315" t="inlineStr">
        <is>
          <t>DALARNAS LÄN</t>
        </is>
      </c>
      <c r="G315" t="inlineStr">
        <is>
          <t>SÄTER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12957-2022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44643</v>
      </c>
      <c r="E316" s="1" t="n">
        <v>46256</v>
      </c>
      <c r="F316" t="inlineStr">
        <is>
          <t>DALARNAS LÄN</t>
        </is>
      </c>
      <c r="G316" t="inlineStr">
        <is>
          <t>SÄTER</t>
        </is>
      </c>
      <c r="I316" t="n">
        <v>8.1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46256</v>
      </c>
      <c r="F317" t="inlineStr">
        <is>
          <t>DALARNAS LÄN</t>
        </is>
      </c>
      <c r="G317" t="inlineStr">
        <is>
          <t>SÄTER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30706-2026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46211</v>
      </c>
      <c r="E318" s="1" t="n">
        <v>46256</v>
      </c>
      <c r="F318" t="inlineStr">
        <is>
          <t>DALARNAS LÄN</t>
        </is>
      </c>
      <c r="G318" t="inlineStr">
        <is>
          <t>SÄTER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46256</v>
      </c>
      <c r="F319" t="inlineStr">
        <is>
          <t>DALARNAS LÄN</t>
        </is>
      </c>
      <c r="G319" t="inlineStr">
        <is>
          <t>SÄTER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46256</v>
      </c>
      <c r="F320" t="inlineStr">
        <is>
          <t>DALARNAS LÄN</t>
        </is>
      </c>
      <c r="G320" t="inlineStr">
        <is>
          <t>SÄTER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46256</v>
      </c>
      <c r="F321" t="inlineStr">
        <is>
          <t>DALARNAS LÄN</t>
        </is>
      </c>
      <c r="G321" t="inlineStr">
        <is>
          <t>SÄTER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46256</v>
      </c>
      <c r="F322" t="inlineStr">
        <is>
          <t>DALARNAS LÄN</t>
        </is>
      </c>
      <c r="G322" t="inlineStr">
        <is>
          <t>SÄTER</t>
        </is>
      </c>
      <c r="H322" t="inlineStr">
        <is>
          <t>Kommuner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45232</v>
      </c>
      <c r="E323" s="1" t="n">
        <v>46256</v>
      </c>
      <c r="F323" t="inlineStr">
        <is>
          <t>DALARNAS LÄN</t>
        </is>
      </c>
      <c r="G323" t="inlineStr">
        <is>
          <t>SÄTER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44953</v>
      </c>
      <c r="E324" s="1" t="n">
        <v>46256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12330-2026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46087</v>
      </c>
      <c r="E325" s="1" t="n">
        <v>46256</v>
      </c>
      <c r="F325" t="inlineStr">
        <is>
          <t>DALARNAS LÄN</t>
        </is>
      </c>
      <c r="G325" t="inlineStr">
        <is>
          <t>SÄTER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44964</v>
      </c>
      <c r="E326" s="1" t="n">
        <v>46256</v>
      </c>
      <c r="F326" t="inlineStr">
        <is>
          <t>DALARNAS LÄN</t>
        </is>
      </c>
      <c r="G326" t="inlineStr">
        <is>
          <t>SÄTER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46256</v>
      </c>
      <c r="F327" t="inlineStr">
        <is>
          <t>DALARNAS LÄN</t>
        </is>
      </c>
      <c r="G327" t="inlineStr">
        <is>
          <t>SÄTER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46256</v>
      </c>
      <c r="F328" t="inlineStr">
        <is>
          <t>DALARNAS LÄN</t>
        </is>
      </c>
      <c r="G328" t="inlineStr">
        <is>
          <t>SÄTER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33872-2024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46256</v>
      </c>
      <c r="F329" t="inlineStr">
        <is>
          <t>DALARNAS LÄN</t>
        </is>
      </c>
      <c r="G329" t="inlineStr">
        <is>
          <t>SÄTER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42998-2023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45182</v>
      </c>
      <c r="E330" s="1" t="n">
        <v>46256</v>
      </c>
      <c r="F330" t="inlineStr">
        <is>
          <t>DALARNAS LÄN</t>
        </is>
      </c>
      <c r="G330" t="inlineStr">
        <is>
          <t>SÄTER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46256</v>
      </c>
      <c r="F331" t="inlineStr">
        <is>
          <t>DALARNAS LÄN</t>
        </is>
      </c>
      <c r="G331" t="inlineStr">
        <is>
          <t>SÄTER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8991-2026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46256</v>
      </c>
      <c r="F332" t="inlineStr">
        <is>
          <t>DALARNAS LÄN</t>
        </is>
      </c>
      <c r="G332" t="inlineStr">
        <is>
          <t>SÄTER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46256</v>
      </c>
      <c r="F333" t="inlineStr">
        <is>
          <t>DALARNAS LÄN</t>
        </is>
      </c>
      <c r="G333" t="inlineStr">
        <is>
          <t>SÄTER</t>
        </is>
      </c>
      <c r="H333" t="inlineStr">
        <is>
          <t>Kommuner</t>
        </is>
      </c>
      <c r="I333" t="n">
        <v>42.6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51847-2024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45604</v>
      </c>
      <c r="E334" s="1" t="n">
        <v>46256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46091</v>
      </c>
      <c r="E335" s="1" t="n">
        <v>46256</v>
      </c>
      <c r="F335" t="inlineStr">
        <is>
          <t>DALARNAS LÄN</t>
        </is>
      </c>
      <c r="G335" t="inlineStr">
        <is>
          <t>SÄTER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45232</v>
      </c>
      <c r="E336" s="1" t="n">
        <v>46256</v>
      </c>
      <c r="F336" t="inlineStr">
        <is>
          <t>DALARNAS LÄN</t>
        </is>
      </c>
      <c r="G336" t="inlineStr">
        <is>
          <t>SÄTER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46044</v>
      </c>
      <c r="E337" s="1" t="n">
        <v>46256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44809</v>
      </c>
      <c r="E338" s="1" t="n">
        <v>46256</v>
      </c>
      <c r="F338" t="inlineStr">
        <is>
          <t>DALARNAS LÄN</t>
        </is>
      </c>
      <c r="G338" t="inlineStr">
        <is>
          <t>SÄTER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22148-2026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46256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46256</v>
      </c>
      <c r="F340" t="inlineStr">
        <is>
          <t>DALARNAS LÄN</t>
        </is>
      </c>
      <c r="G340" t="inlineStr">
        <is>
          <t>SÄTER</t>
        </is>
      </c>
      <c r="I340" t="n">
        <v>10.1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44788</v>
      </c>
      <c r="E341" s="1" t="n">
        <v>46256</v>
      </c>
      <c r="F341" t="inlineStr">
        <is>
          <t>DALARNAS LÄN</t>
        </is>
      </c>
      <c r="G341" t="inlineStr">
        <is>
          <t>SÄTER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44748</v>
      </c>
      <c r="E342" s="1" t="n">
        <v>46256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22261-2026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46256</v>
      </c>
      <c r="F343" t="inlineStr">
        <is>
          <t>DALARNAS LÄN</t>
        </is>
      </c>
      <c r="G343" t="inlineStr">
        <is>
          <t>SÄTER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46559-2021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44445</v>
      </c>
      <c r="E344" s="1" t="n">
        <v>46256</v>
      </c>
      <c r="F344" t="inlineStr">
        <is>
          <t>DALARNAS LÄN</t>
        </is>
      </c>
      <c r="G344" t="inlineStr">
        <is>
          <t>SÄTER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22850-2026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46256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9.5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45171</v>
      </c>
      <c r="E346" s="1" t="n">
        <v>46256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46256</v>
      </c>
      <c r="F347" t="inlineStr">
        <is>
          <t>DALARNAS LÄN</t>
        </is>
      </c>
      <c r="G347" t="inlineStr">
        <is>
          <t>SÄTER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45596</v>
      </c>
      <c r="E348" s="1" t="n">
        <v>46256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46256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46256</v>
      </c>
      <c r="F350" t="inlineStr">
        <is>
          <t>DALARNAS LÄN</t>
        </is>
      </c>
      <c r="G350" t="inlineStr">
        <is>
          <t>SÄTER</t>
        </is>
      </c>
      <c r="H350" t="inlineStr">
        <is>
          <t>Kommuner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46256</v>
      </c>
      <c r="F351" t="inlineStr">
        <is>
          <t>DALARNAS LÄN</t>
        </is>
      </c>
      <c r="G351" t="inlineStr">
        <is>
          <t>SÄTER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23547-2026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46163</v>
      </c>
      <c r="E352" s="1" t="n">
        <v>46256</v>
      </c>
      <c r="F352" t="inlineStr">
        <is>
          <t>DALARNAS LÄN</t>
        </is>
      </c>
      <c r="G352" t="inlineStr">
        <is>
          <t>SÄTER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23735-2026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46256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23736-2026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46163</v>
      </c>
      <c r="E354" s="1" t="n">
        <v>46256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23736-2026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46256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45700</v>
      </c>
      <c r="E356" s="1" t="n">
        <v>46256</v>
      </c>
      <c r="F356" t="inlineStr">
        <is>
          <t>DALARNAS LÄN</t>
        </is>
      </c>
      <c r="G356" t="inlineStr">
        <is>
          <t>SÄTER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46256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46256</v>
      </c>
      <c r="F358" t="inlineStr">
        <is>
          <t>DALARNAS LÄN</t>
        </is>
      </c>
      <c r="G358" t="inlineStr">
        <is>
          <t>SÄTER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45666</v>
      </c>
      <c r="E359" s="1" t="n">
        <v>46256</v>
      </c>
      <c r="F359" t="inlineStr">
        <is>
          <t>DALARNAS LÄN</t>
        </is>
      </c>
      <c r="G359" t="inlineStr">
        <is>
          <t>SÄTER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45118</v>
      </c>
      <c r="E360" s="1" t="n">
        <v>46256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21911-2024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46256</v>
      </c>
      <c r="F361" t="inlineStr">
        <is>
          <t>DALARNAS LÄN</t>
        </is>
      </c>
      <c r="G361" t="inlineStr">
        <is>
          <t>SÄTER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25294-2024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46256</v>
      </c>
      <c r="F362" t="inlineStr">
        <is>
          <t>DALARNAS LÄN</t>
        </is>
      </c>
      <c r="G362" t="inlineStr">
        <is>
          <t>SÄTER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2585-2020</t>
        </is>
      </c>
      <c r="B363" t="inlineStr">
        <is>
          <t>samrådsanmälan</t>
        </is>
      </c>
      <c r="C363" t="n">
        <v/>
      </c>
      <c r="D363" s="1" t="n">
        <v>44155</v>
      </c>
      <c r="E363" s="1" t="n">
        <v>46256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1868-2020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44071</v>
      </c>
      <c r="E364" s="1" t="n">
        <v>46256</v>
      </c>
      <c r="F364" t="inlineStr">
        <is>
          <t>DALARNAS LÄN</t>
        </is>
      </c>
      <c r="G364" t="inlineStr">
        <is>
          <t>SÄTER</t>
        </is>
      </c>
      <c r="I364" t="n">
        <v>29.2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46256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405-2022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44585</v>
      </c>
      <c r="E366" s="1" t="n">
        <v>46256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79.09999999999999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1098-2024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45391</v>
      </c>
      <c r="E367" s="1" t="n">
        <v>46256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189.2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705-2025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45720</v>
      </c>
      <c r="E368" s="1" t="n">
        <v>46256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46256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2964-2025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45952</v>
      </c>
      <c r="E370" s="1" t="n">
        <v>46256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611-2026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46085</v>
      </c>
      <c r="E371" s="1" t="n">
        <v>46256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44.7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2026-08-22T01:46:08Z</dcterms:created>
  <dcterms:modified xmlns:dcterms="http://purl.org/dc/terms/" xmlns:xsi="http://www.w3.org/2001/XMLSchema-instance" xsi:type="dcterms:W3CDTF">2026-08-22T01:46:08Z</dcterms:modified>
</cp:coreProperties>
</file>