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46266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46266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46266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46266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46266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46266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46266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46266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46266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193-2022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44564</v>
      </c>
      <c r="E21" s="1" t="n">
        <v>46266</v>
      </c>
      <c r="F21" t="inlineStr">
        <is>
          <t>DALARNAS LÄN</t>
        </is>
      </c>
      <c r="G21" t="inlineStr">
        <is>
          <t>SÄTER</t>
        </is>
      </c>
      <c r="I21" t="n">
        <v>1.9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Dropptaggsvamp
Talltita</t>
        </is>
      </c>
      <c r="W21">
        <f>HYPERLINK("https://klasma.github.io/Logging_2082/artfynd/A 193-2022 artfynd.xlsx", "A 193-2022")</f>
        <v/>
      </c>
      <c r="X21">
        <f>HYPERLINK("https://klasma.github.io/Logging_2082/kartor/A 193-2022 karta.png", "A 193-2022")</f>
        <v/>
      </c>
      <c r="Y21">
        <f>HYPERLINK("https://klasma.github.io/Logging_2082/kartor_geotiff/A 193-2022 georefererad karta.tif", "A 193-2022")</f>
        <v/>
      </c>
      <c r="AA21">
        <f>HYPERLINK("https://klasma.github.io/Logging_2082/klagomål/A 193-2022 FSC-klagomål.docx", "A 193-2022")</f>
        <v/>
      </c>
      <c r="AB21">
        <f>HYPERLINK("https://klasma.github.io/Logging_2082/klagomålsmail/A 193-2022 FSC-klagomål mail.docx", "A 193-2022")</f>
        <v/>
      </c>
      <c r="AC21">
        <f>HYPERLINK("https://klasma.github.io/Logging_2082/tillsyn/A 193-2022 tillsynsbegäran.docx", "A 193-2022")</f>
        <v/>
      </c>
      <c r="AD21">
        <f>HYPERLINK("https://klasma.github.io/Logging_2082/tillsynsmail/A 193-2022 tillsynsbegäran mail.docx", "A 193-2022")</f>
        <v/>
      </c>
      <c r="AE21">
        <f>HYPERLINK("https://klasma.github.io/Logging_2082/fåglar/A 193-2022 prioriterade fågelarter.docx", "A 193-2022")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46266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46266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46266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46266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46266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S 2072-2022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44672</v>
      </c>
      <c r="E27" s="1" t="n">
        <v>46266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125.6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Grovticka</t>
        </is>
      </c>
      <c r="W27">
        <f>HYPERLINK("https://klasma.github.io/Logging_2082/artfynd/S 2072-2022 artfynd.xlsx", "S 2072-2022")</f>
        <v/>
      </c>
      <c r="X27">
        <f>HYPERLINK("https://klasma.github.io/Logging_2082/kartor/S 2072-2022 karta.png", "S 2072-2022")</f>
        <v/>
      </c>
      <c r="Y27">
        <f>HYPERLINK("https://klasma.github.io/Logging_2082/kartor_geotiff/S 2072-2022 georefererad karta.tif", "S 2072-2022")</f>
        <v/>
      </c>
      <c r="Z27">
        <f>HYPERLINK("https://klasma.github.io/Logging_2082/knärot/S 2072-2022 karta knärot.png", "S 2072-2022")</f>
        <v/>
      </c>
      <c r="AA27">
        <f>HYPERLINK("https://klasma.github.io/Logging_2082/klagomål/S 2072-2022 FSC-klagomål.docx", "S 2072-2022")</f>
        <v/>
      </c>
      <c r="AB27">
        <f>HYPERLINK("https://klasma.github.io/Logging_2082/klagomålsmail/S 2072-2022 FSC-klagomål mail.docx", "S 2072-2022")</f>
        <v/>
      </c>
      <c r="AC27">
        <f>HYPERLINK("https://klasma.github.io/Logging_2082/tillsyn/S 2072-2022 tillsynsbegäran.docx", "S 2072-2022")</f>
        <v/>
      </c>
      <c r="AD27">
        <f>HYPERLINK("https://klasma.github.io/Logging_2082/tillsynsmail/S 2072-2022 tillsynsbegäran mail.docx", "S 2072-2022")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46266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46266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46266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49653-2025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45939</v>
      </c>
      <c r="E31" s="1" t="n">
        <v>46266</v>
      </c>
      <c r="F31" t="inlineStr">
        <is>
          <t>DALARNAS LÄN</t>
        </is>
      </c>
      <c r="G31" t="inlineStr">
        <is>
          <t>SÄTER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HYPERLINK("https://klasma.github.io/Logging_2082/artfynd/A 49653-2025 artfynd.xlsx", "A 49653-2025")</f>
        <v/>
      </c>
      <c r="X31">
        <f>HYPERLINK("https://klasma.github.io/Logging_2082/kartor/A 49653-2025 karta.png", "A 49653-2025")</f>
        <v/>
      </c>
      <c r="Y31">
        <f>HYPERLINK("https://klasma.github.io/Logging_2082/kartor_geotiff/A 49653-2025 georefererad karta.tif", "A 49653-2025")</f>
        <v/>
      </c>
      <c r="AA31">
        <f>HYPERLINK("https://klasma.github.io/Logging_2082/klagomål/A 49653-2025 FSC-klagomål.docx", "A 49653-2025")</f>
        <v/>
      </c>
      <c r="AB31">
        <f>HYPERLINK("https://klasma.github.io/Logging_2082/klagomålsmail/A 49653-2025 FSC-klagomål mail.docx", "A 49653-2025")</f>
        <v/>
      </c>
      <c r="AC31">
        <f>HYPERLINK("https://klasma.github.io/Logging_2082/tillsyn/A 49653-2025 tillsynsbegäran.docx", "A 49653-2025")</f>
        <v/>
      </c>
      <c r="AD31">
        <f>HYPERLINK("https://klasma.github.io/Logging_2082/tillsynsmail/A 49653-2025 tillsynsbegäran mail.docx", "A 49653-2025")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46266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46266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34938-2025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46266</v>
      </c>
      <c r="F34" t="inlineStr">
        <is>
          <t>DALARNAS LÄN</t>
        </is>
      </c>
      <c r="G34" t="inlineStr">
        <is>
          <t>SÄTER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HYPERLINK("https://klasma.github.io/Logging_2082/artfynd/A 34938-2025 artfynd.xlsx", "A 34938-2025")</f>
        <v/>
      </c>
      <c r="X34">
        <f>HYPERLINK("https://klasma.github.io/Logging_2082/kartor/A 34938-2025 karta.png", "A 34938-2025")</f>
        <v/>
      </c>
      <c r="Y34">
        <f>HYPERLINK("https://klasma.github.io/Logging_2082/kartor_geotiff/A 34938-2025 georefererad karta.tif", "A 34938-2025")</f>
        <v/>
      </c>
      <c r="AA34">
        <f>HYPERLINK("https://klasma.github.io/Logging_2082/klagomål/A 34938-2025 FSC-klagomål.docx", "A 34938-2025")</f>
        <v/>
      </c>
      <c r="AB34">
        <f>HYPERLINK("https://klasma.github.io/Logging_2082/klagomålsmail/A 34938-2025 FSC-klagomål mail.docx", "A 34938-2025")</f>
        <v/>
      </c>
      <c r="AC34">
        <f>HYPERLINK("https://klasma.github.io/Logging_2082/tillsyn/A 34938-2025 tillsynsbegäran.docx", "A 34938-2025")</f>
        <v/>
      </c>
      <c r="AD34">
        <f>HYPERLINK("https://klasma.github.io/Logging_2082/tillsynsmail/A 34938-2025 tillsynsbegäran mail.docx", "A 34938-2025")</f>
        <v/>
      </c>
    </row>
    <row r="35" ht="15" customHeight="1">
      <c r="A35" t="inlineStr">
        <is>
          <t>A 35221-2025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45853</v>
      </c>
      <c r="E35" s="1" t="n">
        <v>46266</v>
      </c>
      <c r="F35" t="inlineStr">
        <is>
          <t>DALARNAS LÄN</t>
        </is>
      </c>
      <c r="G35" t="inlineStr">
        <is>
          <t>SÄTER</t>
        </is>
      </c>
      <c r="I35" t="n">
        <v>9.5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Vedskivlav</t>
        </is>
      </c>
      <c r="W35">
        <f>HYPERLINK("https://klasma.github.io/Logging_2082/artfynd/A 35221-2025 artfynd.xlsx", "A 35221-2025")</f>
        <v/>
      </c>
      <c r="X35">
        <f>HYPERLINK("https://klasma.github.io/Logging_2082/kartor/A 35221-2025 karta.png", "A 35221-2025")</f>
        <v/>
      </c>
      <c r="Y35">
        <f>HYPERLINK("https://klasma.github.io/Logging_2082/kartor_geotiff/A 35221-2025 georefererad karta.tif", "A 35221-2025")</f>
        <v/>
      </c>
      <c r="AA35">
        <f>HYPERLINK("https://klasma.github.io/Logging_2082/klagomål/A 35221-2025 FSC-klagomål.docx", "A 35221-2025")</f>
        <v/>
      </c>
      <c r="AB35">
        <f>HYPERLINK("https://klasma.github.io/Logging_2082/klagomålsmail/A 35221-2025 FSC-klagomål mail.docx", "A 35221-2025")</f>
        <v/>
      </c>
      <c r="AC35">
        <f>HYPERLINK("https://klasma.github.io/Logging_2082/tillsyn/A 35221-2025 tillsynsbegäran.docx", "A 35221-2025")</f>
        <v/>
      </c>
      <c r="AD35">
        <f>HYPERLINK("https://klasma.github.io/Logging_2082/tillsynsmail/A 35221-2025 tillsynsbegäran mail.docx", "A 35221-2025")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46266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46266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46266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46266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33605-2022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46266</v>
      </c>
      <c r="F40" t="inlineStr">
        <is>
          <t>DALARNAS LÄN</t>
        </is>
      </c>
      <c r="G40" t="inlineStr">
        <is>
          <t>SÄTER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Ullticka</t>
        </is>
      </c>
      <c r="W40">
        <f>HYPERLINK("https://klasma.github.io/Logging_2082/artfynd/A 33605-2022 artfynd.xlsx", "A 33605-2022")</f>
        <v/>
      </c>
      <c r="X40">
        <f>HYPERLINK("https://klasma.github.io/Logging_2082/kartor/A 33605-2022 karta.png", "A 33605-2022")</f>
        <v/>
      </c>
      <c r="Y40">
        <f>HYPERLINK("https://klasma.github.io/Logging_2082/kartor_geotiff/A 33605-2022 georefererad karta.tif", "A 33605-2022")</f>
        <v/>
      </c>
      <c r="AA40">
        <f>HYPERLINK("https://klasma.github.io/Logging_2082/klagomål/A 33605-2022 FSC-klagomål.docx", "A 33605-2022")</f>
        <v/>
      </c>
      <c r="AB40">
        <f>HYPERLINK("https://klasma.github.io/Logging_2082/klagomålsmail/A 33605-2022 FSC-klagomål mail.docx", "A 33605-2022")</f>
        <v/>
      </c>
      <c r="AC40">
        <f>HYPERLINK("https://klasma.github.io/Logging_2082/tillsyn/A 33605-2022 tillsynsbegäran.docx", "A 33605-2022")</f>
        <v/>
      </c>
      <c r="AD40">
        <f>HYPERLINK("https://klasma.github.io/Logging_2082/tillsynsmail/A 33605-2022 tillsynsbegäran mail.docx", "A 33605-2022")</f>
        <v/>
      </c>
    </row>
    <row r="41" ht="15" customHeight="1">
      <c r="A41" t="inlineStr">
        <is>
          <t>A 47064-2021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46266</v>
      </c>
      <c r="F41" t="inlineStr">
        <is>
          <t>DALARNAS LÄN</t>
        </is>
      </c>
      <c r="G41" t="inlineStr">
        <is>
          <t>SÄTER</t>
        </is>
      </c>
      <c r="I41" t="n">
        <v>2.9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HYPERLINK("https://klasma.github.io/Logging_2082/artfynd/A 47064-2021 artfynd.xlsx", "A 47064-2021")</f>
        <v/>
      </c>
      <c r="X41">
        <f>HYPERLINK("https://klasma.github.io/Logging_2082/kartor/A 47064-2021 karta.png", "A 47064-2021")</f>
        <v/>
      </c>
      <c r="Y41">
        <f>HYPERLINK("https://klasma.github.io/Logging_2082/kartor_geotiff/A 47064-2021 georefererad karta.tif", "A 47064-2021")</f>
        <v/>
      </c>
      <c r="AA41">
        <f>HYPERLINK("https://klasma.github.io/Logging_2082/klagomål/A 47064-2021 FSC-klagomål.docx", "A 47064-2021")</f>
        <v/>
      </c>
      <c r="AB41">
        <f>HYPERLINK("https://klasma.github.io/Logging_2082/klagomålsmail/A 47064-2021 FSC-klagomål mail.docx", "A 47064-2021")</f>
        <v/>
      </c>
      <c r="AC41">
        <f>HYPERLINK("https://klasma.github.io/Logging_2082/tillsyn/A 47064-2021 tillsynsbegäran.docx", "A 47064-2021")</f>
        <v/>
      </c>
      <c r="AD41">
        <f>HYPERLINK("https://klasma.github.io/Logging_2082/tillsynsmail/A 47064-2021 tillsynsbegäran mail.docx", "A 47064-2021")</f>
        <v/>
      </c>
      <c r="AE41">
        <f>HYPERLINK("https://klasma.github.io/Logging_2082/fåglar/A 47064-2021 prioriterade fågelarter.docx", "A 47064-2021")</f>
        <v/>
      </c>
    </row>
    <row r="42" ht="15" customHeight="1">
      <c r="A42" t="inlineStr">
        <is>
          <t>A 21111-2026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46266</v>
      </c>
      <c r="F42" t="inlineStr">
        <is>
          <t>DALARNAS LÄN</t>
        </is>
      </c>
      <c r="G42" t="inlineStr">
        <is>
          <t>SÄTER</t>
        </is>
      </c>
      <c r="I42" t="n">
        <v>4.6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Fjällig taggsvamp s.str.</t>
        </is>
      </c>
      <c r="W42">
        <f>HYPERLINK("https://klasma.github.io/Logging_2082/artfynd/A 21111-2026 artfynd.xlsx", "A 21111-2026")</f>
        <v/>
      </c>
      <c r="X42">
        <f>HYPERLINK("https://klasma.github.io/Logging_2082/kartor/A 21111-2026 karta.png", "A 21111-2026")</f>
        <v/>
      </c>
      <c r="Y42">
        <f>HYPERLINK("https://klasma.github.io/Logging_2082/kartor_geotiff/A 21111-2026 georefererad karta.tif", "A 21111-2026")</f>
        <v/>
      </c>
      <c r="AA42">
        <f>HYPERLINK("https://klasma.github.io/Logging_2082/klagomål/A 21111-2026 FSC-klagomål.docx", "A 21111-2026")</f>
        <v/>
      </c>
      <c r="AB42">
        <f>HYPERLINK("https://klasma.github.io/Logging_2082/klagomålsmail/A 21111-2026 FSC-klagomål mail.docx", "A 21111-2026")</f>
        <v/>
      </c>
      <c r="AC42">
        <f>HYPERLINK("https://klasma.github.io/Logging_2082/tillsyn/A 21111-2026 tillsynsbegäran.docx", "A 21111-2026")</f>
        <v/>
      </c>
      <c r="AD42">
        <f>HYPERLINK("https://klasma.github.io/Logging_2082/tillsynsmail/A 21111-2026 tillsynsbegäran mail.docx", "A 21111-2026")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46266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46266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46266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46266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46266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46266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46266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46266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46266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46266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46266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46266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46266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46266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46266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46266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46266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46266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46266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46266</v>
      </c>
      <c r="F62" t="inlineStr">
        <is>
          <t>DALARNAS LÄN</t>
        </is>
      </c>
      <c r="G62" t="inlineStr">
        <is>
          <t>SÄTER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46266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46266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46266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46266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46266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46266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46266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46266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44715</v>
      </c>
      <c r="E71" s="1" t="n">
        <v>46266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46266</v>
      </c>
      <c r="F72" t="inlineStr">
        <is>
          <t>DALARNAS LÄN</t>
        </is>
      </c>
      <c r="G72" t="inlineStr">
        <is>
          <t>SÄTER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46266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46266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46266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46266</v>
      </c>
      <c r="F76" t="inlineStr">
        <is>
          <t>DALARNAS LÄN</t>
        </is>
      </c>
      <c r="G76" t="inlineStr">
        <is>
          <t>SÄTER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46266</v>
      </c>
      <c r="F77" t="inlineStr">
        <is>
          <t>DALARNAS LÄN</t>
        </is>
      </c>
      <c r="G77" t="inlineStr">
        <is>
          <t>SÄTER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62368-2023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45268</v>
      </c>
      <c r="E78" s="1" t="n">
        <v>46266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46266</v>
      </c>
      <c r="F79" t="inlineStr">
        <is>
          <t>DALARNAS LÄN</t>
        </is>
      </c>
      <c r="G79" t="inlineStr">
        <is>
          <t>SÄTER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46266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51328-2024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45604</v>
      </c>
      <c r="E81" s="1" t="n">
        <v>46266</v>
      </c>
      <c r="F81" t="inlineStr">
        <is>
          <t>DALARNAS LÄN</t>
        </is>
      </c>
      <c r="G81" t="inlineStr">
        <is>
          <t>SÄTER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51339-2024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45604</v>
      </c>
      <c r="E82" s="1" t="n">
        <v>46266</v>
      </c>
      <c r="F82" t="inlineStr">
        <is>
          <t>DALARNAS LÄN</t>
        </is>
      </c>
      <c r="G82" t="inlineStr">
        <is>
          <t>SÄTER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46266</v>
      </c>
      <c r="F83" t="inlineStr">
        <is>
          <t>DALARNAS LÄN</t>
        </is>
      </c>
      <c r="G83" t="inlineStr">
        <is>
          <t>SÄTER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28549-2022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44748</v>
      </c>
      <c r="E84" s="1" t="n">
        <v>46266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46266</v>
      </c>
      <c r="F85" t="inlineStr">
        <is>
          <t>DALARNAS LÄN</t>
        </is>
      </c>
      <c r="G85" t="inlineStr">
        <is>
          <t>SÄTER</t>
        </is>
      </c>
      <c r="H85" t="inlineStr">
        <is>
          <t>Bergvik skog väst AB</t>
        </is>
      </c>
      <c r="I85" t="n">
        <v>10.2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44445</v>
      </c>
      <c r="E86" s="1" t="n">
        <v>46266</v>
      </c>
      <c r="F86" t="inlineStr">
        <is>
          <t>DALARNAS LÄN</t>
        </is>
      </c>
      <c r="G86" t="inlineStr">
        <is>
          <t>SÄTER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46266</v>
      </c>
      <c r="F87" t="inlineStr">
        <is>
          <t>DALARNAS LÄN</t>
        </is>
      </c>
      <c r="G87" t="inlineStr">
        <is>
          <t>SÄTER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45171</v>
      </c>
      <c r="E88" s="1" t="n">
        <v>46266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45783</v>
      </c>
      <c r="E89" s="1" t="n">
        <v>46266</v>
      </c>
      <c r="F89" t="inlineStr">
        <is>
          <t>DALARNAS LÄN</t>
        </is>
      </c>
      <c r="G89" t="inlineStr">
        <is>
          <t>SÄTER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46266</v>
      </c>
      <c r="F90" t="inlineStr">
        <is>
          <t>DALARNAS LÄN</t>
        </is>
      </c>
      <c r="G90" t="inlineStr">
        <is>
          <t>SÄTER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46266</v>
      </c>
      <c r="F91" t="inlineStr">
        <is>
          <t>DALARNAS LÄN</t>
        </is>
      </c>
      <c r="G91" t="inlineStr">
        <is>
          <t>SÄTER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46266</v>
      </c>
      <c r="F92" t="inlineStr">
        <is>
          <t>DALARNAS LÄN</t>
        </is>
      </c>
      <c r="G92" t="inlineStr">
        <is>
          <t>SÄTER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  <c r="Z92">
        <f>HYPERLINK("https://klasma.github.io/Logging_2082/knärot/A 498-2025 karta knärot.png", "A 498-2025")</f>
        <v/>
      </c>
      <c r="AA92">
        <f>HYPERLINK("https://klasma.github.io/Logging_2082/klagomål/A 498-2025 FSC-klagomål.docx", "A 498-2025")</f>
        <v/>
      </c>
      <c r="AB92">
        <f>HYPERLINK("https://klasma.github.io/Logging_2082/klagomålsmail/A 498-2025 FSC-klagomål mail.docx", "A 498-2025")</f>
        <v/>
      </c>
      <c r="AC92">
        <f>HYPERLINK("https://klasma.github.io/Logging_2082/tillsyn/A 498-2025 tillsynsbegäran.docx", "A 498-2025")</f>
        <v/>
      </c>
      <c r="AD92">
        <f>HYPERLINK("https://klasma.github.io/Logging_2082/tillsynsmail/A 498-2025 tillsynsbegäran mail.docx", "A 498-2025")</f>
        <v/>
      </c>
    </row>
    <row r="93" ht="15" customHeight="1">
      <c r="A93" t="inlineStr">
        <is>
          <t>A 19767-2024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46266</v>
      </c>
      <c r="F93" t="inlineStr">
        <is>
          <t>DALARNAS LÄN</t>
        </is>
      </c>
      <c r="G93" t="inlineStr">
        <is>
          <t>SÄTER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44978</v>
      </c>
      <c r="E94" s="1" t="n">
        <v>46266</v>
      </c>
      <c r="F94" t="inlineStr">
        <is>
          <t>DALARNAS LÄN</t>
        </is>
      </c>
      <c r="G94" t="inlineStr">
        <is>
          <t>SÄTER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46266</v>
      </c>
      <c r="F95" t="inlineStr">
        <is>
          <t>DALARNAS LÄN</t>
        </is>
      </c>
      <c r="G95" t="inlineStr">
        <is>
          <t>SÄTER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46266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46266</v>
      </c>
      <c r="F97" t="inlineStr">
        <is>
          <t>DALARNAS LÄN</t>
        </is>
      </c>
      <c r="G97" t="inlineStr">
        <is>
          <t>SÄTER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46266</v>
      </c>
      <c r="F98" t="inlineStr">
        <is>
          <t>DALARNAS LÄN</t>
        </is>
      </c>
      <c r="G98" t="inlineStr">
        <is>
          <t>SÄTER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45281</v>
      </c>
      <c r="E99" s="1" t="n">
        <v>46266</v>
      </c>
      <c r="F99" t="inlineStr">
        <is>
          <t>DALARNAS LÄN</t>
        </is>
      </c>
      <c r="G99" t="inlineStr">
        <is>
          <t>SÄTER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64610-2023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46266</v>
      </c>
      <c r="F100" t="inlineStr">
        <is>
          <t>DALARNAS LÄN</t>
        </is>
      </c>
      <c r="G100" t="inlineStr">
        <is>
          <t>SÄTER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46266</v>
      </c>
      <c r="F101" t="inlineStr">
        <is>
          <t>DALARNAS LÄN</t>
        </is>
      </c>
      <c r="G101" t="inlineStr">
        <is>
          <t>SÄTER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22970-2025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45790</v>
      </c>
      <c r="E102" s="1" t="n">
        <v>46266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45636</v>
      </c>
      <c r="E103" s="1" t="n">
        <v>46266</v>
      </c>
      <c r="F103" t="inlineStr">
        <is>
          <t>DALARNAS LÄN</t>
        </is>
      </c>
      <c r="G103" t="inlineStr">
        <is>
          <t>SÄTER</t>
        </is>
      </c>
      <c r="I103" t="n">
        <v>10.9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46266</v>
      </c>
      <c r="F104" t="inlineStr">
        <is>
          <t>DALARNAS LÄN</t>
        </is>
      </c>
      <c r="G104" t="inlineStr">
        <is>
          <t>SÄTER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45365</v>
      </c>
      <c r="E105" s="1" t="n">
        <v>46266</v>
      </c>
      <c r="F105" t="inlineStr">
        <is>
          <t>DALARNAS LÄN</t>
        </is>
      </c>
      <c r="G105" t="inlineStr">
        <is>
          <t>SÄTER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46266</v>
      </c>
      <c r="F106" t="inlineStr">
        <is>
          <t>DALARNAS LÄN</t>
        </is>
      </c>
      <c r="G106" t="inlineStr">
        <is>
          <t>SÄTER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46266</v>
      </c>
      <c r="F107" t="inlineStr">
        <is>
          <t>DALARNAS LÄN</t>
        </is>
      </c>
      <c r="G107" t="inlineStr">
        <is>
          <t>SÄTER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45118</v>
      </c>
      <c r="E108" s="1" t="n">
        <v>46266</v>
      </c>
      <c r="F108" t="inlineStr">
        <is>
          <t>DALARNAS LÄN</t>
        </is>
      </c>
      <c r="G108" t="inlineStr">
        <is>
          <t>SÄTER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46266</v>
      </c>
      <c r="F109" t="inlineStr">
        <is>
          <t>DALARNAS LÄN</t>
        </is>
      </c>
      <c r="G109" t="inlineStr">
        <is>
          <t>SÄTER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46266</v>
      </c>
      <c r="F110" t="inlineStr">
        <is>
          <t>DALARNAS LÄN</t>
        </is>
      </c>
      <c r="G110" t="inlineStr">
        <is>
          <t>SÄTER</t>
        </is>
      </c>
      <c r="H110" t="inlineStr">
        <is>
          <t>Kommuner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45462</v>
      </c>
      <c r="E111" s="1" t="n">
        <v>46266</v>
      </c>
      <c r="F111" t="inlineStr">
        <is>
          <t>DALARNAS LÄN</t>
        </is>
      </c>
      <c r="G111" t="inlineStr">
        <is>
          <t>SÄTER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46266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46266</v>
      </c>
      <c r="F113" t="inlineStr">
        <is>
          <t>DALARNAS LÄN</t>
        </is>
      </c>
      <c r="G113" t="inlineStr">
        <is>
          <t>SÄTER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46266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46266</v>
      </c>
      <c r="F115" t="inlineStr">
        <is>
          <t>DALARNAS LÄN</t>
        </is>
      </c>
      <c r="G115" t="inlineStr">
        <is>
          <t>SÄTER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46266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46266</v>
      </c>
      <c r="F117" t="inlineStr">
        <is>
          <t>DALARNAS LÄN</t>
        </is>
      </c>
      <c r="G117" t="inlineStr">
        <is>
          <t>SÄTER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46266</v>
      </c>
      <c r="F118" t="inlineStr">
        <is>
          <t>DALARNAS LÄN</t>
        </is>
      </c>
      <c r="G118" t="inlineStr">
        <is>
          <t>SÄTER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27006-2025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46266</v>
      </c>
      <c r="F119" t="inlineStr">
        <is>
          <t>DALARNAS LÄN</t>
        </is>
      </c>
      <c r="G119" t="inlineStr">
        <is>
          <t>SÄTER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46266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45811</v>
      </c>
      <c r="E121" s="1" t="n">
        <v>46266</v>
      </c>
      <c r="F121" t="inlineStr">
        <is>
          <t>DALARNAS LÄN</t>
        </is>
      </c>
      <c r="G121" t="inlineStr">
        <is>
          <t>SÄTER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45552</v>
      </c>
      <c r="E122" s="1" t="n">
        <v>46266</v>
      </c>
      <c r="F122" t="inlineStr">
        <is>
          <t>DALARNAS LÄN</t>
        </is>
      </c>
      <c r="G122" t="inlineStr">
        <is>
          <t>SÄTER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46266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32886-2022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44784</v>
      </c>
      <c r="E124" s="1" t="n">
        <v>46266</v>
      </c>
      <c r="F124" t="inlineStr">
        <is>
          <t>DALARNAS LÄN</t>
        </is>
      </c>
      <c r="G124" t="inlineStr">
        <is>
          <t>SÄTER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46266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41.4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46266</v>
      </c>
      <c r="F126" t="inlineStr">
        <is>
          <t>DALARNAS LÄN</t>
        </is>
      </c>
      <c r="G126" t="inlineStr">
        <is>
          <t>SÄTER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46266</v>
      </c>
      <c r="F127" t="inlineStr">
        <is>
          <t>DALARNAS LÄN</t>
        </is>
      </c>
      <c r="G127" t="inlineStr">
        <is>
          <t>SÄTER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45198</v>
      </c>
      <c r="E128" s="1" t="n">
        <v>46266</v>
      </c>
      <c r="F128" t="inlineStr">
        <is>
          <t>DALARNAS LÄN</t>
        </is>
      </c>
      <c r="G128" t="inlineStr">
        <is>
          <t>SÄTER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44690</v>
      </c>
      <c r="E129" s="1" t="n">
        <v>46266</v>
      </c>
      <c r="F129" t="inlineStr">
        <is>
          <t>DALARNAS LÄN</t>
        </is>
      </c>
      <c r="G129" t="inlineStr">
        <is>
          <t>SÄTER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46266</v>
      </c>
      <c r="F130" t="inlineStr">
        <is>
          <t>DALARNAS LÄN</t>
        </is>
      </c>
      <c r="G130" t="inlineStr">
        <is>
          <t>SÄTER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46266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46266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46266</v>
      </c>
      <c r="F133" t="inlineStr">
        <is>
          <t>DALARNAS LÄN</t>
        </is>
      </c>
      <c r="G133" t="inlineStr">
        <is>
          <t>SÄTER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46266</v>
      </c>
      <c r="F134" t="inlineStr">
        <is>
          <t>DALARNAS LÄN</t>
        </is>
      </c>
      <c r="G134" t="inlineStr">
        <is>
          <t>SÄTER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46266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51824-2025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45951</v>
      </c>
      <c r="E136" s="1" t="n">
        <v>46266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44585</v>
      </c>
      <c r="E137" s="1" t="n">
        <v>46266</v>
      </c>
      <c r="F137" t="inlineStr">
        <is>
          <t>DALARNAS LÄN</t>
        </is>
      </c>
      <c r="G137" t="inlineStr">
        <is>
          <t>SÄTER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46266</v>
      </c>
      <c r="F138" t="inlineStr">
        <is>
          <t>DALARNAS LÄN</t>
        </is>
      </c>
      <c r="G138" t="inlineStr">
        <is>
          <t>SÄTER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45455</v>
      </c>
      <c r="E139" s="1" t="n">
        <v>46266</v>
      </c>
      <c r="F139" t="inlineStr">
        <is>
          <t>DALARNAS LÄN</t>
        </is>
      </c>
      <c r="G139" t="inlineStr">
        <is>
          <t>SÄTER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46266</v>
      </c>
      <c r="F140" t="inlineStr">
        <is>
          <t>DALARNAS LÄN</t>
        </is>
      </c>
      <c r="G140" t="inlineStr">
        <is>
          <t>SÄTER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46266</v>
      </c>
      <c r="F141" t="inlineStr">
        <is>
          <t>DALARNAS LÄN</t>
        </is>
      </c>
      <c r="G141" t="inlineStr">
        <is>
          <t>SÄTER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45740</v>
      </c>
      <c r="E142" s="1" t="n">
        <v>46266</v>
      </c>
      <c r="F142" t="inlineStr">
        <is>
          <t>DALARNAS LÄN</t>
        </is>
      </c>
      <c r="G142" t="inlineStr">
        <is>
          <t>SÄTER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44727</v>
      </c>
      <c r="E143" s="1" t="n">
        <v>46266</v>
      </c>
      <c r="F143" t="inlineStr">
        <is>
          <t>DALARNAS LÄN</t>
        </is>
      </c>
      <c r="G143" t="inlineStr">
        <is>
          <t>SÄTER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36549-2025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45870</v>
      </c>
      <c r="E144" s="1" t="n">
        <v>46266</v>
      </c>
      <c r="F144" t="inlineStr">
        <is>
          <t>DALARNAS LÄN</t>
        </is>
      </c>
      <c r="G144" t="inlineStr">
        <is>
          <t>SÄTER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46266</v>
      </c>
      <c r="F145" t="inlineStr">
        <is>
          <t>DALARNAS LÄN</t>
        </is>
      </c>
      <c r="G145" t="inlineStr">
        <is>
          <t>SÄTER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46266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46266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46266</v>
      </c>
      <c r="F148" t="inlineStr">
        <is>
          <t>DALARNAS LÄN</t>
        </is>
      </c>
      <c r="G148" t="inlineStr">
        <is>
          <t>SÄTER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46266</v>
      </c>
      <c r="F149" t="inlineStr">
        <is>
          <t>DALARNAS LÄN</t>
        </is>
      </c>
      <c r="G149" t="inlineStr">
        <is>
          <t>SÄTER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46266</v>
      </c>
      <c r="F150" t="inlineStr">
        <is>
          <t>DALARNAS LÄN</t>
        </is>
      </c>
      <c r="G150" t="inlineStr">
        <is>
          <t>SÄTER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45883</v>
      </c>
      <c r="E151" s="1" t="n">
        <v>46266</v>
      </c>
      <c r="F151" t="inlineStr">
        <is>
          <t>DALARNAS LÄN</t>
        </is>
      </c>
      <c r="G151" t="inlineStr">
        <is>
          <t>SÄTER</t>
        </is>
      </c>
      <c r="I151" t="n">
        <v>10.8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45961</v>
      </c>
      <c r="E152" s="1" t="n">
        <v>46266</v>
      </c>
      <c r="F152" t="inlineStr">
        <is>
          <t>DALARNAS LÄN</t>
        </is>
      </c>
      <c r="G152" t="inlineStr">
        <is>
          <t>SÄTER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53559-2025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45960</v>
      </c>
      <c r="E153" s="1" t="n">
        <v>46266</v>
      </c>
      <c r="F153" t="inlineStr">
        <is>
          <t>DALARNAS LÄN</t>
        </is>
      </c>
      <c r="G153" t="inlineStr">
        <is>
          <t>SÄTER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46266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45971</v>
      </c>
      <c r="E155" s="1" t="n">
        <v>46266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46266</v>
      </c>
      <c r="F156" t="inlineStr">
        <is>
          <t>DALARNAS LÄN</t>
        </is>
      </c>
      <c r="G156" t="inlineStr">
        <is>
          <t>SÄTER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44572</v>
      </c>
      <c r="E157" s="1" t="n">
        <v>46266</v>
      </c>
      <c r="F157" t="inlineStr">
        <is>
          <t>DALARNAS LÄN</t>
        </is>
      </c>
      <c r="G157" t="inlineStr">
        <is>
          <t>SÄTER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45622</v>
      </c>
      <c r="E158" s="1" t="n">
        <v>46266</v>
      </c>
      <c r="F158" t="inlineStr">
        <is>
          <t>DALARNAS LÄN</t>
        </is>
      </c>
      <c r="G158" t="inlineStr">
        <is>
          <t>SÄTER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45599</v>
      </c>
      <c r="E159" s="1" t="n">
        <v>46266</v>
      </c>
      <c r="F159" t="inlineStr">
        <is>
          <t>DALARNAS LÄN</t>
        </is>
      </c>
      <c r="G159" t="inlineStr">
        <is>
          <t>SÄTER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46266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45604</v>
      </c>
      <c r="E161" s="1" t="n">
        <v>46266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61332-2023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45264</v>
      </c>
      <c r="E162" s="1" t="n">
        <v>46266</v>
      </c>
      <c r="F162" t="inlineStr">
        <is>
          <t>DALARNAS LÄN</t>
        </is>
      </c>
      <c r="G162" t="inlineStr">
        <is>
          <t>SÄTER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46266</v>
      </c>
      <c r="F163" t="inlineStr">
        <is>
          <t>DALARNAS LÄN</t>
        </is>
      </c>
      <c r="G163" t="inlineStr">
        <is>
          <t>SÄTER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46266</v>
      </c>
      <c r="F164" t="inlineStr">
        <is>
          <t>DALARNAS LÄN</t>
        </is>
      </c>
      <c r="G164" t="inlineStr">
        <is>
          <t>SÄTER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46266</v>
      </c>
      <c r="F165" t="inlineStr">
        <is>
          <t>DALARNAS LÄN</t>
        </is>
      </c>
      <c r="G165" t="inlineStr">
        <is>
          <t>SÄTER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45138</v>
      </c>
      <c r="E166" s="1" t="n">
        <v>46266</v>
      </c>
      <c r="F166" t="inlineStr">
        <is>
          <t>DALARNAS LÄN</t>
        </is>
      </c>
      <c r="G166" t="inlineStr">
        <is>
          <t>SÄTER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46266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45992</v>
      </c>
      <c r="E168" s="1" t="n">
        <v>46266</v>
      </c>
      <c r="F168" t="inlineStr">
        <is>
          <t>DALARNAS LÄN</t>
        </is>
      </c>
      <c r="G168" t="inlineStr">
        <is>
          <t>SÄTER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46266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46266</v>
      </c>
      <c r="F170" t="inlineStr">
        <is>
          <t>DALARNAS LÄN</t>
        </is>
      </c>
      <c r="G170" t="inlineStr">
        <is>
          <t>SÄTER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44803-2023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45190</v>
      </c>
      <c r="E171" s="1" t="n">
        <v>46266</v>
      </c>
      <c r="F171" t="inlineStr">
        <is>
          <t>DALARNAS LÄN</t>
        </is>
      </c>
      <c r="G171" t="inlineStr">
        <is>
          <t>SÄTER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46266</v>
      </c>
      <c r="F172" t="inlineStr">
        <is>
          <t>DALARNAS LÄN</t>
        </is>
      </c>
      <c r="G172" t="inlineStr">
        <is>
          <t>SÄTER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46266</v>
      </c>
      <c r="F173" t="inlineStr">
        <is>
          <t>DALARNAS LÄN</t>
        </is>
      </c>
      <c r="G173" t="inlineStr">
        <is>
          <t>SÄTER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42806-2024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45566</v>
      </c>
      <c r="E174" s="1" t="n">
        <v>46266</v>
      </c>
      <c r="F174" t="inlineStr">
        <is>
          <t>DALARNAS LÄN</t>
        </is>
      </c>
      <c r="G174" t="inlineStr">
        <is>
          <t>SÄTER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46266</v>
      </c>
      <c r="F175" t="inlineStr">
        <is>
          <t>DALARNAS LÄN</t>
        </is>
      </c>
      <c r="G175" t="inlineStr">
        <is>
          <t>SÄTER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46266</v>
      </c>
      <c r="F176" t="inlineStr">
        <is>
          <t>DALARNAS LÄN</t>
        </is>
      </c>
      <c r="G176" t="inlineStr">
        <is>
          <t>SÄTER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45670</v>
      </c>
      <c r="E177" s="1" t="n">
        <v>46266</v>
      </c>
      <c r="F177" t="inlineStr">
        <is>
          <t>DALARNAS LÄN</t>
        </is>
      </c>
      <c r="G177" t="inlineStr">
        <is>
          <t>SÄTER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44972</v>
      </c>
      <c r="E178" s="1" t="n">
        <v>46266</v>
      </c>
      <c r="F178" t="inlineStr">
        <is>
          <t>DALARNAS LÄN</t>
        </is>
      </c>
      <c r="G178" t="inlineStr">
        <is>
          <t>SÄTER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63684-2025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46014</v>
      </c>
      <c r="E179" s="1" t="n">
        <v>46266</v>
      </c>
      <c r="F179" t="inlineStr">
        <is>
          <t>DALARNAS LÄN</t>
        </is>
      </c>
      <c r="G179" t="inlineStr">
        <is>
          <t>SÄTER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45098</v>
      </c>
      <c r="E180" s="1" t="n">
        <v>46266</v>
      </c>
      <c r="F180" t="inlineStr">
        <is>
          <t>DALARNAS LÄN</t>
        </is>
      </c>
      <c r="G180" t="inlineStr">
        <is>
          <t>SÄTER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46266</v>
      </c>
      <c r="F181" t="inlineStr">
        <is>
          <t>DALARNAS LÄN</t>
        </is>
      </c>
      <c r="G181" t="inlineStr">
        <is>
          <t>SÄTER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46026</v>
      </c>
      <c r="E182" s="1" t="n">
        <v>46266</v>
      </c>
      <c r="F182" t="inlineStr">
        <is>
          <t>DALARNAS LÄN</t>
        </is>
      </c>
      <c r="G182" t="inlineStr">
        <is>
          <t>SÄTER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46266</v>
      </c>
      <c r="F183" t="inlineStr">
        <is>
          <t>DALARNAS LÄN</t>
        </is>
      </c>
      <c r="G183" t="inlineStr">
        <is>
          <t>SÄTER</t>
        </is>
      </c>
      <c r="I183" t="n">
        <v>13.2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46027</v>
      </c>
      <c r="E184" s="1" t="n">
        <v>46266</v>
      </c>
      <c r="F184" t="inlineStr">
        <is>
          <t>DALARNAS LÄN</t>
        </is>
      </c>
      <c r="G184" t="inlineStr">
        <is>
          <t>SÄTER</t>
        </is>
      </c>
      <c r="I184" t="n">
        <v>12.1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44732</v>
      </c>
      <c r="E185" s="1" t="n">
        <v>46266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44982</v>
      </c>
      <c r="E186" s="1" t="n">
        <v>46266</v>
      </c>
      <c r="F186" t="inlineStr">
        <is>
          <t>DALARNAS LÄN</t>
        </is>
      </c>
      <c r="G186" t="inlineStr">
        <is>
          <t>SÄTER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46030</v>
      </c>
      <c r="E187" s="1" t="n">
        <v>46266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46031</v>
      </c>
      <c r="E188" s="1" t="n">
        <v>46266</v>
      </c>
      <c r="F188" t="inlineStr">
        <is>
          <t>DALARNAS LÄN</t>
        </is>
      </c>
      <c r="G188" t="inlineStr">
        <is>
          <t>SÄTER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46266</v>
      </c>
      <c r="F189" t="inlineStr">
        <is>
          <t>DALARNAS LÄN</t>
        </is>
      </c>
      <c r="G189" t="inlineStr">
        <is>
          <t>SÄTER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46266</v>
      </c>
      <c r="F190" t="inlineStr">
        <is>
          <t>DALARNAS LÄN</t>
        </is>
      </c>
      <c r="G190" t="inlineStr">
        <is>
          <t>SÄTER</t>
        </is>
      </c>
      <c r="H190" t="inlineStr">
        <is>
          <t>Kommuner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54440-2022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46266</v>
      </c>
      <c r="F191" t="inlineStr">
        <is>
          <t>DALARNAS LÄN</t>
        </is>
      </c>
      <c r="G191" t="inlineStr">
        <is>
          <t>SÄTER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45236</v>
      </c>
      <c r="E192" s="1" t="n">
        <v>46266</v>
      </c>
      <c r="F192" t="inlineStr">
        <is>
          <t>DALARNAS LÄN</t>
        </is>
      </c>
      <c r="G192" t="inlineStr">
        <is>
          <t>SÄTER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46034</v>
      </c>
      <c r="E193" s="1" t="n">
        <v>46266</v>
      </c>
      <c r="F193" t="inlineStr">
        <is>
          <t>DALARNAS LÄN</t>
        </is>
      </c>
      <c r="G193" t="inlineStr">
        <is>
          <t>SÄTER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46266</v>
      </c>
      <c r="F194" t="inlineStr">
        <is>
          <t>DALARNAS LÄN</t>
        </is>
      </c>
      <c r="G194" t="inlineStr">
        <is>
          <t>SÄTER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  <c r="Z194">
        <f>HYPERLINK("https://klasma.github.io/Logging_2082/knärot/A 57416-2022 karta knärot.png", "A 57416-2022")</f>
        <v/>
      </c>
      <c r="AA194">
        <f>HYPERLINK("https://klasma.github.io/Logging_2082/klagomål/A 57416-2022 FSC-klagomål.docx", "A 57416-2022")</f>
        <v/>
      </c>
      <c r="AB194">
        <f>HYPERLINK("https://klasma.github.io/Logging_2082/klagomålsmail/A 57416-2022 FSC-klagomål mail.docx", "A 57416-2022")</f>
        <v/>
      </c>
      <c r="AC194">
        <f>HYPERLINK("https://klasma.github.io/Logging_2082/tillsyn/A 57416-2022 tillsynsbegäran.docx", "A 57416-2022")</f>
        <v/>
      </c>
      <c r="AD194">
        <f>HYPERLINK("https://klasma.github.io/Logging_2082/tillsynsmail/A 57416-2022 tillsynsbegäran mail.docx", "A 57416-2022")</f>
        <v/>
      </c>
    </row>
    <row r="195" ht="15" customHeight="1">
      <c r="A195" t="inlineStr">
        <is>
          <t>A 2098-2026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46266</v>
      </c>
      <c r="F195" t="inlineStr">
        <is>
          <t>DALARNAS LÄN</t>
        </is>
      </c>
      <c r="G195" t="inlineStr">
        <is>
          <t>SÄTER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46266</v>
      </c>
      <c r="F196" t="inlineStr">
        <is>
          <t>DALARNAS LÄN</t>
        </is>
      </c>
      <c r="G196" t="inlineStr">
        <is>
          <t>SÄTER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46266</v>
      </c>
      <c r="F197" t="inlineStr">
        <is>
          <t>DALARNAS LÄN</t>
        </is>
      </c>
      <c r="G197" t="inlineStr">
        <is>
          <t>SÄTER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46266</v>
      </c>
      <c r="F198" t="inlineStr">
        <is>
          <t>DALARNAS LÄN</t>
        </is>
      </c>
      <c r="G198" t="inlineStr">
        <is>
          <t>SÄTER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46037</v>
      </c>
      <c r="E199" s="1" t="n">
        <v>46266</v>
      </c>
      <c r="F199" t="inlineStr">
        <is>
          <t>DALARNAS LÄN</t>
        </is>
      </c>
      <c r="G199" t="inlineStr">
        <is>
          <t>SÄTER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46266</v>
      </c>
      <c r="F200" t="inlineStr">
        <is>
          <t>DALARNAS LÄN</t>
        </is>
      </c>
      <c r="G200" t="inlineStr">
        <is>
          <t>SÄTER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46266</v>
      </c>
      <c r="F201" t="inlineStr">
        <is>
          <t>DALARNAS LÄN</t>
        </is>
      </c>
      <c r="G201" t="inlineStr">
        <is>
          <t>SÄTER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46045</v>
      </c>
      <c r="E202" s="1" t="n">
        <v>46266</v>
      </c>
      <c r="F202" t="inlineStr">
        <is>
          <t>DALARNAS LÄN</t>
        </is>
      </c>
      <c r="G202" t="inlineStr">
        <is>
          <t>SÄTER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46051</v>
      </c>
      <c r="E203" s="1" t="n">
        <v>46266</v>
      </c>
      <c r="F203" t="inlineStr">
        <is>
          <t>DALARNAS LÄN</t>
        </is>
      </c>
      <c r="G203" t="inlineStr">
        <is>
          <t>SÄTER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21859-2022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44711</v>
      </c>
      <c r="E204" s="1" t="n">
        <v>46266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45006</v>
      </c>
      <c r="E205" s="1" t="n">
        <v>46266</v>
      </c>
      <c r="F205" t="inlineStr">
        <is>
          <t>DALARNAS LÄN</t>
        </is>
      </c>
      <c r="G205" t="inlineStr">
        <is>
          <t>SÄTER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42225-2022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46266</v>
      </c>
      <c r="F206" t="inlineStr">
        <is>
          <t>DALARNAS LÄN</t>
        </is>
      </c>
      <c r="G206" t="inlineStr">
        <is>
          <t>SÄTER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46266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46266</v>
      </c>
      <c r="F208" t="inlineStr">
        <is>
          <t>DALARNAS LÄN</t>
        </is>
      </c>
      <c r="G208" t="inlineStr">
        <is>
          <t>SÄTER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46266</v>
      </c>
      <c r="F209" t="inlineStr">
        <is>
          <t>DALARNAS LÄN</t>
        </is>
      </c>
      <c r="G209" t="inlineStr">
        <is>
          <t>SÄTER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46266</v>
      </c>
      <c r="F210" t="inlineStr">
        <is>
          <t>DALARNAS LÄN</t>
        </is>
      </c>
      <c r="G210" t="inlineStr">
        <is>
          <t>SÄTER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8435-2026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46065</v>
      </c>
      <c r="E211" s="1" t="n">
        <v>46266</v>
      </c>
      <c r="F211" t="inlineStr">
        <is>
          <t>DALARNAS LÄN</t>
        </is>
      </c>
      <c r="G211" t="inlineStr">
        <is>
          <t>SÄTER</t>
        </is>
      </c>
      <c r="I211" t="n">
        <v>9.9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8355-2026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46064</v>
      </c>
      <c r="E212" s="1" t="n">
        <v>46266</v>
      </c>
      <c r="F212" t="inlineStr">
        <is>
          <t>DALARNAS LÄN</t>
        </is>
      </c>
      <c r="G212" t="inlineStr">
        <is>
          <t>SÄTER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44869</v>
      </c>
      <c r="E213" s="1" t="n">
        <v>46266</v>
      </c>
      <c r="F213" t="inlineStr">
        <is>
          <t>DALARNAS LÄN</t>
        </is>
      </c>
      <c r="G213" t="inlineStr">
        <is>
          <t>SÄTER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46266</v>
      </c>
      <c r="F214" t="inlineStr">
        <is>
          <t>DALARNAS LÄN</t>
        </is>
      </c>
      <c r="G214" t="inlineStr">
        <is>
          <t>SÄTER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45321</v>
      </c>
      <c r="E215" s="1" t="n">
        <v>46266</v>
      </c>
      <c r="F215" t="inlineStr">
        <is>
          <t>DALARNAS LÄN</t>
        </is>
      </c>
      <c r="G215" t="inlineStr">
        <is>
          <t>SÄTER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46266</v>
      </c>
      <c r="F216" t="inlineStr">
        <is>
          <t>DALARNAS LÄN</t>
        </is>
      </c>
      <c r="G216" t="inlineStr">
        <is>
          <t>SÄTER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41643-2023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46266</v>
      </c>
      <c r="F217" t="inlineStr">
        <is>
          <t>DALARNAS LÄN</t>
        </is>
      </c>
      <c r="G217" t="inlineStr">
        <is>
          <t>SÄTER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10173-2026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46076</v>
      </c>
      <c r="E218" s="1" t="n">
        <v>46266</v>
      </c>
      <c r="F218" t="inlineStr">
        <is>
          <t>DALARNAS LÄN</t>
        </is>
      </c>
      <c r="G218" t="inlineStr">
        <is>
          <t>SÄTER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46076</v>
      </c>
      <c r="E219" s="1" t="n">
        <v>46266</v>
      </c>
      <c r="F219" t="inlineStr">
        <is>
          <t>DALARNAS LÄN</t>
        </is>
      </c>
      <c r="G219" t="inlineStr">
        <is>
          <t>SÄTER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51320-2024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45604</v>
      </c>
      <c r="E220" s="1" t="n">
        <v>46266</v>
      </c>
      <c r="F220" t="inlineStr">
        <is>
          <t>DALARNAS LÄN</t>
        </is>
      </c>
      <c r="G220" t="inlineStr">
        <is>
          <t>SÄTER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51324-2024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45604</v>
      </c>
      <c r="E221" s="1" t="n">
        <v>46266</v>
      </c>
      <c r="F221" t="inlineStr">
        <is>
          <t>DALARNAS LÄN</t>
        </is>
      </c>
      <c r="G221" t="inlineStr">
        <is>
          <t>SÄTER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10146-2026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46266</v>
      </c>
      <c r="F222" t="inlineStr">
        <is>
          <t>DALARNAS LÄN</t>
        </is>
      </c>
      <c r="G222" t="inlineStr">
        <is>
          <t>SÄTER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45484</v>
      </c>
      <c r="E223" s="1" t="n">
        <v>46266</v>
      </c>
      <c r="F223" t="inlineStr">
        <is>
          <t>DALARNAS LÄN</t>
        </is>
      </c>
      <c r="G223" t="inlineStr">
        <is>
          <t>SÄTER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46266</v>
      </c>
      <c r="F224" t="inlineStr">
        <is>
          <t>DALARNAS LÄN</t>
        </is>
      </c>
      <c r="G224" t="inlineStr">
        <is>
          <t>SÄTER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46083</v>
      </c>
      <c r="E225" s="1" t="n">
        <v>46266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45638</v>
      </c>
      <c r="E226" s="1" t="n">
        <v>46266</v>
      </c>
      <c r="F226" t="inlineStr">
        <is>
          <t>DALARNAS LÄN</t>
        </is>
      </c>
      <c r="G226" t="inlineStr">
        <is>
          <t>SÄTER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51323-2024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45604</v>
      </c>
      <c r="E227" s="1" t="n">
        <v>46266</v>
      </c>
      <c r="F227" t="inlineStr">
        <is>
          <t>DALARNAS LÄN</t>
        </is>
      </c>
      <c r="G227" t="inlineStr">
        <is>
          <t>SÄTER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46266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34991-2024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45527</v>
      </c>
      <c r="E229" s="1" t="n">
        <v>46266</v>
      </c>
      <c r="F229" t="inlineStr">
        <is>
          <t>DALARNAS LÄN</t>
        </is>
      </c>
      <c r="G229" t="inlineStr">
        <is>
          <t>SÄTER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45604</v>
      </c>
      <c r="E230" s="1" t="n">
        <v>46266</v>
      </c>
      <c r="F230" t="inlineStr">
        <is>
          <t>DALARNAS LÄN</t>
        </is>
      </c>
      <c r="G230" t="inlineStr">
        <is>
          <t>SÄTER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46087</v>
      </c>
      <c r="E231" s="1" t="n">
        <v>46266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46266</v>
      </c>
      <c r="F232" t="inlineStr">
        <is>
          <t>DALARNAS LÄN</t>
        </is>
      </c>
      <c r="G232" t="inlineStr">
        <is>
          <t>SÄTER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46266</v>
      </c>
      <c r="F233" t="inlineStr">
        <is>
          <t>DALARNAS LÄN</t>
        </is>
      </c>
      <c r="G233" t="inlineStr">
        <is>
          <t>SÄTER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46266</v>
      </c>
      <c r="F234" t="inlineStr">
        <is>
          <t>DALARNAS LÄN</t>
        </is>
      </c>
      <c r="G234" t="inlineStr">
        <is>
          <t>SÄTER</t>
        </is>
      </c>
      <c r="I234" t="n">
        <v>9.800000000000001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46266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46266</v>
      </c>
      <c r="F236" t="inlineStr">
        <is>
          <t>DALARNAS LÄN</t>
        </is>
      </c>
      <c r="G236" t="inlineStr">
        <is>
          <t>SÄTER</t>
        </is>
      </c>
      <c r="H236" t="inlineStr">
        <is>
          <t>Kommuner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46093</v>
      </c>
      <c r="E237" s="1" t="n">
        <v>46266</v>
      </c>
      <c r="F237" t="inlineStr">
        <is>
          <t>DALARNAS LÄN</t>
        </is>
      </c>
      <c r="G237" t="inlineStr">
        <is>
          <t>SÄTER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46266</v>
      </c>
      <c r="F238" t="inlineStr">
        <is>
          <t>DALARNAS LÄN</t>
        </is>
      </c>
      <c r="G238" t="inlineStr">
        <is>
          <t>SÄTER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46266</v>
      </c>
      <c r="F239" t="inlineStr">
        <is>
          <t>DALARNAS LÄN</t>
        </is>
      </c>
      <c r="G239" t="inlineStr">
        <is>
          <t>SÄTER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46266</v>
      </c>
      <c r="F240" t="inlineStr">
        <is>
          <t>DALARNAS LÄN</t>
        </is>
      </c>
      <c r="G240" t="inlineStr">
        <is>
          <t>SÄTER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46098</v>
      </c>
      <c r="E241" s="1" t="n">
        <v>46266</v>
      </c>
      <c r="F241" t="inlineStr">
        <is>
          <t>DALARNAS LÄN</t>
        </is>
      </c>
      <c r="G241" t="inlineStr">
        <is>
          <t>SÄTER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46266</v>
      </c>
      <c r="F242" t="inlineStr">
        <is>
          <t>DALARNAS LÄN</t>
        </is>
      </c>
      <c r="G242" t="inlineStr">
        <is>
          <t>SÄTER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46266</v>
      </c>
      <c r="F243" t="inlineStr">
        <is>
          <t>DALARNAS LÄN</t>
        </is>
      </c>
      <c r="G243" t="inlineStr">
        <is>
          <t>SÄTER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62533-2023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46266</v>
      </c>
      <c r="F244" t="inlineStr">
        <is>
          <t>DALARNAS LÄN</t>
        </is>
      </c>
      <c r="G244" t="inlineStr">
        <is>
          <t>SÄTER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45330</v>
      </c>
      <c r="E245" s="1" t="n">
        <v>46266</v>
      </c>
      <c r="F245" t="inlineStr">
        <is>
          <t>DALARNAS LÄN</t>
        </is>
      </c>
      <c r="G245" t="inlineStr">
        <is>
          <t>SÄTER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46266</v>
      </c>
      <c r="F246" t="inlineStr">
        <is>
          <t>DALARNAS LÄN</t>
        </is>
      </c>
      <c r="G246" t="inlineStr">
        <is>
          <t>SÄTER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46266</v>
      </c>
      <c r="F247" t="inlineStr">
        <is>
          <t>DALARNAS LÄN</t>
        </is>
      </c>
      <c r="G247" t="inlineStr">
        <is>
          <t>SÄTER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45576</v>
      </c>
      <c r="E248" s="1" t="n">
        <v>46266</v>
      </c>
      <c r="F248" t="inlineStr">
        <is>
          <t>DALARNAS LÄN</t>
        </is>
      </c>
      <c r="G248" t="inlineStr">
        <is>
          <t>SÄTER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45411</v>
      </c>
      <c r="E249" s="1" t="n">
        <v>46266</v>
      </c>
      <c r="F249" t="inlineStr">
        <is>
          <t>DALARNAS LÄN</t>
        </is>
      </c>
      <c r="G249" t="inlineStr">
        <is>
          <t>SÄTER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46266</v>
      </c>
      <c r="F250" t="inlineStr">
        <is>
          <t>DALARNAS LÄN</t>
        </is>
      </c>
      <c r="G250" t="inlineStr">
        <is>
          <t>SÄTER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45398</v>
      </c>
      <c r="E251" s="1" t="n">
        <v>46266</v>
      </c>
      <c r="F251" t="inlineStr">
        <is>
          <t>DALARNAS LÄN</t>
        </is>
      </c>
      <c r="G251" t="inlineStr">
        <is>
          <t>SÄTER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7188-2023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44965</v>
      </c>
      <c r="E252" s="1" t="n">
        <v>46266</v>
      </c>
      <c r="F252" t="inlineStr">
        <is>
          <t>DALARNAS LÄN</t>
        </is>
      </c>
      <c r="G252" t="inlineStr">
        <is>
          <t>SÄTER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46266</v>
      </c>
      <c r="F253" t="inlineStr">
        <is>
          <t>DALARNAS LÄN</t>
        </is>
      </c>
      <c r="G253" t="inlineStr">
        <is>
          <t>SÄTER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45526</v>
      </c>
      <c r="E254" s="1" t="n">
        <v>46266</v>
      </c>
      <c r="F254" t="inlineStr">
        <is>
          <t>DALARNAS LÄN</t>
        </is>
      </c>
      <c r="G254" t="inlineStr">
        <is>
          <t>SÄTER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46266</v>
      </c>
      <c r="F255" t="inlineStr">
        <is>
          <t>DALARNAS LÄN</t>
        </is>
      </c>
      <c r="G255" t="inlineStr">
        <is>
          <t>SÄTER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46266</v>
      </c>
      <c r="F256" t="inlineStr">
        <is>
          <t>DALARNAS LÄN</t>
        </is>
      </c>
      <c r="G256" t="inlineStr">
        <is>
          <t>SÄTER</t>
        </is>
      </c>
      <c r="H256" t="inlineStr">
        <is>
          <t>Kommuner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46266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46266</v>
      </c>
      <c r="F258" t="inlineStr">
        <is>
          <t>DALARNAS LÄN</t>
        </is>
      </c>
      <c r="G258" t="inlineStr">
        <is>
          <t>SÄTER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45427</v>
      </c>
      <c r="E259" s="1" t="n">
        <v>46266</v>
      </c>
      <c r="F259" t="inlineStr">
        <is>
          <t>DALARNAS LÄN</t>
        </is>
      </c>
      <c r="G259" t="inlineStr">
        <is>
          <t>SÄTER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46266</v>
      </c>
      <c r="F260" t="inlineStr">
        <is>
          <t>DALARNAS LÄN</t>
        </is>
      </c>
      <c r="G260" t="inlineStr">
        <is>
          <t>SÄTER</t>
        </is>
      </c>
      <c r="H260" t="inlineStr">
        <is>
          <t>Kommuner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46266</v>
      </c>
      <c r="F261" t="inlineStr">
        <is>
          <t>DALARNAS LÄN</t>
        </is>
      </c>
      <c r="G261" t="inlineStr">
        <is>
          <t>SÄTER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46266</v>
      </c>
      <c r="F262" t="inlineStr">
        <is>
          <t>DALARNAS LÄN</t>
        </is>
      </c>
      <c r="G262" t="inlineStr">
        <is>
          <t>SÄTER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46266</v>
      </c>
      <c r="F263" t="inlineStr">
        <is>
          <t>DALARNAS LÄN</t>
        </is>
      </c>
      <c r="G263" t="inlineStr">
        <is>
          <t>SÄTER</t>
        </is>
      </c>
      <c r="I263" t="n">
        <v>9.1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46266</v>
      </c>
      <c r="F264" t="inlineStr">
        <is>
          <t>DALARNAS LÄN</t>
        </is>
      </c>
      <c r="G264" t="inlineStr">
        <is>
          <t>SÄTER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46266</v>
      </c>
      <c r="F265" t="inlineStr">
        <is>
          <t>DALARNAS LÄN</t>
        </is>
      </c>
      <c r="G265" t="inlineStr">
        <is>
          <t>SÄTER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52193-2021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44463</v>
      </c>
      <c r="E266" s="1" t="n">
        <v>46266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46266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45455</v>
      </c>
      <c r="E268" s="1" t="n">
        <v>46266</v>
      </c>
      <c r="F268" t="inlineStr">
        <is>
          <t>DALARNAS LÄN</t>
        </is>
      </c>
      <c r="G268" t="inlineStr">
        <is>
          <t>SÄTER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44724-2024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46266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52220-2021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44462</v>
      </c>
      <c r="E270" s="1" t="n">
        <v>46266</v>
      </c>
      <c r="F270" t="inlineStr">
        <is>
          <t>DALARNAS LÄN</t>
        </is>
      </c>
      <c r="G270" t="inlineStr">
        <is>
          <t>SÄTER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46266</v>
      </c>
      <c r="F271" t="inlineStr">
        <is>
          <t>DALARNAS LÄN</t>
        </is>
      </c>
      <c r="G271" t="inlineStr">
        <is>
          <t>SÄTER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46266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45432</v>
      </c>
      <c r="E273" s="1" t="n">
        <v>46266</v>
      </c>
      <c r="F273" t="inlineStr">
        <is>
          <t>DALARNAS LÄN</t>
        </is>
      </c>
      <c r="G273" t="inlineStr">
        <is>
          <t>SÄTER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45366</v>
      </c>
      <c r="E274" s="1" t="n">
        <v>46266</v>
      </c>
      <c r="F274" t="inlineStr">
        <is>
          <t>DALARNAS LÄN</t>
        </is>
      </c>
      <c r="G274" t="inlineStr">
        <is>
          <t>SÄTER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46014</v>
      </c>
      <c r="E275" s="1" t="n">
        <v>46266</v>
      </c>
      <c r="F275" t="inlineStr">
        <is>
          <t>DALARNAS LÄN</t>
        </is>
      </c>
      <c r="G275" t="inlineStr">
        <is>
          <t>SÄTER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46266</v>
      </c>
      <c r="F276" t="inlineStr">
        <is>
          <t>DALARNAS LÄN</t>
        </is>
      </c>
      <c r="G276" t="inlineStr">
        <is>
          <t>SÄTER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44691</v>
      </c>
      <c r="E277" s="1" t="n">
        <v>46266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46043</v>
      </c>
      <c r="E278" s="1" t="n">
        <v>46266</v>
      </c>
      <c r="F278" t="inlineStr">
        <is>
          <t>DALARNAS LÄN</t>
        </is>
      </c>
      <c r="G278" t="inlineStr">
        <is>
          <t>SÄTER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43125-2024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45567</v>
      </c>
      <c r="E279" s="1" t="n">
        <v>46266</v>
      </c>
      <c r="F279" t="inlineStr">
        <is>
          <t>DALARNAS LÄN</t>
        </is>
      </c>
      <c r="G279" t="inlineStr">
        <is>
          <t>SÄTER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46266</v>
      </c>
      <c r="F280" t="inlineStr">
        <is>
          <t>DALARNAS LÄN</t>
        </is>
      </c>
      <c r="G280" t="inlineStr">
        <is>
          <t>SÄTER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46266</v>
      </c>
      <c r="F281" t="inlineStr">
        <is>
          <t>DALARNAS LÄN</t>
        </is>
      </c>
      <c r="G281" t="inlineStr">
        <is>
          <t>SÄTER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45561</v>
      </c>
      <c r="E282" s="1" t="n">
        <v>46266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45005</v>
      </c>
      <c r="E283" s="1" t="n">
        <v>46266</v>
      </c>
      <c r="F283" t="inlineStr">
        <is>
          <t>DALARNAS LÄN</t>
        </is>
      </c>
      <c r="G283" t="inlineStr">
        <is>
          <t>SÄTER</t>
        </is>
      </c>
      <c r="I283" t="n">
        <v>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41951-2024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46266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10.8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10101-2026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46073</v>
      </c>
      <c r="E285" s="1" t="n">
        <v>46266</v>
      </c>
      <c r="F285" t="inlineStr">
        <is>
          <t>DALARNAS LÄN</t>
        </is>
      </c>
      <c r="G285" t="inlineStr">
        <is>
          <t>SÄTER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69744-2021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44532</v>
      </c>
      <c r="E286" s="1" t="n">
        <v>46266</v>
      </c>
      <c r="F286" t="inlineStr">
        <is>
          <t>DALARNAS LÄN</t>
        </is>
      </c>
      <c r="G286" t="inlineStr">
        <is>
          <t>SÄTER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46266</v>
      </c>
      <c r="F287" t="inlineStr">
        <is>
          <t>DALARNAS LÄN</t>
        </is>
      </c>
      <c r="G287" t="inlineStr">
        <is>
          <t>SÄTER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46266</v>
      </c>
      <c r="F288" t="inlineStr">
        <is>
          <t>DALARNAS LÄN</t>
        </is>
      </c>
      <c r="G288" t="inlineStr">
        <is>
          <t>SÄTER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46140</v>
      </c>
      <c r="E289" s="1" t="n">
        <v>46266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46098</v>
      </c>
      <c r="E290" s="1" t="n">
        <v>46266</v>
      </c>
      <c r="F290" t="inlineStr">
        <is>
          <t>DALARNAS LÄN</t>
        </is>
      </c>
      <c r="G290" t="inlineStr">
        <is>
          <t>SÄTER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45665</v>
      </c>
      <c r="E291" s="1" t="n">
        <v>46266</v>
      </c>
      <c r="F291" t="inlineStr">
        <is>
          <t>DALARNAS LÄN</t>
        </is>
      </c>
      <c r="G291" t="inlineStr">
        <is>
          <t>SÄTER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46084</v>
      </c>
      <c r="E292" s="1" t="n">
        <v>46266</v>
      </c>
      <c r="F292" t="inlineStr">
        <is>
          <t>DALARNAS LÄN</t>
        </is>
      </c>
      <c r="G292" t="inlineStr">
        <is>
          <t>SÄTER</t>
        </is>
      </c>
      <c r="H292" t="inlineStr">
        <is>
          <t>Kommuner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44595</v>
      </c>
      <c r="E293" s="1" t="n">
        <v>46266</v>
      </c>
      <c r="F293" t="inlineStr">
        <is>
          <t>DALARNAS LÄN</t>
        </is>
      </c>
      <c r="G293" t="inlineStr">
        <is>
          <t>SÄTER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46266</v>
      </c>
      <c r="F294" t="inlineStr">
        <is>
          <t>DALARNAS LÄN</t>
        </is>
      </c>
      <c r="G294" t="inlineStr">
        <is>
          <t>SÄTER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45644</v>
      </c>
      <c r="E295" s="1" t="n">
        <v>46266</v>
      </c>
      <c r="F295" t="inlineStr">
        <is>
          <t>DALARNAS LÄN</t>
        </is>
      </c>
      <c r="G295" t="inlineStr">
        <is>
          <t>SÄTER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46266</v>
      </c>
      <c r="F296" t="inlineStr">
        <is>
          <t>DALARNAS LÄN</t>
        </is>
      </c>
      <c r="G296" t="inlineStr">
        <is>
          <t>SÄTER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43610-2025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46266</v>
      </c>
      <c r="F297" t="inlineStr">
        <is>
          <t>DALARNAS LÄN</t>
        </is>
      </c>
      <c r="G297" t="inlineStr">
        <is>
          <t>SÄTER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59445-2024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45638</v>
      </c>
      <c r="E298" s="1" t="n">
        <v>46266</v>
      </c>
      <c r="F298" t="inlineStr">
        <is>
          <t>DALARNAS LÄN</t>
        </is>
      </c>
      <c r="G298" t="inlineStr">
        <is>
          <t>SÄTER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46266</v>
      </c>
      <c r="F299" t="inlineStr">
        <is>
          <t>DALARNAS LÄN</t>
        </is>
      </c>
      <c r="G299" t="inlineStr">
        <is>
          <t>SÄTER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46069</v>
      </c>
      <c r="E300" s="1" t="n">
        <v>46266</v>
      </c>
      <c r="F300" t="inlineStr">
        <is>
          <t>DALARNAS LÄN</t>
        </is>
      </c>
      <c r="G300" t="inlineStr">
        <is>
          <t>SÄTER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46266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46051</v>
      </c>
      <c r="E302" s="1" t="n">
        <v>46266</v>
      </c>
      <c r="F302" t="inlineStr">
        <is>
          <t>DALARNAS LÄN</t>
        </is>
      </c>
      <c r="G302" t="inlineStr">
        <is>
          <t>SÄTER</t>
        </is>
      </c>
      <c r="H302" t="inlineStr">
        <is>
          <t>Kommuner</t>
        </is>
      </c>
      <c r="I302" t="n">
        <v>42.6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45163</v>
      </c>
      <c r="E303" s="1" t="n">
        <v>46266</v>
      </c>
      <c r="F303" t="inlineStr">
        <is>
          <t>DALARNAS LÄN</t>
        </is>
      </c>
      <c r="G303" t="inlineStr">
        <is>
          <t>SÄTER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46266</v>
      </c>
      <c r="F304" t="inlineStr">
        <is>
          <t>DALARNAS LÄN</t>
        </is>
      </c>
      <c r="G304" t="inlineStr">
        <is>
          <t>SÄTER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39487-2022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44817</v>
      </c>
      <c r="E305" s="1" t="n">
        <v>46266</v>
      </c>
      <c r="F305" t="inlineStr">
        <is>
          <t>DALARNAS LÄN</t>
        </is>
      </c>
      <c r="G305" t="inlineStr">
        <is>
          <t>SÄTER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46266</v>
      </c>
      <c r="F306" t="inlineStr">
        <is>
          <t>DALARNAS LÄN</t>
        </is>
      </c>
      <c r="G306" t="inlineStr">
        <is>
          <t>SÄTER</t>
        </is>
      </c>
      <c r="H306" t="inlineStr">
        <is>
          <t>Kommuner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46266</v>
      </c>
      <c r="F307" t="inlineStr">
        <is>
          <t>DALARNAS LÄN</t>
        </is>
      </c>
      <c r="G307" t="inlineStr">
        <is>
          <t>SÄTER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46266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38521-2024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45546</v>
      </c>
      <c r="E309" s="1" t="n">
        <v>46266</v>
      </c>
      <c r="F309" t="inlineStr">
        <is>
          <t>DALARNAS LÄN</t>
        </is>
      </c>
      <c r="G309" t="inlineStr">
        <is>
          <t>SÄTER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46266</v>
      </c>
      <c r="F310" t="inlineStr">
        <is>
          <t>DALARNAS LÄN</t>
        </is>
      </c>
      <c r="G310" t="inlineStr">
        <is>
          <t>SÄTER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22261-2026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46154</v>
      </c>
      <c r="E311" s="1" t="n">
        <v>46266</v>
      </c>
      <c r="F311" t="inlineStr">
        <is>
          <t>DALARNAS LÄN</t>
        </is>
      </c>
      <c r="G311" t="inlineStr">
        <is>
          <t>SÄTER</t>
        </is>
      </c>
      <c r="I311" t="n">
        <v>9.6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46266</v>
      </c>
      <c r="F312" t="inlineStr">
        <is>
          <t>DALARNAS LÄN</t>
        </is>
      </c>
      <c r="G312" t="inlineStr">
        <is>
          <t>SÄTER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46266</v>
      </c>
      <c r="F313" t="inlineStr">
        <is>
          <t>DALARNAS LÄN</t>
        </is>
      </c>
      <c r="G313" t="inlineStr">
        <is>
          <t>SÄTER</t>
        </is>
      </c>
      <c r="H313" t="inlineStr">
        <is>
          <t>Bergvik skog väst AB</t>
        </is>
      </c>
      <c r="I313" t="n">
        <v>9.5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44784</v>
      </c>
      <c r="E314" s="1" t="n">
        <v>46266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12265-2026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46266</v>
      </c>
      <c r="F315" t="inlineStr">
        <is>
          <t>DALARNAS LÄN</t>
        </is>
      </c>
      <c r="G315" t="inlineStr">
        <is>
          <t>SÄTER</t>
        </is>
      </c>
      <c r="H315" t="inlineStr">
        <is>
          <t>Kommuner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45247</v>
      </c>
      <c r="E316" s="1" t="n">
        <v>46266</v>
      </c>
      <c r="F316" t="inlineStr">
        <is>
          <t>DALARNAS LÄN</t>
        </is>
      </c>
      <c r="G316" t="inlineStr">
        <is>
          <t>SÄTER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46266</v>
      </c>
      <c r="F317" t="inlineStr">
        <is>
          <t>DALARNAS LÄN</t>
        </is>
      </c>
      <c r="G317" t="inlineStr">
        <is>
          <t>SÄTER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46266</v>
      </c>
      <c r="F318" t="inlineStr">
        <is>
          <t>DALARNAS LÄN</t>
        </is>
      </c>
      <c r="G318" t="inlineStr">
        <is>
          <t>SÄTER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46266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23736-2026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46266</v>
      </c>
      <c r="F320" t="inlineStr">
        <is>
          <t>DALARNAS LÄN</t>
        </is>
      </c>
      <c r="G320" t="inlineStr">
        <is>
          <t>SÄTER</t>
        </is>
      </c>
      <c r="H320" t="inlineStr">
        <is>
          <t>Bergvik skog väst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23736-2026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46266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23737-2026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46266</v>
      </c>
      <c r="F322" t="inlineStr">
        <is>
          <t>DALARNAS LÄN</t>
        </is>
      </c>
      <c r="G322" t="inlineStr">
        <is>
          <t>SÄTER</t>
        </is>
      </c>
      <c r="H322" t="inlineStr">
        <is>
          <t>Bergvik skog väst AB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46164</v>
      </c>
      <c r="E323" s="1" t="n">
        <v>46266</v>
      </c>
      <c r="F323" t="inlineStr">
        <is>
          <t>DALARNAS LÄN</t>
        </is>
      </c>
      <c r="G323" t="inlineStr">
        <is>
          <t>SÄTER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46266</v>
      </c>
      <c r="F324" t="inlineStr">
        <is>
          <t>DALARNAS LÄN</t>
        </is>
      </c>
      <c r="G324" t="inlineStr">
        <is>
          <t>SÄTER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44992</v>
      </c>
      <c r="E325" s="1" t="n">
        <v>46266</v>
      </c>
      <c r="F325" t="inlineStr">
        <is>
          <t>DALARNAS LÄN</t>
        </is>
      </c>
      <c r="G325" t="inlineStr">
        <is>
          <t>SÄTER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51333-2024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45604</v>
      </c>
      <c r="E326" s="1" t="n">
        <v>46266</v>
      </c>
      <c r="F326" t="inlineStr">
        <is>
          <t>DALARNAS LÄN</t>
        </is>
      </c>
      <c r="G326" t="inlineStr">
        <is>
          <t>SÄTER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46266</v>
      </c>
      <c r="F327" t="inlineStr">
        <is>
          <t>DALARNAS LÄN</t>
        </is>
      </c>
      <c r="G327" t="inlineStr">
        <is>
          <t>SÄTER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32892-2022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44784</v>
      </c>
      <c r="E328" s="1" t="n">
        <v>46266</v>
      </c>
      <c r="F328" t="inlineStr">
        <is>
          <t>DALARNAS LÄN</t>
        </is>
      </c>
      <c r="G328" t="inlineStr">
        <is>
          <t>SÄTER</t>
        </is>
      </c>
      <c r="I328" t="n">
        <v>6.8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45140</v>
      </c>
      <c r="E329" s="1" t="n">
        <v>46266</v>
      </c>
      <c r="F329" t="inlineStr">
        <is>
          <t>DALARNAS LÄN</t>
        </is>
      </c>
      <c r="G329" t="inlineStr">
        <is>
          <t>SÄTER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52161-2025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46266</v>
      </c>
      <c r="F330" t="inlineStr">
        <is>
          <t>DALARNAS LÄN</t>
        </is>
      </c>
      <c r="G330" t="inlineStr">
        <is>
          <t>SÄTER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63377-2025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46266</v>
      </c>
      <c r="F331" t="inlineStr">
        <is>
          <t>DALARNAS LÄN</t>
        </is>
      </c>
      <c r="G331" t="inlineStr">
        <is>
          <t>SÄTER</t>
        </is>
      </c>
      <c r="H331" t="inlineStr">
        <is>
          <t>Övriga statliga verk och myndigheter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46266</v>
      </c>
      <c r="F332" t="inlineStr">
        <is>
          <t>DALARNAS LÄN</t>
        </is>
      </c>
      <c r="G332" t="inlineStr">
        <is>
          <t>SÄTER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23262-2024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45453</v>
      </c>
      <c r="E333" s="1" t="n">
        <v>46266</v>
      </c>
      <c r="F333" t="inlineStr">
        <is>
          <t>DALARNAS LÄN</t>
        </is>
      </c>
      <c r="G333" t="inlineStr">
        <is>
          <t>SÄTER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37923-2022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44811</v>
      </c>
      <c r="E334" s="1" t="n">
        <v>46266</v>
      </c>
      <c r="F334" t="inlineStr">
        <is>
          <t>DALARNAS LÄN</t>
        </is>
      </c>
      <c r="G334" t="inlineStr">
        <is>
          <t>SÄTER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45411</v>
      </c>
      <c r="E335" s="1" t="n">
        <v>46266</v>
      </c>
      <c r="F335" t="inlineStr">
        <is>
          <t>DALARNAS LÄN</t>
        </is>
      </c>
      <c r="G335" t="inlineStr">
        <is>
          <t>SÄTER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46266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45442</v>
      </c>
      <c r="E337" s="1" t="n">
        <v>46266</v>
      </c>
      <c r="F337" t="inlineStr">
        <is>
          <t>DALARNAS LÄN</t>
        </is>
      </c>
      <c r="G337" t="inlineStr">
        <is>
          <t>SÄTER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12957-2022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44643</v>
      </c>
      <c r="E338" s="1" t="n">
        <v>46266</v>
      </c>
      <c r="F338" t="inlineStr">
        <is>
          <t>DALARNAS LÄN</t>
        </is>
      </c>
      <c r="G338" t="inlineStr">
        <is>
          <t>SÄTER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45628</v>
      </c>
      <c r="E339" s="1" t="n">
        <v>46266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45232</v>
      </c>
      <c r="E340" s="1" t="n">
        <v>46266</v>
      </c>
      <c r="F340" t="inlineStr">
        <is>
          <t>DALARNAS LÄN</t>
        </is>
      </c>
      <c r="G340" t="inlineStr">
        <is>
          <t>SÄTER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44953</v>
      </c>
      <c r="E341" s="1" t="n">
        <v>46266</v>
      </c>
      <c r="F341" t="inlineStr">
        <is>
          <t>DALARNAS LÄN</t>
        </is>
      </c>
      <c r="G341" t="inlineStr">
        <is>
          <t>SÄTER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46266</v>
      </c>
      <c r="F342" t="inlineStr">
        <is>
          <t>DALARNAS LÄN</t>
        </is>
      </c>
      <c r="G342" t="inlineStr">
        <is>
          <t>SÄTER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46266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33872-2024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45520</v>
      </c>
      <c r="E344" s="1" t="n">
        <v>46266</v>
      </c>
      <c r="F344" t="inlineStr">
        <is>
          <t>DALARNAS LÄN</t>
        </is>
      </c>
      <c r="G344" t="inlineStr">
        <is>
          <t>SÄTER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42998-2023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45182</v>
      </c>
      <c r="E345" s="1" t="n">
        <v>46266</v>
      </c>
      <c r="F345" t="inlineStr">
        <is>
          <t>DALARNAS LÄN</t>
        </is>
      </c>
      <c r="G345" t="inlineStr">
        <is>
          <t>SÄTER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45604</v>
      </c>
      <c r="E346" s="1" t="n">
        <v>46266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46191</v>
      </c>
      <c r="E347" s="1" t="n">
        <v>46266</v>
      </c>
      <c r="F347" t="inlineStr">
        <is>
          <t>DALARNAS LÄN</t>
        </is>
      </c>
      <c r="G347" t="inlineStr">
        <is>
          <t>SÄTER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46266</v>
      </c>
      <c r="F348" t="inlineStr">
        <is>
          <t>DALARNAS LÄN</t>
        </is>
      </c>
      <c r="G348" t="inlineStr">
        <is>
          <t>SÄTER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46234</v>
      </c>
      <c r="E349" s="1" t="n">
        <v>46266</v>
      </c>
      <c r="F349" t="inlineStr">
        <is>
          <t>DALARNAS LÄN</t>
        </is>
      </c>
      <c r="G349" t="inlineStr">
        <is>
          <t>SÄTER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46266</v>
      </c>
      <c r="F350" t="inlineStr">
        <is>
          <t>DALARNAS LÄN</t>
        </is>
      </c>
      <c r="G350" t="inlineStr">
        <is>
          <t>SÄTER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44809</v>
      </c>
      <c r="E351" s="1" t="n">
        <v>46266</v>
      </c>
      <c r="F351" t="inlineStr">
        <is>
          <t>DALARNAS LÄN</t>
        </is>
      </c>
      <c r="G351" t="inlineStr">
        <is>
          <t>SÄTER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46266</v>
      </c>
      <c r="F352" t="inlineStr">
        <is>
          <t>DALARNAS LÄN</t>
        </is>
      </c>
      <c r="G352" t="inlineStr">
        <is>
          <t>SÄTER</t>
        </is>
      </c>
      <c r="H352" t="inlineStr">
        <is>
          <t>Sveaskog</t>
        </is>
      </c>
      <c r="I352" t="n">
        <v>19.8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33473-2022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44788</v>
      </c>
      <c r="E353" s="1" t="n">
        <v>46266</v>
      </c>
      <c r="F353" t="inlineStr">
        <is>
          <t>DALARNAS LÄN</t>
        </is>
      </c>
      <c r="G353" t="inlineStr">
        <is>
          <t>SÄTER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46266</v>
      </c>
      <c r="F354" t="inlineStr">
        <is>
          <t>DALARNAS LÄN</t>
        </is>
      </c>
      <c r="G354" t="inlineStr">
        <is>
          <t>SÄTER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46266</v>
      </c>
      <c r="F355" t="inlineStr">
        <is>
          <t>DALARNAS LÄN</t>
        </is>
      </c>
      <c r="G355" t="inlineStr">
        <is>
          <t>SÄTER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46254</v>
      </c>
      <c r="E356" s="1" t="n">
        <v>46266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46211</v>
      </c>
      <c r="E357" s="1" t="n">
        <v>46266</v>
      </c>
      <c r="F357" t="inlineStr">
        <is>
          <t>DALARNAS LÄN</t>
        </is>
      </c>
      <c r="G357" t="inlineStr">
        <is>
          <t>SÄTER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46266</v>
      </c>
      <c r="F358" t="inlineStr">
        <is>
          <t>DALARNAS LÄN</t>
        </is>
      </c>
      <c r="G358" t="inlineStr">
        <is>
          <t>SÄTER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35564-2026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46262</v>
      </c>
      <c r="E359" s="1" t="n">
        <v>46266</v>
      </c>
      <c r="F359" t="inlineStr">
        <is>
          <t>DALARNAS LÄN</t>
        </is>
      </c>
      <c r="G359" t="inlineStr">
        <is>
          <t>SÄTER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46266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2585-2020</t>
        </is>
      </c>
      <c r="B361" t="inlineStr">
        <is>
          <t>samrådsanmälan</t>
        </is>
      </c>
      <c r="C361" t="n">
        <v/>
      </c>
      <c r="D361" s="1" t="n">
        <v>44155</v>
      </c>
      <c r="E361" s="1" t="n">
        <v>46266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1868-2020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44071</v>
      </c>
      <c r="E362" s="1" t="n">
        <v>46266</v>
      </c>
      <c r="F362" t="inlineStr">
        <is>
          <t>DALARNAS LÄN</t>
        </is>
      </c>
      <c r="G362" t="inlineStr">
        <is>
          <t>SÄTER</t>
        </is>
      </c>
      <c r="I362" t="n">
        <v>29.2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3057-2023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45182</v>
      </c>
      <c r="E363" s="1" t="n">
        <v>46266</v>
      </c>
      <c r="F363" t="inlineStr">
        <is>
          <t>DALARNAS LÄN</t>
        </is>
      </c>
      <c r="G363" t="inlineStr">
        <is>
          <t>SÄTER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405-2022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44585</v>
      </c>
      <c r="E364" s="1" t="n">
        <v>46266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79.09999999999999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1098-2024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45391</v>
      </c>
      <c r="E365" s="1" t="n">
        <v>46266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189.2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705-2025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45720</v>
      </c>
      <c r="E366" s="1" t="n">
        <v>46266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2939-2025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45951</v>
      </c>
      <c r="E367" s="1" t="n">
        <v>46266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2964-2025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45952</v>
      </c>
      <c r="E368" s="1" t="n">
        <v>46266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611-2026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46085</v>
      </c>
      <c r="E369" s="1" t="n">
        <v>46266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44.7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2026-09-01T02:04:45Z</dcterms:created>
  <dcterms:modified xmlns:dcterms="http://purl.org/dc/terms/" xmlns:xsi="http://www.w3.org/2001/XMLSchema-instance" xsi:type="dcterms:W3CDTF">2026-09-01T02:04:46Z</dcterms:modified>
</cp:coreProperties>
</file>