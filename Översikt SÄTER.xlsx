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46277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46277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46277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46277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46277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46277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46277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46277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46277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46277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46277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46277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46277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46277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35916-2022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44802</v>
      </c>
      <c r="E16" s="1" t="n">
        <v>46277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2.6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7</v>
      </c>
      <c r="U16" t="n">
        <v>1</v>
      </c>
      <c r="V16" s="2" t="inlineStr">
        <is>
          <t>Slåttergubbe
Slåtterfibbla
Huggorm</t>
        </is>
      </c>
      <c r="W16">
        <f>HYPERLINK("https://klasma.github.io/Logging_2082/artfynd/A 35916-2022 artfynd.xlsx", "A 35916-2022")</f>
        <v/>
      </c>
      <c r="X16">
        <f>HYPERLINK("https://klasma.github.io/Logging_2082/kartor/A 35916-2022 karta.png", "A 35916-2022")</f>
        <v/>
      </c>
      <c r="Y16">
        <f>HYPERLINK("https://klasma.github.io/Logging_2082/kartor_geotiff/A 35916-2022 georefererad karta.tif", "A 35916-2022")</f>
        <v/>
      </c>
      <c r="AA16">
        <f>HYPERLINK("https://klasma.github.io/Logging_2082/klagomål/A 35916-2022 FSC-klagomål.docx", "A 35916-2022")</f>
        <v/>
      </c>
      <c r="AB16">
        <f>HYPERLINK("https://klasma.github.io/Logging_2082/klagomålsmail/A 35916-2022 FSC-klagomål mail.docx", "A 35916-2022")</f>
        <v/>
      </c>
      <c r="AC16">
        <f>HYPERLINK("https://klasma.github.io/Logging_2082/tillsyn/A 35916-2022 tillsynsbegäran.docx", "A 35916-2022")</f>
        <v/>
      </c>
      <c r="AD16">
        <f>HYPERLINK("https://klasma.github.io/Logging_2082/tillsynsmail/A 35916-2022 tillsynsbegäran mail.docx", "A 35916-2022")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46277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46277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46277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16845-2024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46277</v>
      </c>
      <c r="F20" t="inlineStr">
        <is>
          <t>DALARNAS LÄN</t>
        </is>
      </c>
      <c r="G20" t="inlineStr">
        <is>
          <t>SÄTER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Järpe
Kungsfågel</t>
        </is>
      </c>
      <c r="W20">
        <f>HYPERLINK("https://klasma.github.io/Logging_2082/artfynd/A 16845-2024 artfynd.xlsx", "A 16845-2024")</f>
        <v/>
      </c>
      <c r="X20">
        <f>HYPERLINK("https://klasma.github.io/Logging_2082/kartor/A 16845-2024 karta.png", "A 16845-2024")</f>
        <v/>
      </c>
      <c r="Y20">
        <f>HYPERLINK("https://klasma.github.io/Logging_2082/kartor_geotiff/A 16845-2024 georefererad karta.tif", "A 16845-2024")</f>
        <v/>
      </c>
      <c r="AA20">
        <f>HYPERLINK("https://klasma.github.io/Logging_2082/klagomål/A 16845-2024 FSC-klagomål.docx", "A 16845-2024")</f>
        <v/>
      </c>
      <c r="AB20">
        <f>HYPERLINK("https://klasma.github.io/Logging_2082/klagomålsmail/A 16845-2024 FSC-klagomål mail.docx", "A 16845-2024")</f>
        <v/>
      </c>
      <c r="AC20">
        <f>HYPERLINK("https://klasma.github.io/Logging_2082/tillsyn/A 16845-2024 tillsynsbegäran.docx", "A 16845-2024")</f>
        <v/>
      </c>
      <c r="AD20">
        <f>HYPERLINK("https://klasma.github.io/Logging_2082/tillsynsmail/A 16845-2024 tillsynsbegäran mail.docx", "A 16845-2024")</f>
        <v/>
      </c>
      <c r="AE20">
        <f>HYPERLINK("https://klasma.github.io/Logging_2082/fåglar/A 16845-2024 prioriterade fågelarter.docx", "A 16845-2024")</f>
        <v/>
      </c>
    </row>
    <row r="21" ht="15" customHeight="1">
      <c r="A21" t="inlineStr">
        <is>
          <t>A 570-2024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45299</v>
      </c>
      <c r="E21" s="1" t="n">
        <v>46277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2.8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Motaggsvamp
Svavelriska</t>
        </is>
      </c>
      <c r="W21">
        <f>HYPERLINK("https://klasma.github.io/Logging_2082/artfynd/A 570-2024 artfynd.xlsx", "A 570-2024")</f>
        <v/>
      </c>
      <c r="X21">
        <f>HYPERLINK("https://klasma.github.io/Logging_2082/kartor/A 570-2024 karta.png", "A 570-2024")</f>
        <v/>
      </c>
      <c r="Y21">
        <f>HYPERLINK("https://klasma.github.io/Logging_2082/kartor_geotiff/A 570-2024 georefererad karta.tif", "A 570-2024")</f>
        <v/>
      </c>
      <c r="AA21">
        <f>HYPERLINK("https://klasma.github.io/Logging_2082/klagomål/A 570-2024 FSC-klagomål.docx", "A 570-2024")</f>
        <v/>
      </c>
      <c r="AB21">
        <f>HYPERLINK("https://klasma.github.io/Logging_2082/klagomålsmail/A 570-2024 FSC-klagomål mail.docx", "A 570-2024")</f>
        <v/>
      </c>
      <c r="AC21">
        <f>HYPERLINK("https://klasma.github.io/Logging_2082/tillsyn/A 570-2024 tillsynsbegäran.docx", "A 570-2024")</f>
        <v/>
      </c>
      <c r="AD21">
        <f>HYPERLINK("https://klasma.github.io/Logging_2082/tillsynsmail/A 570-2024 tillsynsbegäran mail.docx", "A 570-2024")</f>
        <v/>
      </c>
    </row>
    <row r="22" ht="15" customHeight="1">
      <c r="A22" t="inlineStr">
        <is>
          <t>A 193-2022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44564</v>
      </c>
      <c r="E22" s="1" t="n">
        <v>46277</v>
      </c>
      <c r="F22" t="inlineStr">
        <is>
          <t>DALARNAS LÄN</t>
        </is>
      </c>
      <c r="G22" t="inlineStr">
        <is>
          <t>SÄTER</t>
        </is>
      </c>
      <c r="I22" t="n">
        <v>1.9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Talltita</t>
        </is>
      </c>
      <c r="W22">
        <f>HYPERLINK("https://klasma.github.io/Logging_2082/artfynd/A 193-2022 artfynd.xlsx", "A 193-2022")</f>
        <v/>
      </c>
      <c r="X22">
        <f>HYPERLINK("https://klasma.github.io/Logging_2082/kartor/A 193-2022 karta.png", "A 193-2022")</f>
        <v/>
      </c>
      <c r="Y22">
        <f>HYPERLINK("https://klasma.github.io/Logging_2082/kartor_geotiff/A 193-2022 georefererad karta.tif", "A 193-2022")</f>
        <v/>
      </c>
      <c r="AA22">
        <f>HYPERLINK("https://klasma.github.io/Logging_2082/klagomål/A 193-2022 FSC-klagomål.docx", "A 193-2022")</f>
        <v/>
      </c>
      <c r="AB22">
        <f>HYPERLINK("https://klasma.github.io/Logging_2082/klagomålsmail/A 193-2022 FSC-klagomål mail.docx", "A 193-2022")</f>
        <v/>
      </c>
      <c r="AC22">
        <f>HYPERLINK("https://klasma.github.io/Logging_2082/tillsyn/A 193-2022 tillsynsbegäran.docx", "A 193-2022")</f>
        <v/>
      </c>
      <c r="AD22">
        <f>HYPERLINK("https://klasma.github.io/Logging_2082/tillsynsmail/A 193-2022 tillsynsbegäran mail.docx", "A 193-2022")</f>
        <v/>
      </c>
      <c r="AE22">
        <f>HYPERLINK("https://klasma.github.io/Logging_2082/fåglar/A 193-2022 prioriterade fågelarter.docx", "A 193-2022")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46277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46277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46277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46277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46277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33605-2022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46277</v>
      </c>
      <c r="F28" t="inlineStr">
        <is>
          <t>DALARNAS LÄN</t>
        </is>
      </c>
      <c r="G28" t="inlineStr">
        <is>
          <t>SÄTER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Ullticka</t>
        </is>
      </c>
      <c r="W28">
        <f>HYPERLINK("https://klasma.github.io/Logging_2082/artfynd/A 33605-2022 artfynd.xlsx", "A 33605-2022")</f>
        <v/>
      </c>
      <c r="X28">
        <f>HYPERLINK("https://klasma.github.io/Logging_2082/kartor/A 33605-2022 karta.png", "A 33605-2022")</f>
        <v/>
      </c>
      <c r="Y28">
        <f>HYPERLINK("https://klasma.github.io/Logging_2082/kartor_geotiff/A 33605-2022 georefererad karta.tif", "A 33605-2022")</f>
        <v/>
      </c>
      <c r="AA28">
        <f>HYPERLINK("https://klasma.github.io/Logging_2082/klagomål/A 33605-2022 FSC-klagomål.docx", "A 33605-2022")</f>
        <v/>
      </c>
      <c r="AB28">
        <f>HYPERLINK("https://klasma.github.io/Logging_2082/klagomålsmail/A 33605-2022 FSC-klagomål mail.docx", "A 33605-2022")</f>
        <v/>
      </c>
      <c r="AC28">
        <f>HYPERLINK("https://klasma.github.io/Logging_2082/tillsyn/A 33605-2022 tillsynsbegäran.docx", "A 33605-2022")</f>
        <v/>
      </c>
      <c r="AD28">
        <f>HYPERLINK("https://klasma.github.io/Logging_2082/tillsynsmail/A 33605-2022 tillsynsbegäran mail.docx", "A 33605-2022")</f>
        <v/>
      </c>
    </row>
    <row r="29" ht="15" customHeight="1">
      <c r="A29" t="inlineStr">
        <is>
          <t>A 5232-2022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46277</v>
      </c>
      <c r="F29" t="inlineStr">
        <is>
          <t>DALARNAS LÄN</t>
        </is>
      </c>
      <c r="G29" t="inlineStr">
        <is>
          <t>SÄTER</t>
        </is>
      </c>
      <c r="I29" t="n">
        <v>2.5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Tvåblad</t>
        </is>
      </c>
      <c r="W29">
        <f>HYPERLINK("https://klasma.github.io/Logging_2082/artfynd/A 5232-2022 artfynd.xlsx", "A 5232-2022")</f>
        <v/>
      </c>
      <c r="X29">
        <f>HYPERLINK("https://klasma.github.io/Logging_2082/kartor/A 5232-2022 karta.png", "A 5232-2022")</f>
        <v/>
      </c>
      <c r="Y29">
        <f>HYPERLINK("https://klasma.github.io/Logging_2082/kartor_geotiff/A 5232-2022 georefererad karta.tif", "A 5232-2022")</f>
        <v/>
      </c>
      <c r="AA29">
        <f>HYPERLINK("https://klasma.github.io/Logging_2082/klagomål/A 5232-2022 FSC-klagomål.docx", "A 5232-2022")</f>
        <v/>
      </c>
      <c r="AB29">
        <f>HYPERLINK("https://klasma.github.io/Logging_2082/klagomålsmail/A 5232-2022 FSC-klagomål mail.docx", "A 5232-2022")</f>
        <v/>
      </c>
      <c r="AC29">
        <f>HYPERLINK("https://klasma.github.io/Logging_2082/tillsyn/A 5232-2022 tillsynsbegäran.docx", "A 5232-2022")</f>
        <v/>
      </c>
      <c r="AD29">
        <f>HYPERLINK("https://klasma.github.io/Logging_2082/tillsynsmail/A 5232-2022 tillsynsbegäran mail.docx", "A 5232-2022")</f>
        <v/>
      </c>
    </row>
    <row r="30" ht="15" customHeight="1">
      <c r="A30" t="inlineStr">
        <is>
          <t>A 34938-2025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46277</v>
      </c>
      <c r="F30" t="inlineStr">
        <is>
          <t>DALARNAS LÄN</t>
        </is>
      </c>
      <c r="G30" t="inlineStr">
        <is>
          <t>SÄTER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HYPERLINK("https://klasma.github.io/Logging_2082/artfynd/A 34938-2025 artfynd.xlsx", "A 34938-2025")</f>
        <v/>
      </c>
      <c r="X30">
        <f>HYPERLINK("https://klasma.github.io/Logging_2082/kartor/A 34938-2025 karta.png", "A 34938-2025")</f>
        <v/>
      </c>
      <c r="Y30">
        <f>HYPERLINK("https://klasma.github.io/Logging_2082/kartor_geotiff/A 34938-2025 georefererad karta.tif", "A 34938-2025")</f>
        <v/>
      </c>
      <c r="AA30">
        <f>HYPERLINK("https://klasma.github.io/Logging_2082/klagomål/A 34938-2025 FSC-klagomål.docx", "A 34938-2025")</f>
        <v/>
      </c>
      <c r="AB30">
        <f>HYPERLINK("https://klasma.github.io/Logging_2082/klagomålsmail/A 34938-2025 FSC-klagomål mail.docx", "A 34938-2025")</f>
        <v/>
      </c>
      <c r="AC30">
        <f>HYPERLINK("https://klasma.github.io/Logging_2082/tillsyn/A 34938-2025 tillsynsbegäran.docx", "A 34938-2025")</f>
        <v/>
      </c>
      <c r="AD30">
        <f>HYPERLINK("https://klasma.github.io/Logging_2082/tillsynsmail/A 34938-2025 tillsynsbegäran mail.docx", "A 34938-2025")</f>
        <v/>
      </c>
    </row>
    <row r="31" ht="15" customHeight="1">
      <c r="A31" t="inlineStr">
        <is>
          <t>A 35221-2025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45853</v>
      </c>
      <c r="E31" s="1" t="n">
        <v>46277</v>
      </c>
      <c r="F31" t="inlineStr">
        <is>
          <t>DALARNAS LÄN</t>
        </is>
      </c>
      <c r="G31" t="inlineStr">
        <is>
          <t>SÄTER</t>
        </is>
      </c>
      <c r="I31" t="n">
        <v>9.5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Vedskivlav</t>
        </is>
      </c>
      <c r="W31">
        <f>HYPERLINK("https://klasma.github.io/Logging_2082/artfynd/A 35221-2025 artfynd.xlsx", "A 35221-2025")</f>
        <v/>
      </c>
      <c r="X31">
        <f>HYPERLINK("https://klasma.github.io/Logging_2082/kartor/A 35221-2025 karta.png", "A 35221-2025")</f>
        <v/>
      </c>
      <c r="Y31">
        <f>HYPERLINK("https://klasma.github.io/Logging_2082/kartor_geotiff/A 35221-2025 georefererad karta.tif", "A 35221-2025")</f>
        <v/>
      </c>
      <c r="AA31">
        <f>HYPERLINK("https://klasma.github.io/Logging_2082/klagomål/A 35221-2025 FSC-klagomål.docx", "A 35221-2025")</f>
        <v/>
      </c>
      <c r="AB31">
        <f>HYPERLINK("https://klasma.github.io/Logging_2082/klagomålsmail/A 35221-2025 FSC-klagomål mail.docx", "A 35221-2025")</f>
        <v/>
      </c>
      <c r="AC31">
        <f>HYPERLINK("https://klasma.github.io/Logging_2082/tillsyn/A 35221-2025 tillsynsbegäran.docx", "A 35221-2025")</f>
        <v/>
      </c>
      <c r="AD31">
        <f>HYPERLINK("https://klasma.github.io/Logging_2082/tillsynsmail/A 35221-2025 tillsynsbegäran mail.docx", "A 35221-2025")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46277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46277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46277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46277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9682-2025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46277</v>
      </c>
      <c r="F36" t="inlineStr">
        <is>
          <t>DALARNAS LÄN</t>
        </is>
      </c>
      <c r="G36" t="inlineStr">
        <is>
          <t>SÄTER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Ögonpyrola</t>
        </is>
      </c>
      <c r="W36">
        <f>HYPERLINK("https://klasma.github.io/Logging_2082/artfynd/A 9682-2025 artfynd.xlsx", "A 9682-2025")</f>
        <v/>
      </c>
      <c r="X36">
        <f>HYPERLINK("https://klasma.github.io/Logging_2082/kartor/A 9682-2025 karta.png", "A 9682-2025")</f>
        <v/>
      </c>
      <c r="Y36">
        <f>HYPERLINK("https://klasma.github.io/Logging_2082/kartor_geotiff/A 9682-2025 georefererad karta.tif", "A 9682-2025")</f>
        <v/>
      </c>
      <c r="AA36">
        <f>HYPERLINK("https://klasma.github.io/Logging_2082/klagomål/A 9682-2025 FSC-klagomål.docx", "A 9682-2025")</f>
        <v/>
      </c>
      <c r="AB36">
        <f>HYPERLINK("https://klasma.github.io/Logging_2082/klagomålsmail/A 9682-2025 FSC-klagomål mail.docx", "A 9682-2025")</f>
        <v/>
      </c>
      <c r="AC36">
        <f>HYPERLINK("https://klasma.github.io/Logging_2082/tillsyn/A 9682-2025 tillsynsbegäran.docx", "A 9682-2025")</f>
        <v/>
      </c>
      <c r="AD36">
        <f>HYPERLINK("https://klasma.github.io/Logging_2082/tillsynsmail/A 9682-2025 tillsynsbegäran mail.docx", "A 9682-2025")</f>
        <v/>
      </c>
    </row>
    <row r="37" ht="15" customHeight="1">
      <c r="A37" t="inlineStr">
        <is>
          <t>A 39406-2024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45551</v>
      </c>
      <c r="E37" s="1" t="n">
        <v>46277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Sotriska</t>
        </is>
      </c>
      <c r="W37">
        <f>HYPERLINK("https://klasma.github.io/Logging_2082/artfynd/A 39406-2024 artfynd.xlsx", "A 39406-2024")</f>
        <v/>
      </c>
      <c r="X37">
        <f>HYPERLINK("https://klasma.github.io/Logging_2082/kartor/A 39406-2024 karta.png", "A 39406-2024")</f>
        <v/>
      </c>
      <c r="Y37">
        <f>HYPERLINK("https://klasma.github.io/Logging_2082/kartor_geotiff/A 39406-2024 georefererad karta.tif", "A 39406-2024")</f>
        <v/>
      </c>
      <c r="AA37">
        <f>HYPERLINK("https://klasma.github.io/Logging_2082/klagomål/A 39406-2024 FSC-klagomål.docx", "A 39406-2024")</f>
        <v/>
      </c>
      <c r="AB37">
        <f>HYPERLINK("https://klasma.github.io/Logging_2082/klagomålsmail/A 39406-2024 FSC-klagomål mail.docx", "A 39406-2024")</f>
        <v/>
      </c>
      <c r="AC37">
        <f>HYPERLINK("https://klasma.github.io/Logging_2082/tillsyn/A 39406-2024 tillsynsbegäran.docx", "A 39406-2024")</f>
        <v/>
      </c>
      <c r="AD37">
        <f>HYPERLINK("https://klasma.github.io/Logging_2082/tillsynsmail/A 39406-2024 tillsynsbegäran mail.docx", "A 39406-2024")</f>
        <v/>
      </c>
    </row>
    <row r="38" ht="15" customHeight="1">
      <c r="A38" t="inlineStr">
        <is>
          <t>A 57427-2022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44896</v>
      </c>
      <c r="E38" s="1" t="n">
        <v>46277</v>
      </c>
      <c r="F38" t="inlineStr">
        <is>
          <t>DALARNAS LÄN</t>
        </is>
      </c>
      <c r="G38" t="inlineStr">
        <is>
          <t>SÄTER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HYPERLINK("https://klasma.github.io/Logging_2082/artfynd/A 57427-2022 artfynd.xlsx", "A 57427-2022")</f>
        <v/>
      </c>
      <c r="X38">
        <f>HYPERLINK("https://klasma.github.io/Logging_2082/kartor/A 57427-2022 karta.png", "A 57427-2022")</f>
        <v/>
      </c>
      <c r="Y38">
        <f>HYPERLINK("https://klasma.github.io/Logging_2082/kartor_geotiff/A 57427-2022 georefererad karta.tif", "A 57427-2022")</f>
        <v/>
      </c>
      <c r="AA38">
        <f>HYPERLINK("https://klasma.github.io/Logging_2082/klagomål/A 57427-2022 FSC-klagomål.docx", "A 57427-2022")</f>
        <v/>
      </c>
      <c r="AB38">
        <f>HYPERLINK("https://klasma.github.io/Logging_2082/klagomålsmail/A 57427-2022 FSC-klagomål mail.docx", "A 57427-2022")</f>
        <v/>
      </c>
      <c r="AC38">
        <f>HYPERLINK("https://klasma.github.io/Logging_2082/tillsyn/A 57427-2022 tillsynsbegäran.docx", "A 57427-2022")</f>
        <v/>
      </c>
      <c r="AD38">
        <f>HYPERLINK("https://klasma.github.io/Logging_2082/tillsynsmail/A 57427-2022 tillsynsbegäran mail.docx", "A 57427-2022")</f>
        <v/>
      </c>
    </row>
    <row r="39" ht="15" customHeight="1">
      <c r="A39" t="inlineStr">
        <is>
          <t>A 61197-2025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46277</v>
      </c>
      <c r="F39" t="inlineStr">
        <is>
          <t>DALARNAS LÄN</t>
        </is>
      </c>
      <c r="G39" t="inlineStr">
        <is>
          <t>SÄTER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61197-2025 artfynd.xlsx", "A 61197-2025")</f>
        <v/>
      </c>
      <c r="X39">
        <f>HYPERLINK("https://klasma.github.io/Logging_2082/kartor/A 61197-2025 karta.png", "A 61197-2025")</f>
        <v/>
      </c>
      <c r="Y39">
        <f>HYPERLINK("https://klasma.github.io/Logging_2082/kartor_geotiff/A 61197-2025 georefererad karta.tif", "A 61197-2025")</f>
        <v/>
      </c>
      <c r="Z39">
        <f>HYPERLINK("https://klasma.github.io/Logging_2082/knärot/A 61197-2025 karta knärot.png", "A 61197-2025")</f>
        <v/>
      </c>
      <c r="AA39">
        <f>HYPERLINK("https://klasma.github.io/Logging_2082/klagomål/A 61197-2025 FSC-klagomål.docx", "A 61197-2025")</f>
        <v/>
      </c>
      <c r="AB39">
        <f>HYPERLINK("https://klasma.github.io/Logging_2082/klagomålsmail/A 61197-2025 FSC-klagomål mail.docx", "A 61197-2025")</f>
        <v/>
      </c>
      <c r="AC39">
        <f>HYPERLINK("https://klasma.github.io/Logging_2082/tillsyn/A 61197-2025 tillsynsbegäran.docx", "A 61197-2025")</f>
        <v/>
      </c>
      <c r="AD39">
        <f>HYPERLINK("https://klasma.github.io/Logging_2082/tillsynsmail/A 61197-2025 tillsynsbegäran mail.docx", "A 61197-2025")</f>
        <v/>
      </c>
    </row>
    <row r="40" ht="15" customHeight="1">
      <c r="A40" t="inlineStr">
        <is>
          <t>A 44992-2024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45575</v>
      </c>
      <c r="E40" s="1" t="n">
        <v>46277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HYPERLINK("https://klasma.github.io/Logging_2082/artfynd/A 44992-2024 artfynd.xlsx", "A 44992-2024")</f>
        <v/>
      </c>
      <c r="X40">
        <f>HYPERLINK("https://klasma.github.io/Logging_2082/kartor/A 44992-2024 karta.png", "A 44992-2024")</f>
        <v/>
      </c>
      <c r="Y40">
        <f>HYPERLINK("https://klasma.github.io/Logging_2082/kartor_geotiff/A 44992-2024 georefererad karta.tif", "A 44992-2024")</f>
        <v/>
      </c>
      <c r="AA40">
        <f>HYPERLINK("https://klasma.github.io/Logging_2082/klagomål/A 44992-2024 FSC-klagomål.docx", "A 44992-2024")</f>
        <v/>
      </c>
      <c r="AB40">
        <f>HYPERLINK("https://klasma.github.io/Logging_2082/klagomålsmail/A 44992-2024 FSC-klagomål mail.docx", "A 44992-2024")</f>
        <v/>
      </c>
      <c r="AC40">
        <f>HYPERLINK("https://klasma.github.io/Logging_2082/tillsyn/A 44992-2024 tillsynsbegäran.docx", "A 44992-2024")</f>
        <v/>
      </c>
      <c r="AD40">
        <f>HYPERLINK("https://klasma.github.io/Logging_2082/tillsynsmail/A 44992-2024 tillsynsbegäran mail.docx", "A 44992-2024")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46277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46277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46277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46277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S 4834-2022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44804</v>
      </c>
      <c r="E45" s="1" t="n">
        <v>46277</v>
      </c>
      <c r="F45" t="inlineStr">
        <is>
          <t>DALARNAS LÄN</t>
        </is>
      </c>
      <c r="G45" t="inlineStr">
        <is>
          <t>SÄTER</t>
        </is>
      </c>
      <c r="I45" t="n">
        <v>0.5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Knärot</t>
        </is>
      </c>
      <c r="W45">
        <f>HYPERLINK("https://klasma.github.io/Logging_2082/artfynd/S 4834-2022 artfynd.xlsx", "S 4834-2022")</f>
        <v/>
      </c>
      <c r="X45">
        <f>HYPERLINK("https://klasma.github.io/Logging_2082/kartor/S 4834-2022 karta.png", "S 4834-2022")</f>
        <v/>
      </c>
      <c r="Y45">
        <f>HYPERLINK("https://klasma.github.io/Logging_2082/kartor_geotiff/S 4834-2022 georefererad karta.tif", "S 4834-2022")</f>
        <v/>
      </c>
      <c r="Z45">
        <f>HYPERLINK("https://klasma.github.io/Logging_2082/knärot/S 4834-2022 karta knärot.png", "S 4834-2022")</f>
        <v/>
      </c>
      <c r="AA45">
        <f>HYPERLINK("https://klasma.github.io/Logging_2082/klagomål/S 4834-2022 FSC-klagomål.docx", "S 4834-2022")</f>
        <v/>
      </c>
      <c r="AB45">
        <f>HYPERLINK("https://klasma.github.io/Logging_2082/klagomålsmail/S 4834-2022 FSC-klagomål mail.docx", "S 4834-2022")</f>
        <v/>
      </c>
      <c r="AC45">
        <f>HYPERLINK("https://klasma.github.io/Logging_2082/tillsyn/S 4834-2022 tillsynsbegäran.docx", "S 4834-2022")</f>
        <v/>
      </c>
      <c r="AD45">
        <f>HYPERLINK("https://klasma.github.io/Logging_2082/tillsynsmail/S 4834-2022 tillsynsbegäran mail.docx", "S 4834-2022")</f>
        <v/>
      </c>
    </row>
    <row r="46" ht="15" customHeight="1">
      <c r="A46" t="inlineStr">
        <is>
          <t>S 2622-2023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45147</v>
      </c>
      <c r="E46" s="1" t="n">
        <v>46277</v>
      </c>
      <c r="F46" t="inlineStr">
        <is>
          <t>DALARNAS LÄN</t>
        </is>
      </c>
      <c r="G46" t="inlineStr">
        <is>
          <t>SÄTER</t>
        </is>
      </c>
      <c r="H46" t="inlineStr">
        <is>
          <t>Kommuner</t>
        </is>
      </c>
      <c r="I46" t="n">
        <v>46.1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Knärot</t>
        </is>
      </c>
      <c r="W46">
        <f>HYPERLINK("https://klasma.github.io/Logging_2082/artfynd/S 2622-2023 artfynd.xlsx", "S 2622-2023")</f>
        <v/>
      </c>
      <c r="X46">
        <f>HYPERLINK("https://klasma.github.io/Logging_2082/kartor/S 2622-2023 karta.png", "S 2622-2023")</f>
        <v/>
      </c>
      <c r="Y46">
        <f>HYPERLINK("https://klasma.github.io/Logging_2082/kartor_geotiff/S 2622-2023 georefererad karta.tif", "S 2622-2023")</f>
        <v/>
      </c>
      <c r="Z46">
        <f>HYPERLINK("https://klasma.github.io/Logging_2082/knärot/S 2622-2023 karta knärot.png", "S 2622-2023")</f>
        <v/>
      </c>
      <c r="AA46">
        <f>HYPERLINK("https://klasma.github.io/Logging_2082/klagomål/S 2622-2023 FSC-klagomål.docx", "S 2622-2023")</f>
        <v/>
      </c>
      <c r="AB46">
        <f>HYPERLINK("https://klasma.github.io/Logging_2082/klagomålsmail/S 2622-2023 FSC-klagomål mail.docx", "S 2622-2023")</f>
        <v/>
      </c>
      <c r="AC46">
        <f>HYPERLINK("https://klasma.github.io/Logging_2082/tillsyn/S 2622-2023 tillsynsbegäran.docx", "S 2622-2023")</f>
        <v/>
      </c>
      <c r="AD46">
        <f>HYPERLINK("https://klasma.github.io/Logging_2082/tillsynsmail/S 2622-2023 tillsynsbegäran mail.docx", "S 2622-2023")</f>
        <v/>
      </c>
    </row>
    <row r="47" ht="15" customHeight="1">
      <c r="A47" t="inlineStr">
        <is>
          <t>S 2034-2026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46211</v>
      </c>
      <c r="E47" s="1" t="n">
        <v>46277</v>
      </c>
      <c r="F47" t="inlineStr">
        <is>
          <t>DALARNAS LÄN</t>
        </is>
      </c>
      <c r="G47" t="inlineStr">
        <is>
          <t>SÄTER</t>
        </is>
      </c>
      <c r="I47" t="n">
        <v>0.4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HYPERLINK("https://klasma.github.io/Logging_2082/artfynd/S 2034-2026 artfynd.xlsx", "S 2034-2026")</f>
        <v/>
      </c>
      <c r="X47">
        <f>HYPERLINK("https://klasma.github.io/Logging_2082/kartor/S 2034-2026 karta.png", "S 2034-2026")</f>
        <v/>
      </c>
      <c r="Y47">
        <f>HYPERLINK("https://klasma.github.io/Logging_2082/kartor_geotiff/S 2034-2026 georefererad karta.tif", "S 2034-2026")</f>
        <v/>
      </c>
      <c r="Z47">
        <f>HYPERLINK("https://klasma.github.io/Logging_2082/knärot/S 2034-2026 karta knärot.png", "S 2034-2026")</f>
        <v/>
      </c>
      <c r="AA47">
        <f>HYPERLINK("https://klasma.github.io/Logging_2082/klagomål/S 2034-2026 FSC-klagomål.docx", "S 2034-2026")</f>
        <v/>
      </c>
      <c r="AB47">
        <f>HYPERLINK("https://klasma.github.io/Logging_2082/klagomålsmail/S 2034-2026 FSC-klagomål mail.docx", "S 2034-2026")</f>
        <v/>
      </c>
      <c r="AC47">
        <f>HYPERLINK("https://klasma.github.io/Logging_2082/tillsyn/S 2034-2026 tillsynsbegäran.docx", "S 2034-2026")</f>
        <v/>
      </c>
      <c r="AD47">
        <f>HYPERLINK("https://klasma.github.io/Logging_2082/tillsynsmail/S 2034-2026 tillsynsbegäran mail.docx", "S 2034-2026")</f>
        <v/>
      </c>
    </row>
    <row r="48" ht="15" customHeight="1">
      <c r="A48" t="inlineStr">
        <is>
          <t>A 49563-2021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46277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46277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46277</v>
      </c>
      <c r="F50" t="inlineStr">
        <is>
          <t>DALARNAS LÄN</t>
        </is>
      </c>
      <c r="G50" t="inlineStr">
        <is>
          <t>SÄTER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46277</v>
      </c>
      <c r="F51" t="inlineStr">
        <is>
          <t>DALARNAS LÄN</t>
        </is>
      </c>
      <c r="G51" t="inlineStr">
        <is>
          <t>SÄTER</t>
        </is>
      </c>
      <c r="H51" t="inlineStr">
        <is>
          <t>Bergvik skog väst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44864</v>
      </c>
      <c r="E52" s="1" t="n">
        <v>46277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46277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46277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46277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46277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46277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46277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46277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46277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46277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46277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46277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46277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46277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46277</v>
      </c>
      <c r="F66" t="inlineStr">
        <is>
          <t>DALARNAS LÄN</t>
        </is>
      </c>
      <c r="G66" t="inlineStr">
        <is>
          <t>SÄTER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46277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46277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44748</v>
      </c>
      <c r="E69" s="1" t="n">
        <v>46277</v>
      </c>
      <c r="F69" t="inlineStr">
        <is>
          <t>DALARNAS LÄN</t>
        </is>
      </c>
      <c r="G69" t="inlineStr">
        <is>
          <t>SÄTER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46277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46277</v>
      </c>
      <c r="F71" t="inlineStr">
        <is>
          <t>DALARNAS LÄN</t>
        </is>
      </c>
      <c r="G71" t="inlineStr">
        <is>
          <t>SÄTER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46277</v>
      </c>
      <c r="F72" t="inlineStr">
        <is>
          <t>DALARNAS LÄN</t>
        </is>
      </c>
      <c r="G72" t="inlineStr">
        <is>
          <t>SÄTER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46277</v>
      </c>
      <c r="F73" t="inlineStr">
        <is>
          <t>DALARNAS LÄN</t>
        </is>
      </c>
      <c r="G73" t="inlineStr">
        <is>
          <t>SÄTER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46277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46277</v>
      </c>
      <c r="F75" t="inlineStr">
        <is>
          <t>DALARNAS LÄN</t>
        </is>
      </c>
      <c r="G75" t="inlineStr">
        <is>
          <t>SÄTER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46277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46277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20337-2024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45435</v>
      </c>
      <c r="E78" s="1" t="n">
        <v>46277</v>
      </c>
      <c r="F78" t="inlineStr">
        <is>
          <t>DALARNAS LÄN</t>
        </is>
      </c>
      <c r="G78" t="inlineStr">
        <is>
          <t>SÄTER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46277</v>
      </c>
      <c r="F79" t="inlineStr">
        <is>
          <t>DALARNAS LÄN</t>
        </is>
      </c>
      <c r="G79" t="inlineStr">
        <is>
          <t>SÄTER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46277</v>
      </c>
      <c r="F80" t="inlineStr">
        <is>
          <t>DALARNAS LÄN</t>
        </is>
      </c>
      <c r="G80" t="inlineStr">
        <is>
          <t>SÄTER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46277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46277</v>
      </c>
      <c r="F82" t="inlineStr">
        <is>
          <t>DALARNAS LÄN</t>
        </is>
      </c>
      <c r="G82" t="inlineStr">
        <is>
          <t>SÄTER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46277</v>
      </c>
      <c r="F83" t="inlineStr">
        <is>
          <t>DALARNAS LÄN</t>
        </is>
      </c>
      <c r="G83" t="inlineStr">
        <is>
          <t>SÄTER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23804-2024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45455</v>
      </c>
      <c r="E84" s="1" t="n">
        <v>46277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59707-2022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46277</v>
      </c>
      <c r="F85" t="inlineStr">
        <is>
          <t>DALARNAS LÄN</t>
        </is>
      </c>
      <c r="G85" t="inlineStr">
        <is>
          <t>SÄTER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46277</v>
      </c>
      <c r="F86" t="inlineStr">
        <is>
          <t>DALARNAS LÄN</t>
        </is>
      </c>
      <c r="G86" t="inlineStr">
        <is>
          <t>SÄTER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46277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46277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44956</v>
      </c>
      <c r="E89" s="1" t="n">
        <v>46277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45282</v>
      </c>
      <c r="E90" s="1" t="n">
        <v>46277</v>
      </c>
      <c r="F90" t="inlineStr">
        <is>
          <t>DALARNAS LÄN</t>
        </is>
      </c>
      <c r="G90" t="inlineStr">
        <is>
          <t>SÄTER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46277</v>
      </c>
      <c r="F91" t="inlineStr">
        <is>
          <t>DALARNAS LÄN</t>
        </is>
      </c>
      <c r="G91" t="inlineStr">
        <is>
          <t>SÄTER</t>
        </is>
      </c>
      <c r="H91" t="inlineStr">
        <is>
          <t>Kommuner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46277</v>
      </c>
      <c r="F92" t="inlineStr">
        <is>
          <t>DALARNAS LÄN</t>
        </is>
      </c>
      <c r="G92" t="inlineStr">
        <is>
          <t>SÄTER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51323-2024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45604</v>
      </c>
      <c r="E93" s="1" t="n">
        <v>46277</v>
      </c>
      <c r="F93" t="inlineStr">
        <is>
          <t>DALARNAS LÄN</t>
        </is>
      </c>
      <c r="G93" t="inlineStr">
        <is>
          <t>SÄTER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46277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44972</v>
      </c>
      <c r="E95" s="1" t="n">
        <v>46277</v>
      </c>
      <c r="F95" t="inlineStr">
        <is>
          <t>DALARNAS LÄN</t>
        </is>
      </c>
      <c r="G95" t="inlineStr">
        <is>
          <t>SÄTER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46277</v>
      </c>
      <c r="F96" t="inlineStr">
        <is>
          <t>DALARNAS LÄN</t>
        </is>
      </c>
      <c r="G96" t="inlineStr">
        <is>
          <t>SÄTER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46277</v>
      </c>
      <c r="F97" t="inlineStr">
        <is>
          <t>DALARNAS LÄN</t>
        </is>
      </c>
      <c r="G97" t="inlineStr">
        <is>
          <t>SÄTER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46277</v>
      </c>
      <c r="F98" t="inlineStr">
        <is>
          <t>DALARNAS LÄN</t>
        </is>
      </c>
      <c r="G98" t="inlineStr">
        <is>
          <t>SÄTER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44585</v>
      </c>
      <c r="E99" s="1" t="n">
        <v>46277</v>
      </c>
      <c r="F99" t="inlineStr">
        <is>
          <t>DALARNAS LÄN</t>
        </is>
      </c>
      <c r="G99" t="inlineStr">
        <is>
          <t>SÄTER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46277</v>
      </c>
      <c r="F100" t="inlineStr">
        <is>
          <t>DALARNAS LÄN</t>
        </is>
      </c>
      <c r="G100" t="inlineStr">
        <is>
          <t>SÄTER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46277</v>
      </c>
      <c r="F101" t="inlineStr">
        <is>
          <t>DALARNAS LÄN</t>
        </is>
      </c>
      <c r="G101" t="inlineStr">
        <is>
          <t>SÄTER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46277</v>
      </c>
      <c r="F102" t="inlineStr">
        <is>
          <t>DALARNAS LÄN</t>
        </is>
      </c>
      <c r="G102" t="inlineStr">
        <is>
          <t>SÄTER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46277</v>
      </c>
      <c r="F103" t="inlineStr">
        <is>
          <t>DALARNAS LÄN</t>
        </is>
      </c>
      <c r="G103" t="inlineStr">
        <is>
          <t>SÄTER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46064</v>
      </c>
      <c r="E104" s="1" t="n">
        <v>46277</v>
      </c>
      <c r="F104" t="inlineStr">
        <is>
          <t>DALARNAS LÄN</t>
        </is>
      </c>
      <c r="G104" t="inlineStr">
        <is>
          <t>SÄTER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46065</v>
      </c>
      <c r="E105" s="1" t="n">
        <v>46277</v>
      </c>
      <c r="F105" t="inlineStr">
        <is>
          <t>DALARNAS LÄN</t>
        </is>
      </c>
      <c r="G105" t="inlineStr">
        <is>
          <t>SÄTER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46277</v>
      </c>
      <c r="F106" t="inlineStr">
        <is>
          <t>DALARNAS LÄN</t>
        </is>
      </c>
      <c r="G106" t="inlineStr">
        <is>
          <t>SÄTER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46277</v>
      </c>
      <c r="F107" t="inlineStr">
        <is>
          <t>DALARNAS LÄN</t>
        </is>
      </c>
      <c r="G107" t="inlineStr">
        <is>
          <t>SÄTER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43770-2024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45569</v>
      </c>
      <c r="E108" s="1" t="n">
        <v>46277</v>
      </c>
      <c r="F108" t="inlineStr">
        <is>
          <t>DALARNAS LÄN</t>
        </is>
      </c>
      <c r="G108" t="inlineStr">
        <is>
          <t>SÄTER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46277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45398</v>
      </c>
      <c r="E110" s="1" t="n">
        <v>46277</v>
      </c>
      <c r="F110" t="inlineStr">
        <is>
          <t>DALARNAS LÄN</t>
        </is>
      </c>
      <c r="G110" t="inlineStr">
        <is>
          <t>SÄTER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46277</v>
      </c>
      <c r="F111" t="inlineStr">
        <is>
          <t>DALARNAS LÄN</t>
        </is>
      </c>
      <c r="G111" t="inlineStr">
        <is>
          <t>SÄTER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46277</v>
      </c>
      <c r="F112" t="inlineStr">
        <is>
          <t>DALARNAS LÄN</t>
        </is>
      </c>
      <c r="G112" t="inlineStr">
        <is>
          <t>SÄTER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42998-2023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45182</v>
      </c>
      <c r="E113" s="1" t="n">
        <v>46277</v>
      </c>
      <c r="F113" t="inlineStr">
        <is>
          <t>DALARNAS LÄN</t>
        </is>
      </c>
      <c r="G113" t="inlineStr">
        <is>
          <t>SÄTER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51320-2024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45604</v>
      </c>
      <c r="E114" s="1" t="n">
        <v>46277</v>
      </c>
      <c r="F114" t="inlineStr">
        <is>
          <t>DALARNAS LÄN</t>
        </is>
      </c>
      <c r="G114" t="inlineStr">
        <is>
          <t>SÄTER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51324-2024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45604</v>
      </c>
      <c r="E115" s="1" t="n">
        <v>46277</v>
      </c>
      <c r="F115" t="inlineStr">
        <is>
          <t>DALARNAS LÄN</t>
        </is>
      </c>
      <c r="G115" t="inlineStr">
        <is>
          <t>SÄTER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46277</v>
      </c>
      <c r="F116" t="inlineStr">
        <is>
          <t>DALARNAS LÄN</t>
        </is>
      </c>
      <c r="G116" t="inlineStr">
        <is>
          <t>SÄTER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46277</v>
      </c>
      <c r="F117" t="inlineStr">
        <is>
          <t>DALARNAS LÄN</t>
        </is>
      </c>
      <c r="G117" t="inlineStr">
        <is>
          <t>SÄTER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46277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46277</v>
      </c>
      <c r="F119" t="inlineStr">
        <is>
          <t>DALARNAS LÄN</t>
        </is>
      </c>
      <c r="G119" t="inlineStr">
        <is>
          <t>SÄTER</t>
        </is>
      </c>
      <c r="H119" t="inlineStr">
        <is>
          <t>Kommuner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46277</v>
      </c>
      <c r="F120" t="inlineStr">
        <is>
          <t>DALARNAS LÄN</t>
        </is>
      </c>
      <c r="G120" t="inlineStr">
        <is>
          <t>SÄTER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46277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46076</v>
      </c>
      <c r="E122" s="1" t="n">
        <v>46277</v>
      </c>
      <c r="F122" t="inlineStr">
        <is>
          <t>DALARNAS LÄN</t>
        </is>
      </c>
      <c r="G122" t="inlineStr">
        <is>
          <t>SÄTER</t>
        </is>
      </c>
      <c r="I122" t="n">
        <v>7.1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10146-2026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46076</v>
      </c>
      <c r="E123" s="1" t="n">
        <v>46277</v>
      </c>
      <c r="F123" t="inlineStr">
        <is>
          <t>DALARNAS LÄN</t>
        </is>
      </c>
      <c r="G123" t="inlineStr">
        <is>
          <t>SÄTER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46277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45870</v>
      </c>
      <c r="E125" s="1" t="n">
        <v>46277</v>
      </c>
      <c r="F125" t="inlineStr">
        <is>
          <t>DALARNAS LÄN</t>
        </is>
      </c>
      <c r="G125" t="inlineStr">
        <is>
          <t>SÄTER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45628</v>
      </c>
      <c r="E126" s="1" t="n">
        <v>46277</v>
      </c>
      <c r="F126" t="inlineStr">
        <is>
          <t>DALARNAS LÄN</t>
        </is>
      </c>
      <c r="G126" t="inlineStr">
        <is>
          <t>SÄTER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45628</v>
      </c>
      <c r="E127" s="1" t="n">
        <v>46277</v>
      </c>
      <c r="F127" t="inlineStr">
        <is>
          <t>DALARNAS LÄN</t>
        </is>
      </c>
      <c r="G127" t="inlineStr">
        <is>
          <t>SÄTER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45006</v>
      </c>
      <c r="E128" s="1" t="n">
        <v>46277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46277</v>
      </c>
      <c r="F129" t="inlineStr">
        <is>
          <t>DALARNAS LÄN</t>
        </is>
      </c>
      <c r="G129" t="inlineStr">
        <is>
          <t>SÄTER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46277</v>
      </c>
      <c r="F130" t="inlineStr">
        <is>
          <t>DALARNAS LÄN</t>
        </is>
      </c>
      <c r="G130" t="inlineStr">
        <is>
          <t>SÄTER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46277</v>
      </c>
      <c r="F131" t="inlineStr">
        <is>
          <t>DALARNAS LÄN</t>
        </is>
      </c>
      <c r="G131" t="inlineStr">
        <is>
          <t>SÄTER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59445-2024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45638</v>
      </c>
      <c r="E132" s="1" t="n">
        <v>46277</v>
      </c>
      <c r="F132" t="inlineStr">
        <is>
          <t>DALARNAS LÄN</t>
        </is>
      </c>
      <c r="G132" t="inlineStr">
        <is>
          <t>SÄTER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58864-2024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46277</v>
      </c>
      <c r="F133" t="inlineStr">
        <is>
          <t>DALARNAS LÄN</t>
        </is>
      </c>
      <c r="G133" t="inlineStr">
        <is>
          <t>SÄTER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46277</v>
      </c>
      <c r="F134" t="inlineStr">
        <is>
          <t>DALARNAS LÄN</t>
        </is>
      </c>
      <c r="G134" t="inlineStr">
        <is>
          <t>SÄTER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46277</v>
      </c>
      <c r="F135" t="inlineStr">
        <is>
          <t>DALARNAS LÄN</t>
        </is>
      </c>
      <c r="G135" t="inlineStr">
        <is>
          <t>SÄTER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51468-2024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45604</v>
      </c>
      <c r="E136" s="1" t="n">
        <v>46277</v>
      </c>
      <c r="F136" t="inlineStr">
        <is>
          <t>DALARNAS LÄN</t>
        </is>
      </c>
      <c r="G136" t="inlineStr">
        <is>
          <t>SÄTER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46277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46277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41.4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46277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45411</v>
      </c>
      <c r="E140" s="1" t="n">
        <v>46277</v>
      </c>
      <c r="F140" t="inlineStr">
        <is>
          <t>DALARNAS LÄN</t>
        </is>
      </c>
      <c r="G140" t="inlineStr">
        <is>
          <t>SÄTER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46277</v>
      </c>
      <c r="F141" t="inlineStr">
        <is>
          <t>DALARNAS LÄN</t>
        </is>
      </c>
      <c r="G141" t="inlineStr">
        <is>
          <t>SÄTER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46083</v>
      </c>
      <c r="E142" s="1" t="n">
        <v>46277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46277</v>
      </c>
      <c r="F143" t="inlineStr">
        <is>
          <t>DALARNAS LÄN</t>
        </is>
      </c>
      <c r="G143" t="inlineStr">
        <is>
          <t>SÄTER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10552-2026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46077</v>
      </c>
      <c r="E144" s="1" t="n">
        <v>46277</v>
      </c>
      <c r="F144" t="inlineStr">
        <is>
          <t>DALARNAS LÄN</t>
        </is>
      </c>
      <c r="G144" t="inlineStr">
        <is>
          <t>SÄTER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46277</v>
      </c>
      <c r="F145" t="inlineStr">
        <is>
          <t>DALARNAS LÄN</t>
        </is>
      </c>
      <c r="G145" t="inlineStr">
        <is>
          <t>SÄTER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46277</v>
      </c>
      <c r="F146" t="inlineStr">
        <is>
          <t>DALARNAS LÄN</t>
        </is>
      </c>
      <c r="G146" t="inlineStr">
        <is>
          <t>SÄTER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46277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28549-2022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44748</v>
      </c>
      <c r="E148" s="1" t="n">
        <v>46277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46277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46277</v>
      </c>
      <c r="F150" t="inlineStr">
        <is>
          <t>DALARNAS LÄN</t>
        </is>
      </c>
      <c r="G150" t="inlineStr">
        <is>
          <t>SÄTER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46277</v>
      </c>
      <c r="F151" t="inlineStr">
        <is>
          <t>DALARNAS LÄN</t>
        </is>
      </c>
      <c r="G151" t="inlineStr">
        <is>
          <t>SÄTER</t>
        </is>
      </c>
      <c r="H151" t="inlineStr">
        <is>
          <t>Kommuner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46277</v>
      </c>
      <c r="F152" t="inlineStr">
        <is>
          <t>DALARNAS LÄN</t>
        </is>
      </c>
      <c r="G152" t="inlineStr">
        <is>
          <t>SÄTER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46277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46277</v>
      </c>
      <c r="F154" t="inlineStr">
        <is>
          <t>DALARNAS LÄN</t>
        </is>
      </c>
      <c r="G154" t="inlineStr">
        <is>
          <t>SÄTER</t>
        </is>
      </c>
      <c r="I154" t="n">
        <v>9.800000000000001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46277</v>
      </c>
      <c r="F155" t="inlineStr">
        <is>
          <t>DALARNAS LÄN</t>
        </is>
      </c>
      <c r="G155" t="inlineStr">
        <is>
          <t>SÄTER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46277</v>
      </c>
      <c r="F156" t="inlineStr">
        <is>
          <t>DALARNAS LÄN</t>
        </is>
      </c>
      <c r="G156" t="inlineStr">
        <is>
          <t>SÄTER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46277</v>
      </c>
      <c r="F157" t="inlineStr">
        <is>
          <t>DALARNAS LÄN</t>
        </is>
      </c>
      <c r="G157" t="inlineStr">
        <is>
          <t>SÄTER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46277</v>
      </c>
      <c r="F158" t="inlineStr">
        <is>
          <t>DALARNAS LÄN</t>
        </is>
      </c>
      <c r="G158" t="inlineStr">
        <is>
          <t>SÄTER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46098</v>
      </c>
      <c r="E159" s="1" t="n">
        <v>46277</v>
      </c>
      <c r="F159" t="inlineStr">
        <is>
          <t>DALARNAS LÄN</t>
        </is>
      </c>
      <c r="G159" t="inlineStr">
        <is>
          <t>SÄTER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46277</v>
      </c>
      <c r="F160" t="inlineStr">
        <is>
          <t>DALARNAS LÄN</t>
        </is>
      </c>
      <c r="G160" t="inlineStr">
        <is>
          <t>SÄTER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  <c r="Z160">
        <f>HYPERLINK("https://klasma.github.io/Logging_2082/knärot/A 57416-2022 karta knärot.png", "A 57416-2022")</f>
        <v/>
      </c>
      <c r="AA160">
        <f>HYPERLINK("https://klasma.github.io/Logging_2082/klagomål/A 57416-2022 FSC-klagomål.docx", "A 57416-2022")</f>
        <v/>
      </c>
      <c r="AB160">
        <f>HYPERLINK("https://klasma.github.io/Logging_2082/klagomålsmail/A 57416-2022 FSC-klagomål mail.docx", "A 57416-2022")</f>
        <v/>
      </c>
      <c r="AC160">
        <f>HYPERLINK("https://klasma.github.io/Logging_2082/tillsyn/A 57416-2022 tillsynsbegäran.docx", "A 57416-2022")</f>
        <v/>
      </c>
      <c r="AD160">
        <f>HYPERLINK("https://klasma.github.io/Logging_2082/tillsynsmail/A 57416-2022 tillsynsbegäran mail.docx", "A 57416-2022")</f>
        <v/>
      </c>
    </row>
    <row r="161" ht="15" customHeight="1">
      <c r="A161" t="inlineStr">
        <is>
          <t>A 51824-2025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46277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51826-2025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46277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46277</v>
      </c>
      <c r="F163" t="inlineStr">
        <is>
          <t>DALARNAS LÄN</t>
        </is>
      </c>
      <c r="G163" t="inlineStr">
        <is>
          <t>SÄTER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45098</v>
      </c>
      <c r="E164" s="1" t="n">
        <v>46277</v>
      </c>
      <c r="F164" t="inlineStr">
        <is>
          <t>DALARNAS LÄN</t>
        </is>
      </c>
      <c r="G164" t="inlineStr">
        <is>
          <t>SÄTER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53559-2025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45960</v>
      </c>
      <c r="E165" s="1" t="n">
        <v>46277</v>
      </c>
      <c r="F165" t="inlineStr">
        <is>
          <t>DALARNAS LÄN</t>
        </is>
      </c>
      <c r="G165" t="inlineStr">
        <is>
          <t>SÄTER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46277</v>
      </c>
      <c r="F166" t="inlineStr">
        <is>
          <t>DALARNAS LÄN</t>
        </is>
      </c>
      <c r="G166" t="inlineStr">
        <is>
          <t>SÄTER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46277</v>
      </c>
      <c r="F167" t="inlineStr">
        <is>
          <t>DALARNAS LÄN</t>
        </is>
      </c>
      <c r="G167" t="inlineStr">
        <is>
          <t>SÄTER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46277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46277</v>
      </c>
      <c r="F169" t="inlineStr">
        <is>
          <t>DALARNAS LÄN</t>
        </is>
      </c>
      <c r="G169" t="inlineStr">
        <is>
          <t>SÄTER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16698-2026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46113</v>
      </c>
      <c r="E170" s="1" t="n">
        <v>46277</v>
      </c>
      <c r="F170" t="inlineStr">
        <is>
          <t>DALARNAS LÄN</t>
        </is>
      </c>
      <c r="G170" t="inlineStr">
        <is>
          <t>SÄTER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46277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46277</v>
      </c>
      <c r="F172" t="inlineStr">
        <is>
          <t>DALARNAS LÄN</t>
        </is>
      </c>
      <c r="G172" t="inlineStr">
        <is>
          <t>SÄTER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46277</v>
      </c>
      <c r="F173" t="inlineStr">
        <is>
          <t>DALARNAS LÄN</t>
        </is>
      </c>
      <c r="G173" t="inlineStr">
        <is>
          <t>SÄTER</t>
        </is>
      </c>
      <c r="H173" t="inlineStr">
        <is>
          <t>Kommuner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10222-2026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46076</v>
      </c>
      <c r="E174" s="1" t="n">
        <v>46277</v>
      </c>
      <c r="F174" t="inlineStr">
        <is>
          <t>DALARNAS LÄN</t>
        </is>
      </c>
      <c r="G174" t="inlineStr">
        <is>
          <t>SÄTER</t>
        </is>
      </c>
      <c r="I174" t="n">
        <v>15.2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44532</v>
      </c>
      <c r="E175" s="1" t="n">
        <v>46277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46277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46277</v>
      </c>
      <c r="F177" t="inlineStr">
        <is>
          <t>DALARNAS LÄN</t>
        </is>
      </c>
      <c r="G177" t="inlineStr">
        <is>
          <t>SÄTER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46277</v>
      </c>
      <c r="F178" t="inlineStr">
        <is>
          <t>DALARNAS LÄN</t>
        </is>
      </c>
      <c r="G178" t="inlineStr">
        <is>
          <t>SÄTER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46277</v>
      </c>
      <c r="F179" t="inlineStr">
        <is>
          <t>DALARNAS LÄN</t>
        </is>
      </c>
      <c r="G179" t="inlineStr">
        <is>
          <t>SÄTER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13362-2026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46277</v>
      </c>
      <c r="F180" t="inlineStr">
        <is>
          <t>DALARNAS LÄN</t>
        </is>
      </c>
      <c r="G180" t="inlineStr">
        <is>
          <t>SÄTER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46277</v>
      </c>
      <c r="F181" t="inlineStr">
        <is>
          <t>DALARNAS LÄN</t>
        </is>
      </c>
      <c r="G181" t="inlineStr">
        <is>
          <t>SÄTER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45993</v>
      </c>
      <c r="E182" s="1" t="n">
        <v>46277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46277</v>
      </c>
      <c r="F183" t="inlineStr">
        <is>
          <t>DALARNAS LÄN</t>
        </is>
      </c>
      <c r="G183" t="inlineStr">
        <is>
          <t>SÄTER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46277</v>
      </c>
      <c r="F184" t="inlineStr">
        <is>
          <t>DALARNAS LÄN</t>
        </is>
      </c>
      <c r="G184" t="inlineStr">
        <is>
          <t>SÄTER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46277</v>
      </c>
      <c r="F185" t="inlineStr">
        <is>
          <t>DALARNAS LÄN</t>
        </is>
      </c>
      <c r="G185" t="inlineStr">
        <is>
          <t>SÄTER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46277</v>
      </c>
      <c r="F186" t="inlineStr">
        <is>
          <t>DALARNAS LÄN</t>
        </is>
      </c>
      <c r="G186" t="inlineStr">
        <is>
          <t>SÄTER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46277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46277</v>
      </c>
      <c r="F188" t="inlineStr">
        <is>
          <t>DALARNAS LÄN</t>
        </is>
      </c>
      <c r="G188" t="inlineStr">
        <is>
          <t>SÄTER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46277</v>
      </c>
      <c r="F189" t="inlineStr">
        <is>
          <t>DALARNAS LÄN</t>
        </is>
      </c>
      <c r="G189" t="inlineStr">
        <is>
          <t>SÄTER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46277</v>
      </c>
      <c r="F190" t="inlineStr">
        <is>
          <t>DALARNAS LÄN</t>
        </is>
      </c>
      <c r="G190" t="inlineStr">
        <is>
          <t>SÄTER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46277</v>
      </c>
      <c r="F191" t="inlineStr">
        <is>
          <t>DALARNAS LÄN</t>
        </is>
      </c>
      <c r="G191" t="inlineStr">
        <is>
          <t>SÄTER</t>
        </is>
      </c>
      <c r="H191" t="inlineStr">
        <is>
          <t>Kommuner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44924</v>
      </c>
      <c r="E192" s="1" t="n">
        <v>46277</v>
      </c>
      <c r="F192" t="inlineStr">
        <is>
          <t>DALARNAS LÄN</t>
        </is>
      </c>
      <c r="G192" t="inlineStr">
        <is>
          <t>SÄTER</t>
        </is>
      </c>
      <c r="H192" t="inlineStr">
        <is>
          <t>Kommuner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45939</v>
      </c>
      <c r="E193" s="1" t="n">
        <v>46277</v>
      </c>
      <c r="F193" t="inlineStr">
        <is>
          <t>DALARNAS LÄN</t>
        </is>
      </c>
      <c r="G193" t="inlineStr">
        <is>
          <t>SÄTER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45527</v>
      </c>
      <c r="E194" s="1" t="n">
        <v>46277</v>
      </c>
      <c r="F194" t="inlineStr">
        <is>
          <t>DALARNAS LÄN</t>
        </is>
      </c>
      <c r="G194" t="inlineStr">
        <is>
          <t>SÄTER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46073</v>
      </c>
      <c r="E195" s="1" t="n">
        <v>46277</v>
      </c>
      <c r="F195" t="inlineStr">
        <is>
          <t>DALARNAS LÄN</t>
        </is>
      </c>
      <c r="G195" t="inlineStr">
        <is>
          <t>SÄTER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46277</v>
      </c>
      <c r="F196" t="inlineStr">
        <is>
          <t>DALARNAS LÄN</t>
        </is>
      </c>
      <c r="G196" t="inlineStr">
        <is>
          <t>SÄTER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46027</v>
      </c>
      <c r="E197" s="1" t="n">
        <v>46277</v>
      </c>
      <c r="F197" t="inlineStr">
        <is>
          <t>DALARNAS LÄN</t>
        </is>
      </c>
      <c r="G197" t="inlineStr">
        <is>
          <t>SÄTER</t>
        </is>
      </c>
      <c r="I197" t="n">
        <v>12.1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46026</v>
      </c>
      <c r="E198" s="1" t="n">
        <v>46277</v>
      </c>
      <c r="F198" t="inlineStr">
        <is>
          <t>DALARNAS LÄN</t>
        </is>
      </c>
      <c r="G198" t="inlineStr">
        <is>
          <t>SÄTER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46277</v>
      </c>
      <c r="F199" t="inlineStr">
        <is>
          <t>DALARNAS LÄN</t>
        </is>
      </c>
      <c r="G199" t="inlineStr">
        <is>
          <t>SÄTER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46030</v>
      </c>
      <c r="E200" s="1" t="n">
        <v>46277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52220-2021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46277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46277</v>
      </c>
      <c r="F202" t="inlineStr">
        <is>
          <t>DALARNAS LÄN</t>
        </is>
      </c>
      <c r="G202" t="inlineStr">
        <is>
          <t>SÄTER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46277</v>
      </c>
      <c r="F203" t="inlineStr">
        <is>
          <t>DALARNAS LÄN</t>
        </is>
      </c>
      <c r="G203" t="inlineStr">
        <is>
          <t>SÄTER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46277</v>
      </c>
      <c r="F204" t="inlineStr">
        <is>
          <t>DALARNAS LÄN</t>
        </is>
      </c>
      <c r="G204" t="inlineStr">
        <is>
          <t>SÄTER</t>
        </is>
      </c>
      <c r="H204" t="inlineStr">
        <is>
          <t>Kommuner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46277</v>
      </c>
      <c r="F205" t="inlineStr">
        <is>
          <t>DALARNAS LÄN</t>
        </is>
      </c>
      <c r="G205" t="inlineStr">
        <is>
          <t>SÄTER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46277</v>
      </c>
      <c r="F206" t="inlineStr">
        <is>
          <t>DALARNAS LÄN</t>
        </is>
      </c>
      <c r="G206" t="inlineStr">
        <is>
          <t>SÄTER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46277</v>
      </c>
      <c r="F207" t="inlineStr">
        <is>
          <t>DALARNAS LÄN</t>
        </is>
      </c>
      <c r="G207" t="inlineStr">
        <is>
          <t>SÄTER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46277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10.8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46277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46277</v>
      </c>
      <c r="F210" t="inlineStr">
        <is>
          <t>DALARNAS LÄN</t>
        </is>
      </c>
      <c r="G210" t="inlineStr">
        <is>
          <t>SÄTER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46277</v>
      </c>
      <c r="F211" t="inlineStr">
        <is>
          <t>DALARNAS LÄN</t>
        </is>
      </c>
      <c r="G211" t="inlineStr">
        <is>
          <t>SÄTER</t>
        </is>
      </c>
      <c r="I211" t="n">
        <v>10.9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46277</v>
      </c>
      <c r="F212" t="inlineStr">
        <is>
          <t>DALARNAS LÄN</t>
        </is>
      </c>
      <c r="G212" t="inlineStr">
        <is>
          <t>SÄTER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46277</v>
      </c>
      <c r="F213" t="inlineStr">
        <is>
          <t>DALARNAS LÄN</t>
        </is>
      </c>
      <c r="G213" t="inlineStr">
        <is>
          <t>SÄTER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46277</v>
      </c>
      <c r="F214" t="inlineStr">
        <is>
          <t>DALARNAS LÄN</t>
        </is>
      </c>
      <c r="G214" t="inlineStr">
        <is>
          <t>SÄTER</t>
        </is>
      </c>
      <c r="I214" t="n">
        <v>10.6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46277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46277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46277</v>
      </c>
      <c r="F217" t="inlineStr">
        <is>
          <t>DALARNAS LÄN</t>
        </is>
      </c>
      <c r="G217" t="inlineStr">
        <is>
          <t>SÄTER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46277</v>
      </c>
      <c r="F218" t="inlineStr">
        <is>
          <t>DALARNAS LÄN</t>
        </is>
      </c>
      <c r="G218" t="inlineStr">
        <is>
          <t>SÄTER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46277</v>
      </c>
      <c r="F219" t="inlineStr">
        <is>
          <t>DALARNAS LÄN</t>
        </is>
      </c>
      <c r="G219" t="inlineStr">
        <is>
          <t>SÄTER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46277</v>
      </c>
      <c r="F220" t="inlineStr">
        <is>
          <t>DALARNAS LÄN</t>
        </is>
      </c>
      <c r="G220" t="inlineStr">
        <is>
          <t>SÄTER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45574</v>
      </c>
      <c r="E221" s="1" t="n">
        <v>46277</v>
      </c>
      <c r="F221" t="inlineStr">
        <is>
          <t>DALARNAS LÄN</t>
        </is>
      </c>
      <c r="G221" t="inlineStr">
        <is>
          <t>SÄTER</t>
        </is>
      </c>
      <c r="H221" t="inlineStr">
        <is>
          <t>Bergvik skog väst AB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45216</v>
      </c>
      <c r="E222" s="1" t="n">
        <v>46277</v>
      </c>
      <c r="F222" t="inlineStr">
        <is>
          <t>DALARNAS LÄN</t>
        </is>
      </c>
      <c r="G222" t="inlineStr">
        <is>
          <t>SÄTER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46277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46277</v>
      </c>
      <c r="F224" t="inlineStr">
        <is>
          <t>DALARNAS LÄN</t>
        </is>
      </c>
      <c r="G224" t="inlineStr">
        <is>
          <t>SÄTER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44572</v>
      </c>
      <c r="E225" s="1" t="n">
        <v>46277</v>
      </c>
      <c r="F225" t="inlineStr">
        <is>
          <t>DALARNAS LÄN</t>
        </is>
      </c>
      <c r="G225" t="inlineStr">
        <is>
          <t>SÄTER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46057</v>
      </c>
      <c r="E226" s="1" t="n">
        <v>46277</v>
      </c>
      <c r="F226" t="inlineStr">
        <is>
          <t>DALARNAS LÄN</t>
        </is>
      </c>
      <c r="G226" t="inlineStr">
        <is>
          <t>SÄTER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46277</v>
      </c>
      <c r="F227" t="inlineStr">
        <is>
          <t>DALARNAS LÄN</t>
        </is>
      </c>
      <c r="G227" t="inlineStr">
        <is>
          <t>SÄTER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46277</v>
      </c>
      <c r="F228" t="inlineStr">
        <is>
          <t>DALARNAS LÄN</t>
        </is>
      </c>
      <c r="G228" t="inlineStr">
        <is>
          <t>SÄTER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46277</v>
      </c>
      <c r="F229" t="inlineStr">
        <is>
          <t>DALARNAS LÄN</t>
        </is>
      </c>
      <c r="G229" t="inlineStr">
        <is>
          <t>SÄTER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46277</v>
      </c>
      <c r="F230" t="inlineStr">
        <is>
          <t>DALARNAS LÄN</t>
        </is>
      </c>
      <c r="G230" t="inlineStr">
        <is>
          <t>SÄTER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46277</v>
      </c>
      <c r="F231" t="inlineStr">
        <is>
          <t>DALARNAS LÄN</t>
        </is>
      </c>
      <c r="G231" t="inlineStr">
        <is>
          <t>SÄTER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12330-2026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46087</v>
      </c>
      <c r="E232" s="1" t="n">
        <v>46277</v>
      </c>
      <c r="F232" t="inlineStr">
        <is>
          <t>DALARNAS LÄN</t>
        </is>
      </c>
      <c r="G232" t="inlineStr">
        <is>
          <t>SÄTER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46277</v>
      </c>
      <c r="F233" t="inlineStr">
        <is>
          <t>DALARNAS LÄN</t>
        </is>
      </c>
      <c r="G233" t="inlineStr">
        <is>
          <t>SÄTER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46277</v>
      </c>
      <c r="F234" t="inlineStr">
        <is>
          <t>DALARNAS LÄN</t>
        </is>
      </c>
      <c r="G234" t="inlineStr">
        <is>
          <t>SÄTER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46277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46277</v>
      </c>
      <c r="F236" t="inlineStr">
        <is>
          <t>DALARNAS LÄN</t>
        </is>
      </c>
      <c r="G236" t="inlineStr">
        <is>
          <t>SÄTER</t>
        </is>
      </c>
      <c r="H236" t="inlineStr">
        <is>
          <t>Kommuner</t>
        </is>
      </c>
      <c r="I236" t="n">
        <v>42.6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46277</v>
      </c>
      <c r="F237" t="inlineStr">
        <is>
          <t>DALARNAS LÄN</t>
        </is>
      </c>
      <c r="G237" t="inlineStr">
        <is>
          <t>SÄTER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46098</v>
      </c>
      <c r="E238" s="1" t="n">
        <v>46277</v>
      </c>
      <c r="F238" t="inlineStr">
        <is>
          <t>DALARNAS LÄN</t>
        </is>
      </c>
      <c r="G238" t="inlineStr">
        <is>
          <t>SÄTER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46277</v>
      </c>
      <c r="F239" t="inlineStr">
        <is>
          <t>DALARNAS LÄN</t>
        </is>
      </c>
      <c r="G239" t="inlineStr">
        <is>
          <t>SÄTER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44630</v>
      </c>
      <c r="E240" s="1" t="n">
        <v>46277</v>
      </c>
      <c r="F240" t="inlineStr">
        <is>
          <t>DALARNAS LÄN</t>
        </is>
      </c>
      <c r="G240" t="inlineStr">
        <is>
          <t>SÄTER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46277</v>
      </c>
      <c r="F241" t="inlineStr">
        <is>
          <t>DALARNAS LÄN</t>
        </is>
      </c>
      <c r="G241" t="inlineStr">
        <is>
          <t>SÄTER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46277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46277</v>
      </c>
      <c r="F243" t="inlineStr">
        <is>
          <t>DALARNAS LÄN</t>
        </is>
      </c>
      <c r="G243" t="inlineStr">
        <is>
          <t>SÄTER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46277</v>
      </c>
      <c r="F244" t="inlineStr">
        <is>
          <t>DALARNAS LÄN</t>
        </is>
      </c>
      <c r="G244" t="inlineStr">
        <is>
          <t>SÄTER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22148-2026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46277</v>
      </c>
      <c r="F245" t="inlineStr">
        <is>
          <t>DALARNAS LÄN</t>
        </is>
      </c>
      <c r="G245" t="inlineStr">
        <is>
          <t>SÄTER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60655-2024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45644</v>
      </c>
      <c r="E246" s="1" t="n">
        <v>46277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46154</v>
      </c>
      <c r="E247" s="1" t="n">
        <v>46277</v>
      </c>
      <c r="F247" t="inlineStr">
        <is>
          <t>DALARNAS LÄN</t>
        </is>
      </c>
      <c r="G247" t="inlineStr">
        <is>
          <t>SÄTER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51847-2024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46277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46277</v>
      </c>
      <c r="F249" t="inlineStr">
        <is>
          <t>DALARNAS LÄN</t>
        </is>
      </c>
      <c r="G249" t="inlineStr">
        <is>
          <t>SÄTER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45427</v>
      </c>
      <c r="E250" s="1" t="n">
        <v>46277</v>
      </c>
      <c r="F250" t="inlineStr">
        <is>
          <t>DALARNAS LÄN</t>
        </is>
      </c>
      <c r="G250" t="inlineStr">
        <is>
          <t>SÄTER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46155</v>
      </c>
      <c r="E251" s="1" t="n">
        <v>46277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46277</v>
      </c>
      <c r="F252" t="inlineStr">
        <is>
          <t>DALARNAS LÄN</t>
        </is>
      </c>
      <c r="G252" t="inlineStr">
        <is>
          <t>SÄTER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44691</v>
      </c>
      <c r="E253" s="1" t="n">
        <v>46277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46277</v>
      </c>
      <c r="F254" t="inlineStr">
        <is>
          <t>DALARNAS LÄN</t>
        </is>
      </c>
      <c r="G254" t="inlineStr">
        <is>
          <t>SÄTER</t>
        </is>
      </c>
      <c r="H254" t="inlineStr">
        <is>
          <t>Kommuner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46277</v>
      </c>
      <c r="F255" t="inlineStr">
        <is>
          <t>DALARNAS LÄN</t>
        </is>
      </c>
      <c r="G255" t="inlineStr">
        <is>
          <t>SÄTER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46277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46163</v>
      </c>
      <c r="E257" s="1" t="n">
        <v>46277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46277</v>
      </c>
      <c r="F258" t="inlineStr">
        <is>
          <t>DALARNAS LÄN</t>
        </is>
      </c>
      <c r="G258" t="inlineStr">
        <is>
          <t>SÄTER</t>
        </is>
      </c>
      <c r="H258" t="inlineStr">
        <is>
          <t>Bergvik skog väst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46277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46277</v>
      </c>
      <c r="F260" t="inlineStr">
        <is>
          <t>DALARNAS LÄN</t>
        </is>
      </c>
      <c r="G260" t="inlineStr">
        <is>
          <t>SÄTER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46277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46277</v>
      </c>
      <c r="F262" t="inlineStr">
        <is>
          <t>DALARNAS LÄN</t>
        </is>
      </c>
      <c r="G262" t="inlineStr">
        <is>
          <t>SÄTER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46277</v>
      </c>
      <c r="F263" t="inlineStr">
        <is>
          <t>DALARNAS LÄN</t>
        </is>
      </c>
      <c r="G263" t="inlineStr">
        <is>
          <t>SÄTER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46277</v>
      </c>
      <c r="F264" t="inlineStr">
        <is>
          <t>DALARNAS LÄN</t>
        </is>
      </c>
      <c r="G264" t="inlineStr">
        <is>
          <t>SÄTER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46277</v>
      </c>
      <c r="F265" t="inlineStr">
        <is>
          <t>DALARNAS LÄN</t>
        </is>
      </c>
      <c r="G265" t="inlineStr">
        <is>
          <t>SÄTER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36847-2023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46277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46277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46277</v>
      </c>
      <c r="F268" t="inlineStr">
        <is>
          <t>DALARNAS LÄN</t>
        </is>
      </c>
      <c r="G268" t="inlineStr">
        <is>
          <t>SÄTER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45670</v>
      </c>
      <c r="E269" s="1" t="n">
        <v>46277</v>
      </c>
      <c r="F269" t="inlineStr">
        <is>
          <t>DALARNAS LÄN</t>
        </is>
      </c>
      <c r="G269" t="inlineStr">
        <is>
          <t>SÄTER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44690</v>
      </c>
      <c r="E270" s="1" t="n">
        <v>46277</v>
      </c>
      <c r="F270" t="inlineStr">
        <is>
          <t>DALARNAS LÄN</t>
        </is>
      </c>
      <c r="G270" t="inlineStr">
        <is>
          <t>SÄTER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44727</v>
      </c>
      <c r="E271" s="1" t="n">
        <v>46277</v>
      </c>
      <c r="F271" t="inlineStr">
        <is>
          <t>DALARNAS LÄN</t>
        </is>
      </c>
      <c r="G271" t="inlineStr">
        <is>
          <t>SÄTER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44711</v>
      </c>
      <c r="E272" s="1" t="n">
        <v>46277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46277</v>
      </c>
      <c r="F273" t="inlineStr">
        <is>
          <t>DALARNAS LÄN</t>
        </is>
      </c>
      <c r="G273" t="inlineStr">
        <is>
          <t>SÄTER</t>
        </is>
      </c>
      <c r="H273" t="inlineStr">
        <is>
          <t>Övriga statliga verk och myndigheter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46076</v>
      </c>
      <c r="E274" s="1" t="n">
        <v>46277</v>
      </c>
      <c r="F274" t="inlineStr">
        <is>
          <t>DALARNAS LÄN</t>
        </is>
      </c>
      <c r="G274" t="inlineStr">
        <is>
          <t>SÄTER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45247</v>
      </c>
      <c r="E275" s="1" t="n">
        <v>46277</v>
      </c>
      <c r="F275" t="inlineStr">
        <is>
          <t>DALARNAS LÄN</t>
        </is>
      </c>
      <c r="G275" t="inlineStr">
        <is>
          <t>SÄTER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46277</v>
      </c>
      <c r="F276" t="inlineStr">
        <is>
          <t>DALARNAS LÄN</t>
        </is>
      </c>
      <c r="G276" t="inlineStr">
        <is>
          <t>SÄTER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25690-2022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44732</v>
      </c>
      <c r="E277" s="1" t="n">
        <v>46277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52193-2021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44463</v>
      </c>
      <c r="E278" s="1" t="n">
        <v>46277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46277</v>
      </c>
      <c r="F279" t="inlineStr">
        <is>
          <t>DALARNAS LÄN</t>
        </is>
      </c>
      <c r="G279" t="inlineStr">
        <is>
          <t>SÄTER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44812</v>
      </c>
      <c r="E280" s="1" t="n">
        <v>46277</v>
      </c>
      <c r="F280" t="inlineStr">
        <is>
          <t>DALARNAS LÄN</t>
        </is>
      </c>
      <c r="G280" t="inlineStr">
        <is>
          <t>SÄTER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45265</v>
      </c>
      <c r="E281" s="1" t="n">
        <v>46277</v>
      </c>
      <c r="F281" t="inlineStr">
        <is>
          <t>DALARNAS LÄN</t>
        </is>
      </c>
      <c r="G281" t="inlineStr">
        <is>
          <t>SÄTER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46190</v>
      </c>
      <c r="E282" s="1" t="n">
        <v>46277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63152-2023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45273</v>
      </c>
      <c r="E283" s="1" t="n">
        <v>46277</v>
      </c>
      <c r="F283" t="inlineStr">
        <is>
          <t>DALARNAS LÄN</t>
        </is>
      </c>
      <c r="G283" t="inlineStr">
        <is>
          <t>SÄTER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46277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46277</v>
      </c>
      <c r="F285" t="inlineStr">
        <is>
          <t>DALARNAS LÄN</t>
        </is>
      </c>
      <c r="G285" t="inlineStr">
        <is>
          <t>SÄTER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46277</v>
      </c>
      <c r="F286" t="inlineStr">
        <is>
          <t>DALARNAS LÄN</t>
        </is>
      </c>
      <c r="G286" t="inlineStr">
        <is>
          <t>SÄTER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46277</v>
      </c>
      <c r="F287" t="inlineStr">
        <is>
          <t>DALARNAS LÄN</t>
        </is>
      </c>
      <c r="G287" t="inlineStr">
        <is>
          <t>SÄTER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46277</v>
      </c>
      <c r="F288" t="inlineStr">
        <is>
          <t>DALARNAS LÄN</t>
        </is>
      </c>
      <c r="G288" t="inlineStr">
        <is>
          <t>SÄTER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45520</v>
      </c>
      <c r="E289" s="1" t="n">
        <v>46277</v>
      </c>
      <c r="F289" t="inlineStr">
        <is>
          <t>DALARNAS LÄN</t>
        </is>
      </c>
      <c r="G289" t="inlineStr">
        <is>
          <t>SÄTER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54141-2023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46277</v>
      </c>
      <c r="F290" t="inlineStr">
        <is>
          <t>DALARNAS LÄN</t>
        </is>
      </c>
      <c r="G290" t="inlineStr">
        <is>
          <t>SÄTER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28281-2026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46277</v>
      </c>
      <c r="F291" t="inlineStr">
        <is>
          <t>DALARNAS LÄN</t>
        </is>
      </c>
      <c r="G291" t="inlineStr">
        <is>
          <t>SÄTER</t>
        </is>
      </c>
      <c r="H291" t="inlineStr">
        <is>
          <t>Sveaskog</t>
        </is>
      </c>
      <c r="I291" t="n">
        <v>19.8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44581</v>
      </c>
      <c r="E292" s="1" t="n">
        <v>46277</v>
      </c>
      <c r="F292" t="inlineStr">
        <is>
          <t>DALARNAS LÄN</t>
        </is>
      </c>
      <c r="G292" t="inlineStr">
        <is>
          <t>SÄTER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45432</v>
      </c>
      <c r="E293" s="1" t="n">
        <v>46277</v>
      </c>
      <c r="F293" t="inlineStr">
        <is>
          <t>DALARNAS LÄN</t>
        </is>
      </c>
      <c r="G293" t="inlineStr">
        <is>
          <t>SÄTER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44960</v>
      </c>
      <c r="E294" s="1" t="n">
        <v>46277</v>
      </c>
      <c r="F294" t="inlineStr">
        <is>
          <t>DALARNAS LÄN</t>
        </is>
      </c>
      <c r="G294" t="inlineStr">
        <is>
          <t>SÄTER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44953</v>
      </c>
      <c r="E295" s="1" t="n">
        <v>46277</v>
      </c>
      <c r="F295" t="inlineStr">
        <is>
          <t>DALARNAS LÄN</t>
        </is>
      </c>
      <c r="G295" t="inlineStr">
        <is>
          <t>SÄTER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46204</v>
      </c>
      <c r="E296" s="1" t="n">
        <v>46277</v>
      </c>
      <c r="F296" t="inlineStr">
        <is>
          <t>DALARNAS LÄN</t>
        </is>
      </c>
      <c r="G296" t="inlineStr">
        <is>
          <t>SÄTER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51328-2024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45604</v>
      </c>
      <c r="E297" s="1" t="n">
        <v>46277</v>
      </c>
      <c r="F297" t="inlineStr">
        <is>
          <t>DALARNAS LÄN</t>
        </is>
      </c>
      <c r="G297" t="inlineStr">
        <is>
          <t>SÄTER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51339-2024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45604</v>
      </c>
      <c r="E298" s="1" t="n">
        <v>46277</v>
      </c>
      <c r="F298" t="inlineStr">
        <is>
          <t>DALARNAS LÄN</t>
        </is>
      </c>
      <c r="G298" t="inlineStr">
        <is>
          <t>SÄTER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46277</v>
      </c>
      <c r="F299" t="inlineStr">
        <is>
          <t>DALARNAS LÄN</t>
        </is>
      </c>
      <c r="G299" t="inlineStr">
        <is>
          <t>SÄTER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45604</v>
      </c>
      <c r="E300" s="1" t="n">
        <v>46277</v>
      </c>
      <c r="F300" t="inlineStr">
        <is>
          <t>DALARNAS LÄN</t>
        </is>
      </c>
      <c r="G300" t="inlineStr">
        <is>
          <t>SÄTER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12957-2022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44643</v>
      </c>
      <c r="E301" s="1" t="n">
        <v>46277</v>
      </c>
      <c r="F301" t="inlineStr">
        <is>
          <t>DALARNAS LÄN</t>
        </is>
      </c>
      <c r="G301" t="inlineStr">
        <is>
          <t>SÄTER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8810-2026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46277</v>
      </c>
      <c r="F302" t="inlineStr">
        <is>
          <t>DALARNAS LÄN</t>
        </is>
      </c>
      <c r="G302" t="inlineStr">
        <is>
          <t>SÄTER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57430-2022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44896</v>
      </c>
      <c r="E303" s="1" t="n">
        <v>46277</v>
      </c>
      <c r="F303" t="inlineStr">
        <is>
          <t>DALARNAS LÄN</t>
        </is>
      </c>
      <c r="G303" t="inlineStr">
        <is>
          <t>SÄTER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46254</v>
      </c>
      <c r="E304" s="1" t="n">
        <v>46277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46277</v>
      </c>
      <c r="F305" t="inlineStr">
        <is>
          <t>DALARNAS LÄN</t>
        </is>
      </c>
      <c r="G305" t="inlineStr">
        <is>
          <t>SÄTER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46211</v>
      </c>
      <c r="E306" s="1" t="n">
        <v>46277</v>
      </c>
      <c r="F306" t="inlineStr">
        <is>
          <t>DALARNAS LÄN</t>
        </is>
      </c>
      <c r="G306" t="inlineStr">
        <is>
          <t>SÄTER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34990-2024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46277</v>
      </c>
      <c r="F307" t="inlineStr">
        <is>
          <t>DALARNAS LÄN</t>
        </is>
      </c>
      <c r="G307" t="inlineStr">
        <is>
          <t>SÄTER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45527</v>
      </c>
      <c r="E308" s="1" t="n">
        <v>46277</v>
      </c>
      <c r="F308" t="inlineStr">
        <is>
          <t>DALARNAS LÄN</t>
        </is>
      </c>
      <c r="G308" t="inlineStr">
        <is>
          <t>SÄTER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45599</v>
      </c>
      <c r="E309" s="1" t="n">
        <v>46277</v>
      </c>
      <c r="F309" t="inlineStr">
        <is>
          <t>DALARNAS LÄN</t>
        </is>
      </c>
      <c r="G309" t="inlineStr">
        <is>
          <t>SÄTER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35564-2026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46262</v>
      </c>
      <c r="E310" s="1" t="n">
        <v>46277</v>
      </c>
      <c r="F310" t="inlineStr">
        <is>
          <t>DALARNAS LÄN</t>
        </is>
      </c>
      <c r="G310" t="inlineStr">
        <is>
          <t>SÄTER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35385-2026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46261</v>
      </c>
      <c r="E311" s="1" t="n">
        <v>46277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45411</v>
      </c>
      <c r="E312" s="1" t="n">
        <v>46277</v>
      </c>
      <c r="F312" t="inlineStr">
        <is>
          <t>DALARNAS LÄN</t>
        </is>
      </c>
      <c r="G312" t="inlineStr">
        <is>
          <t>SÄTER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45628</v>
      </c>
      <c r="E313" s="1" t="n">
        <v>46277</v>
      </c>
      <c r="F313" t="inlineStr">
        <is>
          <t>DALARNAS LÄN</t>
        </is>
      </c>
      <c r="G313" t="inlineStr">
        <is>
          <t>SÄTER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46277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9586-2023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44982</v>
      </c>
      <c r="E315" s="1" t="n">
        <v>46277</v>
      </c>
      <c r="F315" t="inlineStr">
        <is>
          <t>DALARNAS LÄN</t>
        </is>
      </c>
      <c r="G315" t="inlineStr">
        <is>
          <t>SÄTER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62368-2023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45268</v>
      </c>
      <c r="E316" s="1" t="n">
        <v>46277</v>
      </c>
      <c r="F316" t="inlineStr">
        <is>
          <t>DALARNAS LÄN</t>
        </is>
      </c>
      <c r="G316" t="inlineStr">
        <is>
          <t>SÄTER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46277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21766-2024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45442</v>
      </c>
      <c r="E318" s="1" t="n">
        <v>46277</v>
      </c>
      <c r="F318" t="inlineStr">
        <is>
          <t>DALARNAS LÄN</t>
        </is>
      </c>
      <c r="G318" t="inlineStr">
        <is>
          <t>SÄTER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44935</v>
      </c>
      <c r="E319" s="1" t="n">
        <v>46277</v>
      </c>
      <c r="F319" t="inlineStr">
        <is>
          <t>DALARNAS LÄN</t>
        </is>
      </c>
      <c r="G319" t="inlineStr">
        <is>
          <t>SÄTER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32892-2022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44784</v>
      </c>
      <c r="E320" s="1" t="n">
        <v>46277</v>
      </c>
      <c r="F320" t="inlineStr">
        <is>
          <t>DALARNAS LÄN</t>
        </is>
      </c>
      <c r="G320" t="inlineStr">
        <is>
          <t>SÄTER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32904-2022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46277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45527</v>
      </c>
      <c r="E322" s="1" t="n">
        <v>46277</v>
      </c>
      <c r="F322" t="inlineStr">
        <is>
          <t>DALARNAS LÄN</t>
        </is>
      </c>
      <c r="G322" t="inlineStr">
        <is>
          <t>SÄTER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46277</v>
      </c>
      <c r="F323" t="inlineStr">
        <is>
          <t>DALARNAS LÄN</t>
        </is>
      </c>
      <c r="G323" t="inlineStr">
        <is>
          <t>SÄTER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34652-2024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45526</v>
      </c>
      <c r="E324" s="1" t="n">
        <v>46277</v>
      </c>
      <c r="F324" t="inlineStr">
        <is>
          <t>DALARNAS LÄN</t>
        </is>
      </c>
      <c r="G324" t="inlineStr">
        <is>
          <t>SÄTER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44811</v>
      </c>
      <c r="E325" s="1" t="n">
        <v>46277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44978</v>
      </c>
      <c r="E326" s="1" t="n">
        <v>46277</v>
      </c>
      <c r="F326" t="inlineStr">
        <is>
          <t>DALARNAS LÄN</t>
        </is>
      </c>
      <c r="G326" t="inlineStr">
        <is>
          <t>SÄTER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46277</v>
      </c>
      <c r="F327" t="inlineStr">
        <is>
          <t>DALARNAS LÄN</t>
        </is>
      </c>
      <c r="G327" t="inlineStr">
        <is>
          <t>SÄTER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42225-2022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44830</v>
      </c>
      <c r="E328" s="1" t="n">
        <v>46277</v>
      </c>
      <c r="F328" t="inlineStr">
        <is>
          <t>DALARNAS LÄN</t>
        </is>
      </c>
      <c r="G328" t="inlineStr">
        <is>
          <t>SÄTER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46275</v>
      </c>
      <c r="E329" s="1" t="n">
        <v>46277</v>
      </c>
      <c r="F329" t="inlineStr">
        <is>
          <t>DALARNAS LÄN</t>
        </is>
      </c>
      <c r="G329" t="inlineStr">
        <is>
          <t>SÄTER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10406-2024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46277</v>
      </c>
      <c r="F330" t="inlineStr">
        <is>
          <t>DALARNAS LÄN</t>
        </is>
      </c>
      <c r="G330" t="inlineStr">
        <is>
          <t>SÄTER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46275</v>
      </c>
      <c r="E331" s="1" t="n">
        <v>46277</v>
      </c>
      <c r="F331" t="inlineStr">
        <is>
          <t>DALARNAS LÄN</t>
        </is>
      </c>
      <c r="G331" t="inlineStr">
        <is>
          <t>SÄTER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51333-2024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45604</v>
      </c>
      <c r="E332" s="1" t="n">
        <v>46277</v>
      </c>
      <c r="F332" t="inlineStr">
        <is>
          <t>DALARNAS LÄN</t>
        </is>
      </c>
      <c r="G332" t="inlineStr">
        <is>
          <t>SÄTER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45175</v>
      </c>
      <c r="E333" s="1" t="n">
        <v>46277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36969-2026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46273</v>
      </c>
      <c r="E334" s="1" t="n">
        <v>46277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46234</v>
      </c>
      <c r="E335" s="1" t="n">
        <v>46277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46277</v>
      </c>
      <c r="F336" t="inlineStr">
        <is>
          <t>DALARNAS LÄN</t>
        </is>
      </c>
      <c r="G336" t="inlineStr">
        <is>
          <t>SÄTER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  <c r="Z336">
        <f>HYPERLINK("https://klasma.github.io/Logging_2082/knärot/A 498-2025 karta knärot.png", "A 498-2025")</f>
        <v/>
      </c>
      <c r="AA336">
        <f>HYPERLINK("https://klasma.github.io/Logging_2082/klagomål/A 498-2025 FSC-klagomål.docx", "A 498-2025")</f>
        <v/>
      </c>
      <c r="AB336">
        <f>HYPERLINK("https://klasma.github.io/Logging_2082/klagomålsmail/A 498-2025 FSC-klagomål mail.docx", "A 498-2025")</f>
        <v/>
      </c>
      <c r="AC336">
        <f>HYPERLINK("https://klasma.github.io/Logging_2082/tillsyn/A 498-2025 tillsynsbegäran.docx", "A 498-2025")</f>
        <v/>
      </c>
      <c r="AD336">
        <f>HYPERLINK("https://klasma.github.io/Logging_2082/tillsynsmail/A 498-2025 tillsynsbegäran mail.docx", "A 498-2025")</f>
        <v/>
      </c>
    </row>
    <row r="337" ht="15" customHeight="1">
      <c r="A337" t="inlineStr">
        <is>
          <t>A 61344-2023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45264</v>
      </c>
      <c r="E337" s="1" t="n">
        <v>46277</v>
      </c>
      <c r="F337" t="inlineStr">
        <is>
          <t>DALARNAS LÄN</t>
        </is>
      </c>
      <c r="G337" t="inlineStr">
        <is>
          <t>SÄTER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46277</v>
      </c>
      <c r="F338" t="inlineStr">
        <is>
          <t>DALARNAS LÄN</t>
        </is>
      </c>
      <c r="G338" t="inlineStr">
        <is>
          <t>SÄTER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41471-2023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45171</v>
      </c>
      <c r="E339" s="1" t="n">
        <v>46277</v>
      </c>
      <c r="F339" t="inlineStr">
        <is>
          <t>DALARNAS LÄN</t>
        </is>
      </c>
      <c r="G339" t="inlineStr">
        <is>
          <t>SÄTER</t>
        </is>
      </c>
      <c r="H339" t="inlineStr">
        <is>
          <t>Bergvik skog väst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45596</v>
      </c>
      <c r="E340" s="1" t="n">
        <v>46277</v>
      </c>
      <c r="F340" t="inlineStr">
        <is>
          <t>DALARNAS LÄN</t>
        </is>
      </c>
      <c r="G340" t="inlineStr">
        <is>
          <t>SÄTER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46277</v>
      </c>
      <c r="F341" t="inlineStr">
        <is>
          <t>DALARNAS LÄN</t>
        </is>
      </c>
      <c r="G341" t="inlineStr">
        <is>
          <t>SÄTER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19322-2024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46277</v>
      </c>
      <c r="F342" t="inlineStr">
        <is>
          <t>DALARNAS LÄN</t>
        </is>
      </c>
      <c r="G342" t="inlineStr">
        <is>
          <t>SÄTER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45432</v>
      </c>
      <c r="E343" s="1" t="n">
        <v>46277</v>
      </c>
      <c r="F343" t="inlineStr">
        <is>
          <t>DALARNAS LÄN</t>
        </is>
      </c>
      <c r="G343" t="inlineStr">
        <is>
          <t>SÄTER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46277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45700</v>
      </c>
      <c r="E345" s="1" t="n">
        <v>46277</v>
      </c>
      <c r="F345" t="inlineStr">
        <is>
          <t>DALARNAS LÄN</t>
        </is>
      </c>
      <c r="G345" t="inlineStr">
        <is>
          <t>SÄTER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45666</v>
      </c>
      <c r="E346" s="1" t="n">
        <v>46277</v>
      </c>
      <c r="F346" t="inlineStr">
        <is>
          <t>DALARNAS LÄN</t>
        </is>
      </c>
      <c r="G346" t="inlineStr">
        <is>
          <t>SÄTER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10404-2024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45365</v>
      </c>
      <c r="E347" s="1" t="n">
        <v>46277</v>
      </c>
      <c r="F347" t="inlineStr">
        <is>
          <t>DALARNAS LÄN</t>
        </is>
      </c>
      <c r="G347" t="inlineStr">
        <is>
          <t>SÄTER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46277</v>
      </c>
      <c r="F348" t="inlineStr">
        <is>
          <t>DALARNAS LÄN</t>
        </is>
      </c>
      <c r="G348" t="inlineStr">
        <is>
          <t>SÄTER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33482-2023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46277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25294-2024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46277</v>
      </c>
      <c r="F350" t="inlineStr">
        <is>
          <t>DALARNAS LÄN</t>
        </is>
      </c>
      <c r="G350" t="inlineStr">
        <is>
          <t>SÄTER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12285-2024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45377</v>
      </c>
      <c r="E351" s="1" t="n">
        <v>46277</v>
      </c>
      <c r="F351" t="inlineStr">
        <is>
          <t>DALARNAS LÄN</t>
        </is>
      </c>
      <c r="G351" t="inlineStr">
        <is>
          <t>SÄTER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46277</v>
      </c>
      <c r="F352" t="inlineStr">
        <is>
          <t>DALARNAS LÄN</t>
        </is>
      </c>
      <c r="G352" t="inlineStr">
        <is>
          <t>SÄTER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45804</v>
      </c>
      <c r="E353" s="1" t="n">
        <v>46277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32886-2022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44784</v>
      </c>
      <c r="E354" s="1" t="n">
        <v>46277</v>
      </c>
      <c r="F354" t="inlineStr">
        <is>
          <t>DALARNAS LÄN</t>
        </is>
      </c>
      <c r="G354" t="inlineStr">
        <is>
          <t>SÄTER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46277</v>
      </c>
      <c r="F355" t="inlineStr">
        <is>
          <t>DALARNAS LÄN</t>
        </is>
      </c>
      <c r="G355" t="inlineStr">
        <is>
          <t>SÄTER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46277</v>
      </c>
      <c r="F356" t="inlineStr">
        <is>
          <t>DALARNAS LÄN</t>
        </is>
      </c>
      <c r="G356" t="inlineStr">
        <is>
          <t>SÄTER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46277</v>
      </c>
      <c r="F357" t="inlineStr">
        <is>
          <t>DALARNAS LÄN</t>
        </is>
      </c>
      <c r="G357" t="inlineStr">
        <is>
          <t>SÄTER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46277</v>
      </c>
      <c r="F358" t="inlineStr">
        <is>
          <t>DALARNAS LÄN</t>
        </is>
      </c>
      <c r="G358" t="inlineStr">
        <is>
          <t>SÄTER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46277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46277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46277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46277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46277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46277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46277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46277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46277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2026-09-12T02:09:47Z</dcterms:created>
  <dcterms:modified xmlns:dcterms="http://purl.org/dc/terms/" xmlns:xsi="http://www.w3.org/2001/XMLSchema-instance" xsi:type="dcterms:W3CDTF">2026-09-12T02:09:48Z</dcterms:modified>
</cp:coreProperties>
</file>