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46251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46251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46251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46251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46251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12817-2026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46251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28.2</v>
      </c>
      <c r="J15" t="n">
        <v>1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Ask
Grönsångare
Kransmossa</t>
        </is>
      </c>
      <c r="W15">
        <f>HYPERLINK("https://klasma.github.io/Logging_2082/artfynd/A 12817-2026 artfynd.xlsx", "A 12817-2026")</f>
        <v/>
      </c>
      <c r="X15">
        <f>HYPERLINK("https://klasma.github.io/Logging_2082/kartor/A 12817-2026 karta.png", "A 12817-2026")</f>
        <v/>
      </c>
      <c r="Y15">
        <f>HYPERLINK("https://klasma.github.io/Logging_2082/kartor_geotiff/A 12817-2026 georefererad karta.tif", "A 12817-2026")</f>
        <v/>
      </c>
      <c r="AA15">
        <f>HYPERLINK("https://klasma.github.io/Logging_2082/klagomål/A 12817-2026 FSC-klagomål.docx", "A 12817-2026")</f>
        <v/>
      </c>
      <c r="AB15">
        <f>HYPERLINK("https://klasma.github.io/Logging_2082/klagomålsmail/A 12817-2026 FSC-klagomål mail.docx", "A 12817-2026")</f>
        <v/>
      </c>
      <c r="AC15">
        <f>HYPERLINK("https://klasma.github.io/Logging_2082/tillsyn/A 12817-2026 tillsynsbegäran.docx", "A 12817-2026")</f>
        <v/>
      </c>
      <c r="AD15">
        <f>HYPERLINK("https://klasma.github.io/Logging_2082/tillsynsmail/A 12817-2026 tillsynsbegäran mail.docx", "A 12817-2026")</f>
        <v/>
      </c>
      <c r="AE15">
        <f>HYPERLINK("https://klasma.github.io/Logging_2082/fåglar/A 12817-2026 prioriterade fågelarter.docx", "A 12817-2026")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46251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46251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46251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46251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46251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46251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46251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46251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46251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46251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46251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46251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46251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46251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46251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46251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46251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5232-2022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44594</v>
      </c>
      <c r="E33" s="1" t="n">
        <v>46251</v>
      </c>
      <c r="F33" t="inlineStr">
        <is>
          <t>DALARNAS LÄN</t>
        </is>
      </c>
      <c r="G33" t="inlineStr">
        <is>
          <t>SÄTER</t>
        </is>
      </c>
      <c r="I33" t="n">
        <v>2.5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Tvåblad</t>
        </is>
      </c>
      <c r="W33">
        <f>HYPERLINK("https://klasma.github.io/Logging_2082/artfynd/A 5232-2022 artfynd.xlsx", "A 5232-2022")</f>
        <v/>
      </c>
      <c r="X33">
        <f>HYPERLINK("https://klasma.github.io/Logging_2082/kartor/A 5232-2022 karta.png", "A 5232-2022")</f>
        <v/>
      </c>
      <c r="Y33">
        <f>HYPERLINK("https://klasma.github.io/Logging_2082/kartor_geotiff/A 5232-2022 georefererad karta.tif", "A 5232-2022")</f>
        <v/>
      </c>
      <c r="AA33">
        <f>HYPERLINK("https://klasma.github.io/Logging_2082/klagomål/A 5232-2022 FSC-klagomål.docx", "A 5232-2022")</f>
        <v/>
      </c>
      <c r="AB33">
        <f>HYPERLINK("https://klasma.github.io/Logging_2082/klagomålsmail/A 5232-2022 FSC-klagomål mail.docx", "A 5232-2022")</f>
        <v/>
      </c>
      <c r="AC33">
        <f>HYPERLINK("https://klasma.github.io/Logging_2082/tillsyn/A 5232-2022 tillsynsbegäran.docx", "A 5232-2022")</f>
        <v/>
      </c>
      <c r="AD33">
        <f>HYPERLINK("https://klasma.github.io/Logging_2082/tillsynsmail/A 5232-2022 tillsynsbegäran mail.docx", "A 5232-2022")</f>
        <v/>
      </c>
    </row>
    <row r="34" ht="15" customHeight="1">
      <c r="A34" t="inlineStr">
        <is>
          <t>A 47064-2021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46251</v>
      </c>
      <c r="F34" t="inlineStr">
        <is>
          <t>DALARNAS LÄN</t>
        </is>
      </c>
      <c r="G34" t="inlineStr">
        <is>
          <t>SÄTER</t>
        </is>
      </c>
      <c r="I34" t="n">
        <v>2.9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HYPERLINK("https://klasma.github.io/Logging_2082/artfynd/A 47064-2021 artfynd.xlsx", "A 47064-2021")</f>
        <v/>
      </c>
      <c r="X34">
        <f>HYPERLINK("https://klasma.github.io/Logging_2082/kartor/A 47064-2021 karta.png", "A 47064-2021")</f>
        <v/>
      </c>
      <c r="Y34">
        <f>HYPERLINK("https://klasma.github.io/Logging_2082/kartor_geotiff/A 47064-2021 georefererad karta.tif", "A 47064-2021")</f>
        <v/>
      </c>
      <c r="AA34">
        <f>HYPERLINK("https://klasma.github.io/Logging_2082/klagomål/A 47064-2021 FSC-klagomål.docx", "A 47064-2021")</f>
        <v/>
      </c>
      <c r="AB34">
        <f>HYPERLINK("https://klasma.github.io/Logging_2082/klagomålsmail/A 47064-2021 FSC-klagomål mail.docx", "A 47064-2021")</f>
        <v/>
      </c>
      <c r="AC34">
        <f>HYPERLINK("https://klasma.github.io/Logging_2082/tillsyn/A 47064-2021 tillsynsbegäran.docx", "A 47064-2021")</f>
        <v/>
      </c>
      <c r="AD34">
        <f>HYPERLINK("https://klasma.github.io/Logging_2082/tillsynsmail/A 47064-2021 tillsynsbegäran mail.docx", "A 47064-2021")</f>
        <v/>
      </c>
      <c r="AE34">
        <f>HYPERLINK("https://klasma.github.io/Logging_2082/fåglar/A 47064-2021 prioriterade fågelarter.docx", "A 47064-2021")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46251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27715-2023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46251</v>
      </c>
      <c r="F36" t="inlineStr">
        <is>
          <t>DALARNAS LÄN</t>
        </is>
      </c>
      <c r="G36" t="inlineStr">
        <is>
          <t>SÄTER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HYPERLINK("https://klasma.github.io/Logging_2082/artfynd/A 27715-2023 artfynd.xlsx", "A 27715-2023")</f>
        <v/>
      </c>
      <c r="X36">
        <f>HYPERLINK("https://klasma.github.io/Logging_2082/kartor/A 27715-2023 karta.png", "A 27715-2023")</f>
        <v/>
      </c>
      <c r="Y36">
        <f>HYPERLINK("https://klasma.github.io/Logging_2082/kartor_geotiff/A 27715-2023 georefererad karta.tif", "A 27715-2023")</f>
        <v/>
      </c>
      <c r="AA36">
        <f>HYPERLINK("https://klasma.github.io/Logging_2082/klagomål/A 27715-2023 FSC-klagomål.docx", "A 27715-2023")</f>
        <v/>
      </c>
      <c r="AB36">
        <f>HYPERLINK("https://klasma.github.io/Logging_2082/klagomålsmail/A 27715-2023 FSC-klagomål mail.docx", "A 27715-2023")</f>
        <v/>
      </c>
      <c r="AC36">
        <f>HYPERLINK("https://klasma.github.io/Logging_2082/tillsyn/A 27715-2023 tillsynsbegäran.docx", "A 27715-2023")</f>
        <v/>
      </c>
      <c r="AD36">
        <f>HYPERLINK("https://klasma.github.io/Logging_2082/tillsynsmail/A 27715-2023 tillsynsbegäran mail.docx", "A 27715-2023")</f>
        <v/>
      </c>
    </row>
    <row r="37" ht="15" customHeight="1">
      <c r="A37" t="inlineStr">
        <is>
          <t>A 32383-2022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46251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32383-2022 artfynd.xlsx", "A 32383-2022")</f>
        <v/>
      </c>
      <c r="X37">
        <f>HYPERLINK("https://klasma.github.io/Logging_2082/kartor/A 32383-2022 karta.png", "A 32383-2022")</f>
        <v/>
      </c>
      <c r="Y37">
        <f>HYPERLINK("https://klasma.github.io/Logging_2082/kartor_geotiff/A 32383-2022 georefererad karta.tif", "A 32383-2022")</f>
        <v/>
      </c>
      <c r="Z37">
        <f>HYPERLINK("https://klasma.github.io/Logging_2082/knärot/A 32383-2022 karta knärot.png", "A 32383-2022")</f>
        <v/>
      </c>
      <c r="AA37">
        <f>HYPERLINK("https://klasma.github.io/Logging_2082/klagomål/A 32383-2022 FSC-klagomål.docx", "A 32383-2022")</f>
        <v/>
      </c>
      <c r="AB37">
        <f>HYPERLINK("https://klasma.github.io/Logging_2082/klagomålsmail/A 32383-2022 FSC-klagomål mail.docx", "A 32383-2022")</f>
        <v/>
      </c>
      <c r="AC37">
        <f>HYPERLINK("https://klasma.github.io/Logging_2082/tillsyn/A 32383-2022 tillsynsbegäran.docx", "A 32383-2022")</f>
        <v/>
      </c>
      <c r="AD37">
        <f>HYPERLINK("https://klasma.github.io/Logging_2082/tillsynsmail/A 32383-2022 tillsynsbegäran mail.docx", "A 32383-2022")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46251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46251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39406-2024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45551</v>
      </c>
      <c r="E40" s="1" t="n">
        <v>46251</v>
      </c>
      <c r="F40" t="inlineStr">
        <is>
          <t>DALARNAS LÄN</t>
        </is>
      </c>
      <c r="G40" t="inlineStr">
        <is>
          <t>SÄTER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Sotriska</t>
        </is>
      </c>
      <c r="W40">
        <f>HYPERLINK("https://klasma.github.io/Logging_2082/artfynd/A 39406-2024 artfynd.xlsx", "A 39406-2024")</f>
        <v/>
      </c>
      <c r="X40">
        <f>HYPERLINK("https://klasma.github.io/Logging_2082/kartor/A 39406-2024 karta.png", "A 39406-2024")</f>
        <v/>
      </c>
      <c r="Y40">
        <f>HYPERLINK("https://klasma.github.io/Logging_2082/kartor_geotiff/A 39406-2024 georefererad karta.tif", "A 39406-2024")</f>
        <v/>
      </c>
      <c r="AA40">
        <f>HYPERLINK("https://klasma.github.io/Logging_2082/klagomål/A 39406-2024 FSC-klagomål.docx", "A 39406-2024")</f>
        <v/>
      </c>
      <c r="AB40">
        <f>HYPERLINK("https://klasma.github.io/Logging_2082/klagomålsmail/A 39406-2024 FSC-klagomål mail.docx", "A 39406-2024")</f>
        <v/>
      </c>
      <c r="AC40">
        <f>HYPERLINK("https://klasma.github.io/Logging_2082/tillsyn/A 39406-2024 tillsynsbegäran.docx", "A 39406-2024")</f>
        <v/>
      </c>
      <c r="AD40">
        <f>HYPERLINK("https://klasma.github.io/Logging_2082/tillsynsmail/A 39406-2024 tillsynsbegäran mail.docx", "A 39406-2024")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46251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46251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46251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44992-2024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45575</v>
      </c>
      <c r="E44" s="1" t="n">
        <v>46251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9.9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HYPERLINK("https://klasma.github.io/Logging_2082/artfynd/A 44992-2024 artfynd.xlsx", "A 44992-2024")</f>
        <v/>
      </c>
      <c r="X44">
        <f>HYPERLINK("https://klasma.github.io/Logging_2082/kartor/A 44992-2024 karta.png", "A 44992-2024")</f>
        <v/>
      </c>
      <c r="Y44">
        <f>HYPERLINK("https://klasma.github.io/Logging_2082/kartor_geotiff/A 44992-2024 georefererad karta.tif", "A 44992-2024")</f>
        <v/>
      </c>
      <c r="AA44">
        <f>HYPERLINK("https://klasma.github.io/Logging_2082/klagomål/A 44992-2024 FSC-klagomål.docx", "A 44992-2024")</f>
        <v/>
      </c>
      <c r="AB44">
        <f>HYPERLINK("https://klasma.github.io/Logging_2082/klagomålsmail/A 44992-2024 FSC-klagomål mail.docx", "A 44992-2024")</f>
        <v/>
      </c>
      <c r="AC44">
        <f>HYPERLINK("https://klasma.github.io/Logging_2082/tillsyn/A 44992-2024 tillsynsbegäran.docx", "A 44992-2024")</f>
        <v/>
      </c>
      <c r="AD44">
        <f>HYPERLINK("https://klasma.github.io/Logging_2082/tillsynsmail/A 44992-2024 tillsynsbegäran mail.docx", "A 44992-2024")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46251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34938-2025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46251</v>
      </c>
      <c r="F46" t="inlineStr">
        <is>
          <t>DALARNAS LÄN</t>
        </is>
      </c>
      <c r="G46" t="inlineStr">
        <is>
          <t>SÄTER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HYPERLINK("https://klasma.github.io/Logging_2082/artfynd/A 34938-2025 artfynd.xlsx", "A 34938-2025")</f>
        <v/>
      </c>
      <c r="X46">
        <f>HYPERLINK("https://klasma.github.io/Logging_2082/kartor/A 34938-2025 karta.png", "A 34938-2025")</f>
        <v/>
      </c>
      <c r="Y46">
        <f>HYPERLINK("https://klasma.github.io/Logging_2082/kartor_geotiff/A 34938-2025 georefererad karta.tif", "A 34938-2025")</f>
        <v/>
      </c>
      <c r="AA46">
        <f>HYPERLINK("https://klasma.github.io/Logging_2082/klagomål/A 34938-2025 FSC-klagomål.docx", "A 34938-2025")</f>
        <v/>
      </c>
      <c r="AB46">
        <f>HYPERLINK("https://klasma.github.io/Logging_2082/klagomålsmail/A 34938-2025 FSC-klagomål mail.docx", "A 34938-2025")</f>
        <v/>
      </c>
      <c r="AC46">
        <f>HYPERLINK("https://klasma.github.io/Logging_2082/tillsyn/A 34938-2025 tillsynsbegäran.docx", "A 34938-2025")</f>
        <v/>
      </c>
      <c r="AD46">
        <f>HYPERLINK("https://klasma.github.io/Logging_2082/tillsynsmail/A 34938-2025 tillsynsbegäran mail.docx", "A 34938-2025")</f>
        <v/>
      </c>
    </row>
    <row r="47" ht="15" customHeight="1">
      <c r="A47" t="inlineStr">
        <is>
          <t>A 35221-2025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45853</v>
      </c>
      <c r="E47" s="1" t="n">
        <v>46251</v>
      </c>
      <c r="F47" t="inlineStr">
        <is>
          <t>DALARNAS LÄN</t>
        </is>
      </c>
      <c r="G47" t="inlineStr">
        <is>
          <t>SÄTER</t>
        </is>
      </c>
      <c r="I47" t="n">
        <v>9.5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Vedskivlav</t>
        </is>
      </c>
      <c r="W47">
        <f>HYPERLINK("https://klasma.github.io/Logging_2082/artfynd/A 35221-2025 artfynd.xlsx", "A 35221-2025")</f>
        <v/>
      </c>
      <c r="X47">
        <f>HYPERLINK("https://klasma.github.io/Logging_2082/kartor/A 35221-2025 karta.png", "A 35221-2025")</f>
        <v/>
      </c>
      <c r="Y47">
        <f>HYPERLINK("https://klasma.github.io/Logging_2082/kartor_geotiff/A 35221-2025 georefererad karta.tif", "A 35221-2025")</f>
        <v/>
      </c>
      <c r="AA47">
        <f>HYPERLINK("https://klasma.github.io/Logging_2082/klagomål/A 35221-2025 FSC-klagomål.docx", "A 35221-2025")</f>
        <v/>
      </c>
      <c r="AB47">
        <f>HYPERLINK("https://klasma.github.io/Logging_2082/klagomålsmail/A 35221-2025 FSC-klagomål mail.docx", "A 35221-2025")</f>
        <v/>
      </c>
      <c r="AC47">
        <f>HYPERLINK("https://klasma.github.io/Logging_2082/tillsyn/A 35221-2025 tillsynsbegäran.docx", "A 35221-2025")</f>
        <v/>
      </c>
      <c r="AD47">
        <f>HYPERLINK("https://klasma.github.io/Logging_2082/tillsynsmail/A 35221-2025 tillsynsbegäran mail.docx", "A 35221-2025")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46251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46251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46251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46251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46251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46251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46251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46251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46251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46251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44425</v>
      </c>
      <c r="E58" s="1" t="n">
        <v>46251</v>
      </c>
      <c r="F58" t="inlineStr">
        <is>
          <t>DALARNAS LÄN</t>
        </is>
      </c>
      <c r="G58" t="inlineStr">
        <is>
          <t>SÄTER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72987-2021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44549</v>
      </c>
      <c r="E59" s="1" t="n">
        <v>46251</v>
      </c>
      <c r="F59" t="inlineStr">
        <is>
          <t>DALARNAS LÄN</t>
        </is>
      </c>
      <c r="G59" t="inlineStr">
        <is>
          <t>SÄTER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65388-2021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46251</v>
      </c>
      <c r="F60" t="inlineStr">
        <is>
          <t>DALARNAS LÄN</t>
        </is>
      </c>
      <c r="G60" t="inlineStr">
        <is>
          <t>SÄTER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64615-2021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44511</v>
      </c>
      <c r="E61" s="1" t="n">
        <v>46251</v>
      </c>
      <c r="F61" t="inlineStr">
        <is>
          <t>DALARNAS LÄN</t>
        </is>
      </c>
      <c r="G61" t="inlineStr">
        <is>
          <t>SÄTER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46251</v>
      </c>
      <c r="F62" t="inlineStr">
        <is>
          <t>DALARNAS LÄN</t>
        </is>
      </c>
      <c r="G62" t="inlineStr">
        <is>
          <t>SÄTER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44688</v>
      </c>
      <c r="E63" s="1" t="n">
        <v>46251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46251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72518-2021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46251</v>
      </c>
      <c r="F65" t="inlineStr">
        <is>
          <t>DALARNAS LÄN</t>
        </is>
      </c>
      <c r="G65" t="inlineStr">
        <is>
          <t>SÄTER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46494-2021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46251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46251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46251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46251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45435</v>
      </c>
      <c r="E70" s="1" t="n">
        <v>46251</v>
      </c>
      <c r="F70" t="inlineStr">
        <is>
          <t>DALARNAS LÄN</t>
        </is>
      </c>
      <c r="G70" t="inlineStr">
        <is>
          <t>SÄTER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46251</v>
      </c>
      <c r="F71" t="inlineStr">
        <is>
          <t>DALARNAS LÄN</t>
        </is>
      </c>
      <c r="G71" t="inlineStr">
        <is>
          <t>SÄTER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46251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51405-2022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44869</v>
      </c>
      <c r="E73" s="1" t="n">
        <v>46251</v>
      </c>
      <c r="F73" t="inlineStr">
        <is>
          <t>DALARNAS LÄN</t>
        </is>
      </c>
      <c r="G73" t="inlineStr">
        <is>
          <t>SÄTER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46251</v>
      </c>
      <c r="F74" t="inlineStr">
        <is>
          <t>DALARNAS LÄN</t>
        </is>
      </c>
      <c r="G74" t="inlineStr">
        <is>
          <t>SÄTER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46251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46251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61400-2021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46251</v>
      </c>
      <c r="F77" t="inlineStr">
        <is>
          <t>DALARNAS LÄN</t>
        </is>
      </c>
      <c r="G77" t="inlineStr">
        <is>
          <t>SÄTER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22905-2022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46251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46251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46251</v>
      </c>
      <c r="F80" t="inlineStr">
        <is>
          <t>DALARNAS LÄN</t>
        </is>
      </c>
      <c r="G80" t="inlineStr">
        <is>
          <t>SÄTER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46251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46251</v>
      </c>
      <c r="F82" t="inlineStr">
        <is>
          <t>DALARNAS LÄN</t>
        </is>
      </c>
      <c r="G82" t="inlineStr">
        <is>
          <t>SÄTER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46251</v>
      </c>
      <c r="F83" t="inlineStr">
        <is>
          <t>DALARNAS LÄN</t>
        </is>
      </c>
      <c r="G83" t="inlineStr">
        <is>
          <t>SÄTER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59707-2022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46251</v>
      </c>
      <c r="F84" t="inlineStr">
        <is>
          <t>DALARNAS LÄN</t>
        </is>
      </c>
      <c r="G84" t="inlineStr">
        <is>
          <t>SÄTER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44748</v>
      </c>
      <c r="E85" s="1" t="n">
        <v>46251</v>
      </c>
      <c r="F85" t="inlineStr">
        <is>
          <t>DALARNAS LÄN</t>
        </is>
      </c>
      <c r="G85" t="inlineStr">
        <is>
          <t>SÄTER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49661-2021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46251</v>
      </c>
      <c r="F86" t="inlineStr">
        <is>
          <t>DALARNAS LÄN</t>
        </is>
      </c>
      <c r="G86" t="inlineStr">
        <is>
          <t>SÄTER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46251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64565-2023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46251</v>
      </c>
      <c r="F88" t="inlineStr">
        <is>
          <t>DALARNAS LÄN</t>
        </is>
      </c>
      <c r="G88" t="inlineStr">
        <is>
          <t>SÄTER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46251</v>
      </c>
      <c r="F89" t="inlineStr">
        <is>
          <t>DALARNAS LÄN</t>
        </is>
      </c>
      <c r="G89" t="inlineStr">
        <is>
          <t>SÄTER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45247</v>
      </c>
      <c r="E90" s="1" t="n">
        <v>46251</v>
      </c>
      <c r="F90" t="inlineStr">
        <is>
          <t>DALARNAS LÄN</t>
        </is>
      </c>
      <c r="G90" t="inlineStr">
        <is>
          <t>SÄTER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44725</v>
      </c>
      <c r="E91" s="1" t="n">
        <v>46251</v>
      </c>
      <c r="F91" t="inlineStr">
        <is>
          <t>DALARNAS LÄN</t>
        </is>
      </c>
      <c r="G91" t="inlineStr">
        <is>
          <t>SÄTER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46251</v>
      </c>
      <c r="F92" t="inlineStr">
        <is>
          <t>DALARNAS LÄN</t>
        </is>
      </c>
      <c r="G92" t="inlineStr">
        <is>
          <t>SÄTER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46251</v>
      </c>
      <c r="F93" t="inlineStr">
        <is>
          <t>DALARNAS LÄN</t>
        </is>
      </c>
      <c r="G93" t="inlineStr">
        <is>
          <t>SÄTER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46251</v>
      </c>
      <c r="F94" t="inlineStr">
        <is>
          <t>DALARNAS LÄN</t>
        </is>
      </c>
      <c r="G94" t="inlineStr">
        <is>
          <t>SÄTER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46251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46251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46251</v>
      </c>
      <c r="F97" t="inlineStr">
        <is>
          <t>DALARNAS LÄN</t>
        </is>
      </c>
      <c r="G97" t="inlineStr">
        <is>
          <t>SÄTER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46251</v>
      </c>
      <c r="F98" t="inlineStr">
        <is>
          <t>DALARNAS LÄN</t>
        </is>
      </c>
      <c r="G98" t="inlineStr">
        <is>
          <t>SÄTER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46251</v>
      </c>
      <c r="F99" t="inlineStr">
        <is>
          <t>DALARNAS LÄN</t>
        </is>
      </c>
      <c r="G99" t="inlineStr">
        <is>
          <t>SÄTER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64788-2023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46251</v>
      </c>
      <c r="F100" t="inlineStr">
        <is>
          <t>DALARNAS LÄN</t>
        </is>
      </c>
      <c r="G100" t="inlineStr">
        <is>
          <t>SÄTER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46251</v>
      </c>
      <c r="F101" t="inlineStr">
        <is>
          <t>DALARNAS LÄN</t>
        </is>
      </c>
      <c r="G101" t="inlineStr">
        <is>
          <t>SÄTER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46251</v>
      </c>
      <c r="F102" t="inlineStr">
        <is>
          <t>DALARNAS LÄN</t>
        </is>
      </c>
      <c r="G102" t="inlineStr">
        <is>
          <t>SÄTER</t>
        </is>
      </c>
      <c r="H102" t="inlineStr">
        <is>
          <t>Kommuner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51323-2024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45604</v>
      </c>
      <c r="E103" s="1" t="n">
        <v>46251</v>
      </c>
      <c r="F103" t="inlineStr">
        <is>
          <t>DALARNAS LÄN</t>
        </is>
      </c>
      <c r="G103" t="inlineStr">
        <is>
          <t>SÄTER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46251</v>
      </c>
      <c r="F104" t="inlineStr">
        <is>
          <t>DALARNAS LÄN</t>
        </is>
      </c>
      <c r="G104" t="inlineStr">
        <is>
          <t>SÄTER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44866</v>
      </c>
      <c r="E105" s="1" t="n">
        <v>46251</v>
      </c>
      <c r="F105" t="inlineStr">
        <is>
          <t>DALARNAS LÄN</t>
        </is>
      </c>
      <c r="G105" t="inlineStr">
        <is>
          <t>SÄTER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46251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46251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46251</v>
      </c>
      <c r="F108" t="inlineStr">
        <is>
          <t>DALARNAS LÄN</t>
        </is>
      </c>
      <c r="G108" t="inlineStr">
        <is>
          <t>SÄTER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46251</v>
      </c>
      <c r="F109" t="inlineStr">
        <is>
          <t>DALARNAS LÄN</t>
        </is>
      </c>
      <c r="G109" t="inlineStr">
        <is>
          <t>SÄTER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46251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44732</v>
      </c>
      <c r="E111" s="1" t="n">
        <v>46251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44433</v>
      </c>
      <c r="E112" s="1" t="n">
        <v>46251</v>
      </c>
      <c r="F112" t="inlineStr">
        <is>
          <t>DALARNAS LÄN</t>
        </is>
      </c>
      <c r="G112" t="inlineStr">
        <is>
          <t>SÄTER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41556-2021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44425</v>
      </c>
      <c r="E113" s="1" t="n">
        <v>46251</v>
      </c>
      <c r="F113" t="inlineStr">
        <is>
          <t>DALARNAS LÄN</t>
        </is>
      </c>
      <c r="G113" t="inlineStr">
        <is>
          <t>SÄTER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44972</v>
      </c>
      <c r="E114" s="1" t="n">
        <v>46251</v>
      </c>
      <c r="F114" t="inlineStr">
        <is>
          <t>DALARNAS LÄN</t>
        </is>
      </c>
      <c r="G114" t="inlineStr">
        <is>
          <t>SÄTER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46083</v>
      </c>
      <c r="E115" s="1" t="n">
        <v>46251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45925</v>
      </c>
      <c r="E116" s="1" t="n">
        <v>46251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45925</v>
      </c>
      <c r="E117" s="1" t="n">
        <v>46251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41.4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46077</v>
      </c>
      <c r="E118" s="1" t="n">
        <v>46251</v>
      </c>
      <c r="F118" t="inlineStr">
        <is>
          <t>DALARNAS LÄN</t>
        </is>
      </c>
      <c r="G118" t="inlineStr">
        <is>
          <t>SÄTER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45138</v>
      </c>
      <c r="E119" s="1" t="n">
        <v>46251</v>
      </c>
      <c r="F119" t="inlineStr">
        <is>
          <t>DALARNAS LÄN</t>
        </is>
      </c>
      <c r="G119" t="inlineStr">
        <is>
          <t>SÄTER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46251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46251</v>
      </c>
      <c r="F121" t="inlineStr">
        <is>
          <t>DALARNAS LÄN</t>
        </is>
      </c>
      <c r="G121" t="inlineStr">
        <is>
          <t>SÄTER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46251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44585</v>
      </c>
      <c r="E123" s="1" t="n">
        <v>46251</v>
      </c>
      <c r="F123" t="inlineStr">
        <is>
          <t>DALARNAS LÄN</t>
        </is>
      </c>
      <c r="G123" t="inlineStr">
        <is>
          <t>SÄTER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44463</v>
      </c>
      <c r="E124" s="1" t="n">
        <v>46251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46251</v>
      </c>
      <c r="F125" t="inlineStr">
        <is>
          <t>DALARNAS LÄN</t>
        </is>
      </c>
      <c r="G125" t="inlineStr">
        <is>
          <t>SÄTER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45366</v>
      </c>
      <c r="E126" s="1" t="n">
        <v>46251</v>
      </c>
      <c r="F126" t="inlineStr">
        <is>
          <t>DALARNAS LÄN</t>
        </is>
      </c>
      <c r="G126" t="inlineStr">
        <is>
          <t>SÄTER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46251</v>
      </c>
      <c r="F127" t="inlineStr">
        <is>
          <t>DALARNAS LÄN</t>
        </is>
      </c>
      <c r="G127" t="inlineStr">
        <is>
          <t>SÄTER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46251</v>
      </c>
      <c r="F128" t="inlineStr">
        <is>
          <t>DALARNAS LÄN</t>
        </is>
      </c>
      <c r="G128" t="inlineStr">
        <is>
          <t>SÄTER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46251</v>
      </c>
      <c r="F129" t="inlineStr">
        <is>
          <t>DALARNAS LÄN</t>
        </is>
      </c>
      <c r="G129" t="inlineStr">
        <is>
          <t>SÄTER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46251</v>
      </c>
      <c r="F130" t="inlineStr">
        <is>
          <t>DALARNAS LÄN</t>
        </is>
      </c>
      <c r="G130" t="inlineStr">
        <is>
          <t>SÄTER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46251</v>
      </c>
      <c r="F131" t="inlineStr">
        <is>
          <t>DALARNAS LÄN</t>
        </is>
      </c>
      <c r="G131" t="inlineStr">
        <is>
          <t>SÄTER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46251</v>
      </c>
      <c r="F132" t="inlineStr">
        <is>
          <t>DALARNAS LÄN</t>
        </is>
      </c>
      <c r="G132" t="inlineStr">
        <is>
          <t>SÄTER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46251</v>
      </c>
      <c r="F133" t="inlineStr">
        <is>
          <t>DALARNAS LÄN</t>
        </is>
      </c>
      <c r="G133" t="inlineStr">
        <is>
          <t>SÄTER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46251</v>
      </c>
      <c r="F134" t="inlineStr">
        <is>
          <t>DALARNAS LÄN</t>
        </is>
      </c>
      <c r="G134" t="inlineStr">
        <is>
          <t>SÄTER</t>
        </is>
      </c>
      <c r="H134" t="inlineStr">
        <is>
          <t>Kommuner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46251</v>
      </c>
      <c r="F135" t="inlineStr">
        <is>
          <t>DALARNAS LÄN</t>
        </is>
      </c>
      <c r="G135" t="inlineStr">
        <is>
          <t>SÄTER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46092</v>
      </c>
      <c r="E136" s="1" t="n">
        <v>46251</v>
      </c>
      <c r="F136" t="inlineStr">
        <is>
          <t>DALARNAS LÄN</t>
        </is>
      </c>
      <c r="G136" t="inlineStr">
        <is>
          <t>SÄTER</t>
        </is>
      </c>
      <c r="I136" t="n">
        <v>9.800000000000001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46251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46251</v>
      </c>
      <c r="F138" t="inlineStr">
        <is>
          <t>DALARNAS LÄN</t>
        </is>
      </c>
      <c r="G138" t="inlineStr">
        <is>
          <t>SÄTER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46251</v>
      </c>
      <c r="F139" t="inlineStr">
        <is>
          <t>DALARNAS LÄN</t>
        </is>
      </c>
      <c r="G139" t="inlineStr">
        <is>
          <t>SÄTER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59386-2024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46251</v>
      </c>
      <c r="F140" t="inlineStr">
        <is>
          <t>DALARNAS LÄN</t>
        </is>
      </c>
      <c r="G140" t="inlineStr">
        <is>
          <t>SÄTER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46251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46251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46098</v>
      </c>
      <c r="E143" s="1" t="n">
        <v>46251</v>
      </c>
      <c r="F143" t="inlineStr">
        <is>
          <t>DALARNAS LÄN</t>
        </is>
      </c>
      <c r="G143" t="inlineStr">
        <is>
          <t>SÄTER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45566</v>
      </c>
      <c r="E144" s="1" t="n">
        <v>46251</v>
      </c>
      <c r="F144" t="inlineStr">
        <is>
          <t>DALARNAS LÄN</t>
        </is>
      </c>
      <c r="G144" t="inlineStr">
        <is>
          <t>SÄTER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46251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46251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46251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45520</v>
      </c>
      <c r="E148" s="1" t="n">
        <v>46251</v>
      </c>
      <c r="F148" t="inlineStr">
        <is>
          <t>DALARNAS LÄN</t>
        </is>
      </c>
      <c r="G148" t="inlineStr">
        <is>
          <t>SÄTER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46251</v>
      </c>
      <c r="F149" t="inlineStr">
        <is>
          <t>DALARNAS LÄN</t>
        </is>
      </c>
      <c r="G149" t="inlineStr">
        <is>
          <t>SÄTER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46251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46251</v>
      </c>
      <c r="F151" t="inlineStr">
        <is>
          <t>DALARNAS LÄN</t>
        </is>
      </c>
      <c r="G151" t="inlineStr">
        <is>
          <t>SÄTER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46251</v>
      </c>
      <c r="F152" t="inlineStr">
        <is>
          <t>DALARNAS LÄN</t>
        </is>
      </c>
      <c r="G152" t="inlineStr">
        <is>
          <t>SÄTER</t>
        </is>
      </c>
      <c r="I152" t="n">
        <v>13.2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53559-2025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45960</v>
      </c>
      <c r="E153" s="1" t="n">
        <v>46251</v>
      </c>
      <c r="F153" t="inlineStr">
        <is>
          <t>DALARNAS LÄN</t>
        </is>
      </c>
      <c r="G153" t="inlineStr">
        <is>
          <t>SÄTER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46251</v>
      </c>
      <c r="F154" t="inlineStr">
        <is>
          <t>DALARNAS LÄN</t>
        </is>
      </c>
      <c r="G154" t="inlineStr">
        <is>
          <t>SÄTER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46251</v>
      </c>
      <c r="F155" t="inlineStr">
        <is>
          <t>DALARNAS LÄN</t>
        </is>
      </c>
      <c r="G155" t="inlineStr">
        <is>
          <t>SÄTER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46251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46251</v>
      </c>
      <c r="F157" t="inlineStr">
        <is>
          <t>DALARNAS LÄN</t>
        </is>
      </c>
      <c r="G157" t="inlineStr">
        <is>
          <t>SÄTER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46251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46251</v>
      </c>
      <c r="F159" t="inlineStr">
        <is>
          <t>DALARNAS LÄN</t>
        </is>
      </c>
      <c r="G159" t="inlineStr">
        <is>
          <t>SÄTER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46251</v>
      </c>
      <c r="F160" t="inlineStr">
        <is>
          <t>DALARNAS LÄN</t>
        </is>
      </c>
      <c r="G160" t="inlineStr">
        <is>
          <t>SÄTER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46251</v>
      </c>
      <c r="F161" t="inlineStr">
        <is>
          <t>DALARNAS LÄN</t>
        </is>
      </c>
      <c r="G161" t="inlineStr">
        <is>
          <t>SÄTER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46251</v>
      </c>
      <c r="F162" t="inlineStr">
        <is>
          <t>DALARNAS LÄN</t>
        </is>
      </c>
      <c r="G162" t="inlineStr">
        <is>
          <t>SÄTER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42998-2023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45182</v>
      </c>
      <c r="E163" s="1" t="n">
        <v>46251</v>
      </c>
      <c r="F163" t="inlineStr">
        <is>
          <t>DALARNAS LÄN</t>
        </is>
      </c>
      <c r="G163" t="inlineStr">
        <is>
          <t>SÄTER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46251</v>
      </c>
      <c r="F164" t="inlineStr">
        <is>
          <t>DALARNAS LÄN</t>
        </is>
      </c>
      <c r="G164" t="inlineStr">
        <is>
          <t>SÄTER</t>
        </is>
      </c>
      <c r="H164" t="inlineStr">
        <is>
          <t>Kommuner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51320-2024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45604</v>
      </c>
      <c r="E165" s="1" t="n">
        <v>46251</v>
      </c>
      <c r="F165" t="inlineStr">
        <is>
          <t>DALARNAS LÄN</t>
        </is>
      </c>
      <c r="G165" t="inlineStr">
        <is>
          <t>SÄTER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45604</v>
      </c>
      <c r="E166" s="1" t="n">
        <v>46251</v>
      </c>
      <c r="F166" t="inlineStr">
        <is>
          <t>DALARNAS LÄN</t>
        </is>
      </c>
      <c r="G166" t="inlineStr">
        <is>
          <t>SÄTER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46251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46251</v>
      </c>
      <c r="F168" t="inlineStr">
        <is>
          <t>DALARNAS LÄN</t>
        </is>
      </c>
      <c r="G168" t="inlineStr">
        <is>
          <t>SÄTER</t>
        </is>
      </c>
      <c r="H168" t="inlineStr">
        <is>
          <t>Kommuner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46251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46251</v>
      </c>
      <c r="F170" t="inlineStr">
        <is>
          <t>DALARNAS LÄN</t>
        </is>
      </c>
      <c r="G170" t="inlineStr">
        <is>
          <t>SÄTER</t>
        </is>
      </c>
      <c r="I170" t="n">
        <v>15.2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45432</v>
      </c>
      <c r="E171" s="1" t="n">
        <v>46251</v>
      </c>
      <c r="F171" t="inlineStr">
        <is>
          <t>DALARNAS LÄN</t>
        </is>
      </c>
      <c r="G171" t="inlineStr">
        <is>
          <t>SÄTER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44960</v>
      </c>
      <c r="E172" s="1" t="n">
        <v>46251</v>
      </c>
      <c r="F172" t="inlineStr">
        <is>
          <t>DALARNAS LÄN</t>
        </is>
      </c>
      <c r="G172" t="inlineStr">
        <is>
          <t>SÄTER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46251</v>
      </c>
      <c r="F173" t="inlineStr">
        <is>
          <t>DALARNAS LÄN</t>
        </is>
      </c>
      <c r="G173" t="inlineStr">
        <is>
          <t>SÄTER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46251</v>
      </c>
      <c r="F174" t="inlineStr">
        <is>
          <t>DALARNAS LÄN</t>
        </is>
      </c>
      <c r="G174" t="inlineStr">
        <is>
          <t>SÄTER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46251</v>
      </c>
      <c r="F175" t="inlineStr">
        <is>
          <t>DALARNAS LÄN</t>
        </is>
      </c>
      <c r="G175" t="inlineStr">
        <is>
          <t>SÄTER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44953</v>
      </c>
      <c r="E176" s="1" t="n">
        <v>46251</v>
      </c>
      <c r="F176" t="inlineStr">
        <is>
          <t>DALARNAS LÄN</t>
        </is>
      </c>
      <c r="G176" t="inlineStr">
        <is>
          <t>SÄTER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46251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46251</v>
      </c>
      <c r="F178" t="inlineStr">
        <is>
          <t>DALARNAS LÄN</t>
        </is>
      </c>
      <c r="G178" t="inlineStr">
        <is>
          <t>SÄTER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46251</v>
      </c>
      <c r="F179" t="inlineStr">
        <is>
          <t>DALARNAS LÄN</t>
        </is>
      </c>
      <c r="G179" t="inlineStr">
        <is>
          <t>SÄTER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46251</v>
      </c>
      <c r="F180" t="inlineStr">
        <is>
          <t>DALARNAS LÄN</t>
        </is>
      </c>
      <c r="G180" t="inlineStr">
        <is>
          <t>SÄTER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46251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46251</v>
      </c>
      <c r="F182" t="inlineStr">
        <is>
          <t>DALARNAS LÄN</t>
        </is>
      </c>
      <c r="G182" t="inlineStr">
        <is>
          <t>SÄTER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46251</v>
      </c>
      <c r="F183" t="inlineStr">
        <is>
          <t>DALARNAS LÄN</t>
        </is>
      </c>
      <c r="G183" t="inlineStr">
        <is>
          <t>SÄTER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45604</v>
      </c>
      <c r="E184" s="1" t="n">
        <v>46251</v>
      </c>
      <c r="F184" t="inlineStr">
        <is>
          <t>DALARNAS LÄN</t>
        </is>
      </c>
      <c r="G184" t="inlineStr">
        <is>
          <t>SÄTER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46251</v>
      </c>
      <c r="F185" t="inlineStr">
        <is>
          <t>DALARNAS LÄN</t>
        </is>
      </c>
      <c r="G185" t="inlineStr">
        <is>
          <t>SÄTER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46251</v>
      </c>
      <c r="F186" t="inlineStr">
        <is>
          <t>DALARNAS LÄN</t>
        </is>
      </c>
      <c r="G186" t="inlineStr">
        <is>
          <t>SÄTER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46251</v>
      </c>
      <c r="F187" t="inlineStr">
        <is>
          <t>DALARNAS LÄN</t>
        </is>
      </c>
      <c r="G187" t="inlineStr">
        <is>
          <t>SÄTER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46559-2021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44445</v>
      </c>
      <c r="E188" s="1" t="n">
        <v>46251</v>
      </c>
      <c r="F188" t="inlineStr">
        <is>
          <t>DALARNAS LÄN</t>
        </is>
      </c>
      <c r="G188" t="inlineStr">
        <is>
          <t>SÄTER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46251</v>
      </c>
      <c r="F189" t="inlineStr">
        <is>
          <t>DALARNAS LÄN</t>
        </is>
      </c>
      <c r="G189" t="inlineStr">
        <is>
          <t>SÄTER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46251</v>
      </c>
      <c r="F190" t="inlineStr">
        <is>
          <t>DALARNAS LÄN</t>
        </is>
      </c>
      <c r="G190" t="inlineStr">
        <is>
          <t>SÄTER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46251</v>
      </c>
      <c r="F191" t="inlineStr">
        <is>
          <t>DALARNAS LÄN</t>
        </is>
      </c>
      <c r="G191" t="inlineStr">
        <is>
          <t>SÄTER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45604</v>
      </c>
      <c r="E192" s="1" t="n">
        <v>46251</v>
      </c>
      <c r="F192" t="inlineStr">
        <is>
          <t>DALARNAS LÄN</t>
        </is>
      </c>
      <c r="G192" t="inlineStr">
        <is>
          <t>SÄTER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51339-2024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45604</v>
      </c>
      <c r="E193" s="1" t="n">
        <v>46251</v>
      </c>
      <c r="F193" t="inlineStr">
        <is>
          <t>DALARNAS LÄN</t>
        </is>
      </c>
      <c r="G193" t="inlineStr">
        <is>
          <t>SÄTER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45546</v>
      </c>
      <c r="E194" s="1" t="n">
        <v>46251</v>
      </c>
      <c r="F194" t="inlineStr">
        <is>
          <t>DALARNAS LÄN</t>
        </is>
      </c>
      <c r="G194" t="inlineStr">
        <is>
          <t>SÄTER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45604</v>
      </c>
      <c r="E195" s="1" t="n">
        <v>46251</v>
      </c>
      <c r="F195" t="inlineStr">
        <is>
          <t>DALARNAS LÄN</t>
        </is>
      </c>
      <c r="G195" t="inlineStr">
        <is>
          <t>SÄTER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46251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46251</v>
      </c>
      <c r="F197" t="inlineStr">
        <is>
          <t>DALARNAS LÄN</t>
        </is>
      </c>
      <c r="G197" t="inlineStr">
        <is>
          <t>SÄTER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28549-2022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44748</v>
      </c>
      <c r="E198" s="1" t="n">
        <v>46251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46251</v>
      </c>
      <c r="F199" t="inlineStr">
        <is>
          <t>DALARNAS LÄN</t>
        </is>
      </c>
      <c r="G199" t="inlineStr">
        <is>
          <t>SÄTER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46251</v>
      </c>
      <c r="F200" t="inlineStr">
        <is>
          <t>DALARNAS LÄN</t>
        </is>
      </c>
      <c r="G200" t="inlineStr">
        <is>
          <t>SÄTER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46251</v>
      </c>
      <c r="F201" t="inlineStr">
        <is>
          <t>DALARNAS LÄN</t>
        </is>
      </c>
      <c r="G201" t="inlineStr">
        <is>
          <t>SÄTER</t>
        </is>
      </c>
      <c r="I201" t="n">
        <v>8.6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46251</v>
      </c>
      <c r="F202" t="inlineStr">
        <is>
          <t>DALARNAS LÄN</t>
        </is>
      </c>
      <c r="G202" t="inlineStr">
        <is>
          <t>SÄTER</t>
        </is>
      </c>
      <c r="I202" t="n">
        <v>12.1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46026</v>
      </c>
      <c r="E203" s="1" t="n">
        <v>46251</v>
      </c>
      <c r="F203" t="inlineStr">
        <is>
          <t>DALARNAS LÄN</t>
        </is>
      </c>
      <c r="G203" t="inlineStr">
        <is>
          <t>SÄTER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987-2026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46030</v>
      </c>
      <c r="E204" s="1" t="n">
        <v>46251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46251</v>
      </c>
      <c r="F205" t="inlineStr">
        <is>
          <t>DALARNAS LÄN</t>
        </is>
      </c>
      <c r="G205" t="inlineStr">
        <is>
          <t>SÄTER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46251</v>
      </c>
      <c r="F206" t="inlineStr">
        <is>
          <t>DALARNAS LÄN</t>
        </is>
      </c>
      <c r="G206" t="inlineStr">
        <is>
          <t>SÄTER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46251</v>
      </c>
      <c r="F207" t="inlineStr">
        <is>
          <t>DALARNAS LÄN</t>
        </is>
      </c>
      <c r="G207" t="inlineStr">
        <is>
          <t>SÄTER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44643</v>
      </c>
      <c r="E208" s="1" t="n">
        <v>46251</v>
      </c>
      <c r="F208" t="inlineStr">
        <is>
          <t>DALARNAS LÄN</t>
        </is>
      </c>
      <c r="G208" t="inlineStr">
        <is>
          <t>SÄTER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46251</v>
      </c>
      <c r="F209" t="inlineStr">
        <is>
          <t>DALARNAS LÄN</t>
        </is>
      </c>
      <c r="G209" t="inlineStr">
        <is>
          <t>SÄTER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  <c r="Z209">
        <f>HYPERLINK("https://klasma.github.io/Logging_2082/knärot/A 57416-2022 karta knärot.png", "A 57416-2022")</f>
        <v/>
      </c>
      <c r="AA209">
        <f>HYPERLINK("https://klasma.github.io/Logging_2082/klagomål/A 57416-2022 FSC-klagomål.docx", "A 57416-2022")</f>
        <v/>
      </c>
      <c r="AB209">
        <f>HYPERLINK("https://klasma.github.io/Logging_2082/klagomålsmail/A 57416-2022 FSC-klagomål mail.docx", "A 57416-2022")</f>
        <v/>
      </c>
      <c r="AC209">
        <f>HYPERLINK("https://klasma.github.io/Logging_2082/tillsyn/A 57416-2022 tillsynsbegäran.docx", "A 57416-2022")</f>
        <v/>
      </c>
      <c r="AD209">
        <f>HYPERLINK("https://klasma.github.io/Logging_2082/tillsynsmail/A 57416-2022 tillsynsbegäran mail.docx", "A 57416-2022")</f>
        <v/>
      </c>
    </row>
    <row r="210" ht="15" customHeight="1">
      <c r="A210" t="inlineStr">
        <is>
          <t>A 20057-2026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46251</v>
      </c>
      <c r="F210" t="inlineStr">
        <is>
          <t>DALARNAS LÄN</t>
        </is>
      </c>
      <c r="G210" t="inlineStr">
        <is>
          <t>SÄTER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46251</v>
      </c>
      <c r="F211" t="inlineStr">
        <is>
          <t>DALARNAS LÄN</t>
        </is>
      </c>
      <c r="G211" t="inlineStr">
        <is>
          <t>SÄTER</t>
        </is>
      </c>
      <c r="H211" t="inlineStr">
        <is>
          <t>Kommuner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46251</v>
      </c>
      <c r="F212" t="inlineStr">
        <is>
          <t>DALARNAS LÄN</t>
        </is>
      </c>
      <c r="G212" t="inlineStr">
        <is>
          <t>SÄTER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46034</v>
      </c>
      <c r="E213" s="1" t="n">
        <v>46251</v>
      </c>
      <c r="F213" t="inlineStr">
        <is>
          <t>DALARNAS LÄN</t>
        </is>
      </c>
      <c r="G213" t="inlineStr">
        <is>
          <t>SÄTER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46251</v>
      </c>
      <c r="F214" t="inlineStr">
        <is>
          <t>DALARNAS LÄN</t>
        </is>
      </c>
      <c r="G214" t="inlineStr">
        <is>
          <t>SÄTER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46251</v>
      </c>
      <c r="F215" t="inlineStr">
        <is>
          <t>DALARNAS LÄN</t>
        </is>
      </c>
      <c r="G215" t="inlineStr">
        <is>
          <t>SÄTER</t>
        </is>
      </c>
      <c r="H215" t="inlineStr">
        <is>
          <t>Kommuner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46251</v>
      </c>
      <c r="F216" t="inlineStr">
        <is>
          <t>DALARNAS LÄN</t>
        </is>
      </c>
      <c r="G216" t="inlineStr">
        <is>
          <t>SÄTER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46251</v>
      </c>
      <c r="F217" t="inlineStr">
        <is>
          <t>DALARNAS LÄN</t>
        </is>
      </c>
      <c r="G217" t="inlineStr">
        <is>
          <t>SÄTER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46251</v>
      </c>
      <c r="F218" t="inlineStr">
        <is>
          <t>DALARNAS LÄN</t>
        </is>
      </c>
      <c r="G218" t="inlineStr">
        <is>
          <t>SÄTER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46251</v>
      </c>
      <c r="F219" t="inlineStr">
        <is>
          <t>DALARNAS LÄN</t>
        </is>
      </c>
      <c r="G219" t="inlineStr">
        <is>
          <t>SÄTER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46251</v>
      </c>
      <c r="F220" t="inlineStr">
        <is>
          <t>DALARNAS LÄN</t>
        </is>
      </c>
      <c r="G220" t="inlineStr">
        <is>
          <t>SÄTER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46251</v>
      </c>
      <c r="F221" t="inlineStr">
        <is>
          <t>DALARNAS LÄN</t>
        </is>
      </c>
      <c r="G221" t="inlineStr">
        <is>
          <t>SÄTER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46251</v>
      </c>
      <c r="F222" t="inlineStr">
        <is>
          <t>DALARNAS LÄN</t>
        </is>
      </c>
      <c r="G222" t="inlineStr">
        <is>
          <t>SÄTER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46251</v>
      </c>
      <c r="F223" t="inlineStr">
        <is>
          <t>DALARNAS LÄN</t>
        </is>
      </c>
      <c r="G223" t="inlineStr">
        <is>
          <t>SÄTER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46251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10.8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46251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46251</v>
      </c>
      <c r="F226" t="inlineStr">
        <is>
          <t>DALARNAS LÄN</t>
        </is>
      </c>
      <c r="G226" t="inlineStr">
        <is>
          <t>SÄTER</t>
        </is>
      </c>
      <c r="I226" t="n">
        <v>10.6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46251</v>
      </c>
      <c r="F227" t="inlineStr">
        <is>
          <t>DALARNAS LÄN</t>
        </is>
      </c>
      <c r="G227" t="inlineStr">
        <is>
          <t>SÄTER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46045</v>
      </c>
      <c r="E228" s="1" t="n">
        <v>46251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44788</v>
      </c>
      <c r="E229" s="1" t="n">
        <v>46251</v>
      </c>
      <c r="F229" t="inlineStr">
        <is>
          <t>DALARNAS LÄN</t>
        </is>
      </c>
      <c r="G229" t="inlineStr">
        <is>
          <t>SÄTER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46251</v>
      </c>
      <c r="F230" t="inlineStr">
        <is>
          <t>DALARNAS LÄN</t>
        </is>
      </c>
      <c r="G230" t="inlineStr">
        <is>
          <t>SÄTER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46251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45236</v>
      </c>
      <c r="E232" s="1" t="n">
        <v>46251</v>
      </c>
      <c r="F232" t="inlineStr">
        <is>
          <t>DALARNAS LÄN</t>
        </is>
      </c>
      <c r="G232" t="inlineStr">
        <is>
          <t>SÄTER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46251</v>
      </c>
      <c r="F233" t="inlineStr">
        <is>
          <t>DALARNAS LÄN</t>
        </is>
      </c>
      <c r="G233" t="inlineStr">
        <is>
          <t>SÄTER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46251</v>
      </c>
      <c r="F234" t="inlineStr">
        <is>
          <t>DALARNAS LÄN</t>
        </is>
      </c>
      <c r="G234" t="inlineStr">
        <is>
          <t>SÄTER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45527</v>
      </c>
      <c r="E235" s="1" t="n">
        <v>46251</v>
      </c>
      <c r="F235" t="inlineStr">
        <is>
          <t>DALARNAS LÄN</t>
        </is>
      </c>
      <c r="G235" t="inlineStr">
        <is>
          <t>SÄTER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46251</v>
      </c>
      <c r="F236" t="inlineStr">
        <is>
          <t>DALARNAS LÄN</t>
        </is>
      </c>
      <c r="G236" t="inlineStr">
        <is>
          <t>SÄTER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46251</v>
      </c>
      <c r="F237" t="inlineStr">
        <is>
          <t>DALARNAS LÄN</t>
        </is>
      </c>
      <c r="G237" t="inlineStr">
        <is>
          <t>SÄTER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46251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46251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45599</v>
      </c>
      <c r="E240" s="1" t="n">
        <v>46251</v>
      </c>
      <c r="F240" t="inlineStr">
        <is>
          <t>DALARNAS LÄN</t>
        </is>
      </c>
      <c r="G240" t="inlineStr">
        <is>
          <t>SÄTER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46251</v>
      </c>
      <c r="F241" t="inlineStr">
        <is>
          <t>DALARNAS LÄN</t>
        </is>
      </c>
      <c r="G241" t="inlineStr">
        <is>
          <t>SÄTER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45811</v>
      </c>
      <c r="E242" s="1" t="n">
        <v>46251</v>
      </c>
      <c r="F242" t="inlineStr">
        <is>
          <t>DALARNAS LÄN</t>
        </is>
      </c>
      <c r="G242" t="inlineStr">
        <is>
          <t>SÄTER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46251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10.8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69744-2021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44532</v>
      </c>
      <c r="E244" s="1" t="n">
        <v>46251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46251</v>
      </c>
      <c r="F245" t="inlineStr">
        <is>
          <t>DALARNAS LÄN</t>
        </is>
      </c>
      <c r="G245" t="inlineStr">
        <is>
          <t>SÄTER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45628</v>
      </c>
      <c r="E246" s="1" t="n">
        <v>46251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46064</v>
      </c>
      <c r="E247" s="1" t="n">
        <v>46251</v>
      </c>
      <c r="F247" t="inlineStr">
        <is>
          <t>DALARNAS LÄN</t>
        </is>
      </c>
      <c r="G247" t="inlineStr">
        <is>
          <t>SÄTER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46251</v>
      </c>
      <c r="F248" t="inlineStr">
        <is>
          <t>DALARNAS LÄN</t>
        </is>
      </c>
      <c r="G248" t="inlineStr">
        <is>
          <t>SÄTER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46251</v>
      </c>
      <c r="F249" t="inlineStr">
        <is>
          <t>DALARNAS LÄN</t>
        </is>
      </c>
      <c r="G249" t="inlineStr">
        <is>
          <t>SÄTER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46251</v>
      </c>
      <c r="F250" t="inlineStr">
        <is>
          <t>DALARNAS LÄN</t>
        </is>
      </c>
      <c r="G250" t="inlineStr">
        <is>
          <t>SÄTER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46251</v>
      </c>
      <c r="F251" t="inlineStr">
        <is>
          <t>DALARNAS LÄN</t>
        </is>
      </c>
      <c r="G251" t="inlineStr">
        <is>
          <t>SÄTER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46251</v>
      </c>
      <c r="F252" t="inlineStr">
        <is>
          <t>DALARNAS LÄN</t>
        </is>
      </c>
      <c r="G252" t="inlineStr">
        <is>
          <t>SÄTER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44982</v>
      </c>
      <c r="E253" s="1" t="n">
        <v>46251</v>
      </c>
      <c r="F253" t="inlineStr">
        <is>
          <t>DALARNAS LÄN</t>
        </is>
      </c>
      <c r="G253" t="inlineStr">
        <is>
          <t>SÄTER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46251</v>
      </c>
      <c r="F254" t="inlineStr">
        <is>
          <t>DALARNAS LÄN</t>
        </is>
      </c>
      <c r="G254" t="inlineStr">
        <is>
          <t>SÄTER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46251</v>
      </c>
      <c r="F255" t="inlineStr">
        <is>
          <t>DALARNAS LÄN</t>
        </is>
      </c>
      <c r="G255" t="inlineStr">
        <is>
          <t>SÄTER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46251</v>
      </c>
      <c r="F256" t="inlineStr">
        <is>
          <t>DALARNAS LÄN</t>
        </is>
      </c>
      <c r="G256" t="inlineStr">
        <is>
          <t>SÄTER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44817</v>
      </c>
      <c r="E257" s="1" t="n">
        <v>46251</v>
      </c>
      <c r="F257" t="inlineStr">
        <is>
          <t>DALARNAS LÄN</t>
        </is>
      </c>
      <c r="G257" t="inlineStr">
        <is>
          <t>SÄTER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45442</v>
      </c>
      <c r="E258" s="1" t="n">
        <v>46251</v>
      </c>
      <c r="F258" t="inlineStr">
        <is>
          <t>DALARNAS LÄN</t>
        </is>
      </c>
      <c r="G258" t="inlineStr">
        <is>
          <t>SÄTER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46251</v>
      </c>
      <c r="F259" t="inlineStr">
        <is>
          <t>DALARNAS LÄN</t>
        </is>
      </c>
      <c r="G259" t="inlineStr">
        <is>
          <t>SÄTER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46251</v>
      </c>
      <c r="F260" t="inlineStr">
        <is>
          <t>DALARNAS LÄN</t>
        </is>
      </c>
      <c r="G260" t="inlineStr">
        <is>
          <t>SÄTER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46251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46251</v>
      </c>
      <c r="F262" t="inlineStr">
        <is>
          <t>DALARNAS LÄN</t>
        </is>
      </c>
      <c r="G262" t="inlineStr">
        <is>
          <t>SÄTER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46251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42.6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45161-2021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44439</v>
      </c>
      <c r="E264" s="1" t="n">
        <v>46251</v>
      </c>
      <c r="F264" t="inlineStr">
        <is>
          <t>DALARNAS LÄN</t>
        </is>
      </c>
      <c r="G264" t="inlineStr">
        <is>
          <t>SÄTER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46251</v>
      </c>
      <c r="F265" t="inlineStr">
        <is>
          <t>DALARNAS LÄN</t>
        </is>
      </c>
      <c r="G265" t="inlineStr">
        <is>
          <t>SÄTER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46251</v>
      </c>
      <c r="F266" t="inlineStr">
        <is>
          <t>DALARNAS LÄN</t>
        </is>
      </c>
      <c r="G266" t="inlineStr">
        <is>
          <t>SÄTER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46251</v>
      </c>
      <c r="F267" t="inlineStr">
        <is>
          <t>DALARNAS LÄN</t>
        </is>
      </c>
      <c r="G267" t="inlineStr">
        <is>
          <t>SÄTER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44784</v>
      </c>
      <c r="E268" s="1" t="n">
        <v>46251</v>
      </c>
      <c r="F268" t="inlineStr">
        <is>
          <t>DALARNAS LÄN</t>
        </is>
      </c>
      <c r="G268" t="inlineStr">
        <is>
          <t>SÄTER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44784</v>
      </c>
      <c r="E269" s="1" t="n">
        <v>46251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46251</v>
      </c>
      <c r="F270" t="inlineStr">
        <is>
          <t>DALARNAS LÄN</t>
        </is>
      </c>
      <c r="G270" t="inlineStr">
        <is>
          <t>SÄTER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46251</v>
      </c>
      <c r="F271" t="inlineStr">
        <is>
          <t>DALARNAS LÄN</t>
        </is>
      </c>
      <c r="G271" t="inlineStr">
        <is>
          <t>SÄTER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45527</v>
      </c>
      <c r="E272" s="1" t="n">
        <v>46251</v>
      </c>
      <c r="F272" t="inlineStr">
        <is>
          <t>DALARNAS LÄN</t>
        </is>
      </c>
      <c r="G272" t="inlineStr">
        <is>
          <t>SÄTER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46251</v>
      </c>
      <c r="F273" t="inlineStr">
        <is>
          <t>DALARNAS LÄN</t>
        </is>
      </c>
      <c r="G273" t="inlineStr">
        <is>
          <t>SÄTER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45342</v>
      </c>
      <c r="E274" s="1" t="n">
        <v>46251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45526</v>
      </c>
      <c r="E275" s="1" t="n">
        <v>46251</v>
      </c>
      <c r="F275" t="inlineStr">
        <is>
          <t>DALARNAS LÄN</t>
        </is>
      </c>
      <c r="G275" t="inlineStr">
        <is>
          <t>SÄTER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37923-2022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44811</v>
      </c>
      <c r="E276" s="1" t="n">
        <v>46251</v>
      </c>
      <c r="F276" t="inlineStr">
        <is>
          <t>DALARNAS LÄN</t>
        </is>
      </c>
      <c r="G276" t="inlineStr">
        <is>
          <t>SÄTER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46251</v>
      </c>
      <c r="F277" t="inlineStr">
        <is>
          <t>DALARNAS LÄN</t>
        </is>
      </c>
      <c r="G277" t="inlineStr">
        <is>
          <t>SÄTER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46251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46251</v>
      </c>
      <c r="F279" t="inlineStr">
        <is>
          <t>DALARNAS LÄN</t>
        </is>
      </c>
      <c r="G279" t="inlineStr">
        <is>
          <t>SÄTER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41564-2021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44425</v>
      </c>
      <c r="E280" s="1" t="n">
        <v>46251</v>
      </c>
      <c r="F280" t="inlineStr">
        <is>
          <t>DALARNAS LÄN</t>
        </is>
      </c>
      <c r="G280" t="inlineStr">
        <is>
          <t>SÄTER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46251</v>
      </c>
      <c r="F281" t="inlineStr">
        <is>
          <t>DALARNAS LÄN</t>
        </is>
      </c>
      <c r="G281" t="inlineStr">
        <is>
          <t>SÄTER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44924</v>
      </c>
      <c r="E282" s="1" t="n">
        <v>46251</v>
      </c>
      <c r="F282" t="inlineStr">
        <is>
          <t>DALARNAS LÄN</t>
        </is>
      </c>
      <c r="G282" t="inlineStr">
        <is>
          <t>SÄTER</t>
        </is>
      </c>
      <c r="H282" t="inlineStr">
        <is>
          <t>Kommuner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46251</v>
      </c>
      <c r="F283" t="inlineStr">
        <is>
          <t>DALARNAS LÄN</t>
        </is>
      </c>
      <c r="G283" t="inlineStr">
        <is>
          <t>SÄTER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46251</v>
      </c>
      <c r="F284" t="inlineStr">
        <is>
          <t>DALARNAS LÄN</t>
        </is>
      </c>
      <c r="G284" t="inlineStr">
        <is>
          <t>SÄTER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46251</v>
      </c>
      <c r="F285" t="inlineStr">
        <is>
          <t>DALARNAS LÄN</t>
        </is>
      </c>
      <c r="G285" t="inlineStr">
        <is>
          <t>SÄTER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46251</v>
      </c>
      <c r="F286" t="inlineStr">
        <is>
          <t>DALARNAS LÄN</t>
        </is>
      </c>
      <c r="G286" t="inlineStr">
        <is>
          <t>SÄTER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46251</v>
      </c>
      <c r="F287" t="inlineStr">
        <is>
          <t>DALARNAS LÄN</t>
        </is>
      </c>
      <c r="G287" t="inlineStr">
        <is>
          <t>SÄTER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46251</v>
      </c>
      <c r="F288" t="inlineStr">
        <is>
          <t>DALARNAS LÄN</t>
        </is>
      </c>
      <c r="G288" t="inlineStr">
        <is>
          <t>SÄTER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44830</v>
      </c>
      <c r="E289" s="1" t="n">
        <v>46251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46251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22850-2026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46155</v>
      </c>
      <c r="E291" s="1" t="n">
        <v>46251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46251</v>
      </c>
      <c r="F292" t="inlineStr">
        <is>
          <t>DALARNAS LÄN</t>
        </is>
      </c>
      <c r="G292" t="inlineStr">
        <is>
          <t>SÄTER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51333-2024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45604</v>
      </c>
      <c r="E293" s="1" t="n">
        <v>46251</v>
      </c>
      <c r="F293" t="inlineStr">
        <is>
          <t>DALARNAS LÄN</t>
        </is>
      </c>
      <c r="G293" t="inlineStr">
        <is>
          <t>SÄTER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45175</v>
      </c>
      <c r="E294" s="1" t="n">
        <v>46251</v>
      </c>
      <c r="F294" t="inlineStr">
        <is>
          <t>DALARNAS LÄN</t>
        </is>
      </c>
      <c r="G294" t="inlineStr">
        <is>
          <t>SÄTER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45664</v>
      </c>
      <c r="E295" s="1" t="n">
        <v>46251</v>
      </c>
      <c r="F295" t="inlineStr">
        <is>
          <t>DALARNAS LÄN</t>
        </is>
      </c>
      <c r="G295" t="inlineStr">
        <is>
          <t>SÄTER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HYPERLINK("https://klasma.github.io/Logging_2082/knärot/A 498-2025 karta knärot.png", "A 498-2025")</f>
        <v/>
      </c>
      <c r="AA295">
        <f>HYPERLINK("https://klasma.github.io/Logging_2082/klagomål/A 498-2025 FSC-klagomål.docx", "A 498-2025")</f>
        <v/>
      </c>
      <c r="AB295">
        <f>HYPERLINK("https://klasma.github.io/Logging_2082/klagomålsmail/A 498-2025 FSC-klagomål mail.docx", "A 498-2025")</f>
        <v/>
      </c>
      <c r="AC295">
        <f>HYPERLINK("https://klasma.github.io/Logging_2082/tillsyn/A 498-2025 tillsynsbegäran.docx", "A 498-2025")</f>
        <v/>
      </c>
      <c r="AD295">
        <f>HYPERLINK("https://klasma.github.io/Logging_2082/tillsynsmail/A 498-2025 tillsynsbegäran mail.docx", "A 498-2025")</f>
        <v/>
      </c>
    </row>
    <row r="296" ht="15" customHeight="1">
      <c r="A296" t="inlineStr">
        <is>
          <t>A 61344-2023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46251</v>
      </c>
      <c r="F296" t="inlineStr">
        <is>
          <t>DALARNAS LÄN</t>
        </is>
      </c>
      <c r="G296" t="inlineStr">
        <is>
          <t>SÄTER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46251</v>
      </c>
      <c r="F297" t="inlineStr">
        <is>
          <t>DALARNAS LÄN</t>
        </is>
      </c>
      <c r="G297" t="inlineStr">
        <is>
          <t>SÄTER</t>
        </is>
      </c>
      <c r="H297" t="inlineStr">
        <is>
          <t>Kommuner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46251</v>
      </c>
      <c r="F298" t="inlineStr">
        <is>
          <t>DALARNAS LÄN</t>
        </is>
      </c>
      <c r="G298" t="inlineStr">
        <is>
          <t>SÄTER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46251</v>
      </c>
      <c r="F299" t="inlineStr">
        <is>
          <t>DALARNAS LÄN</t>
        </is>
      </c>
      <c r="G299" t="inlineStr">
        <is>
          <t>SÄTER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23737-2026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46251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45216</v>
      </c>
      <c r="E301" s="1" t="n">
        <v>46251</v>
      </c>
      <c r="F301" t="inlineStr">
        <is>
          <t>DALARNAS LÄN</t>
        </is>
      </c>
      <c r="G301" t="inlineStr">
        <is>
          <t>SÄTER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46251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46251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46251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46251</v>
      </c>
      <c r="F305" t="inlineStr">
        <is>
          <t>DALARNAS LÄN</t>
        </is>
      </c>
      <c r="G305" t="inlineStr">
        <is>
          <t>SÄTER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45171</v>
      </c>
      <c r="E306" s="1" t="n">
        <v>46251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49684-2024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46251</v>
      </c>
      <c r="F307" t="inlineStr">
        <is>
          <t>DALARNAS LÄN</t>
        </is>
      </c>
      <c r="G307" t="inlineStr">
        <is>
          <t>SÄTER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45783</v>
      </c>
      <c r="E308" s="1" t="n">
        <v>46251</v>
      </c>
      <c r="F308" t="inlineStr">
        <is>
          <t>DALARNAS LÄN</t>
        </is>
      </c>
      <c r="G308" t="inlineStr">
        <is>
          <t>SÄTER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45428</v>
      </c>
      <c r="E309" s="1" t="n">
        <v>46251</v>
      </c>
      <c r="F309" t="inlineStr">
        <is>
          <t>DALARNAS LÄN</t>
        </is>
      </c>
      <c r="G309" t="inlineStr">
        <is>
          <t>SÄTER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44572</v>
      </c>
      <c r="E310" s="1" t="n">
        <v>46251</v>
      </c>
      <c r="F310" t="inlineStr">
        <is>
          <t>DALARNAS LÄN</t>
        </is>
      </c>
      <c r="G310" t="inlineStr">
        <is>
          <t>SÄTER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46251</v>
      </c>
      <c r="F311" t="inlineStr">
        <is>
          <t>DALARNAS LÄN</t>
        </is>
      </c>
      <c r="G311" t="inlineStr">
        <is>
          <t>SÄTER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44992</v>
      </c>
      <c r="E312" s="1" t="n">
        <v>46251</v>
      </c>
      <c r="F312" t="inlineStr">
        <is>
          <t>DALARNAS LÄN</t>
        </is>
      </c>
      <c r="G312" t="inlineStr">
        <is>
          <t>SÄTER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46211</v>
      </c>
      <c r="E313" s="1" t="n">
        <v>46251</v>
      </c>
      <c r="F313" t="inlineStr">
        <is>
          <t>DALARNAS LÄN</t>
        </is>
      </c>
      <c r="G313" t="inlineStr">
        <is>
          <t>SÄTER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45665</v>
      </c>
      <c r="E314" s="1" t="n">
        <v>46251</v>
      </c>
      <c r="F314" t="inlineStr">
        <is>
          <t>DALARNAS LÄN</t>
        </is>
      </c>
      <c r="G314" t="inlineStr">
        <is>
          <t>SÄTER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45432</v>
      </c>
      <c r="E315" s="1" t="n">
        <v>46251</v>
      </c>
      <c r="F315" t="inlineStr">
        <is>
          <t>DALARNAS LÄN</t>
        </is>
      </c>
      <c r="G315" t="inlineStr">
        <is>
          <t>SÄTER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29635-2024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45484</v>
      </c>
      <c r="E316" s="1" t="n">
        <v>46251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46251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46251</v>
      </c>
      <c r="F318" t="inlineStr">
        <is>
          <t>DALARNAS LÄN</t>
        </is>
      </c>
      <c r="G318" t="inlineStr">
        <is>
          <t>SÄTER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46251</v>
      </c>
      <c r="F319" t="inlineStr">
        <is>
          <t>DALARNAS LÄN</t>
        </is>
      </c>
      <c r="G319" t="inlineStr">
        <is>
          <t>SÄTER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45666</v>
      </c>
      <c r="E320" s="1" t="n">
        <v>46251</v>
      </c>
      <c r="F320" t="inlineStr">
        <is>
          <t>DALARNAS LÄN</t>
        </is>
      </c>
      <c r="G320" t="inlineStr">
        <is>
          <t>SÄTER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45365</v>
      </c>
      <c r="E321" s="1" t="n">
        <v>46251</v>
      </c>
      <c r="F321" t="inlineStr">
        <is>
          <t>DALARNAS LÄN</t>
        </is>
      </c>
      <c r="G321" t="inlineStr">
        <is>
          <t>SÄTER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46251</v>
      </c>
      <c r="F322" t="inlineStr">
        <is>
          <t>DALARNAS LÄN</t>
        </is>
      </c>
      <c r="G322" t="inlineStr">
        <is>
          <t>SÄTER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44630</v>
      </c>
      <c r="E323" s="1" t="n">
        <v>46251</v>
      </c>
      <c r="F323" t="inlineStr">
        <is>
          <t>DALARNAS LÄN</t>
        </is>
      </c>
      <c r="G323" t="inlineStr">
        <is>
          <t>SÄTER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45163</v>
      </c>
      <c r="E324" s="1" t="n">
        <v>46251</v>
      </c>
      <c r="F324" t="inlineStr">
        <is>
          <t>DALARNAS LÄN</t>
        </is>
      </c>
      <c r="G324" t="inlineStr">
        <is>
          <t>SÄTER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46251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45118</v>
      </c>
      <c r="E326" s="1" t="n">
        <v>46251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45462</v>
      </c>
      <c r="E327" s="1" t="n">
        <v>46251</v>
      </c>
      <c r="F327" t="inlineStr">
        <is>
          <t>DALARNAS LÄN</t>
        </is>
      </c>
      <c r="G327" t="inlineStr">
        <is>
          <t>SÄTER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46251</v>
      </c>
      <c r="F328" t="inlineStr">
        <is>
          <t>DALARNAS LÄN</t>
        </is>
      </c>
      <c r="G328" t="inlineStr">
        <is>
          <t>SÄTER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45804</v>
      </c>
      <c r="E329" s="1" t="n">
        <v>46251</v>
      </c>
      <c r="F329" t="inlineStr">
        <is>
          <t>DALARNAS LÄN</t>
        </is>
      </c>
      <c r="G329" t="inlineStr">
        <is>
          <t>SÄTER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45804</v>
      </c>
      <c r="E330" s="1" t="n">
        <v>46251</v>
      </c>
      <c r="F330" t="inlineStr">
        <is>
          <t>DALARNAS LÄN</t>
        </is>
      </c>
      <c r="G330" t="inlineStr">
        <is>
          <t>SÄTER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45644</v>
      </c>
      <c r="E331" s="1" t="n">
        <v>46251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46251</v>
      </c>
      <c r="F332" t="inlineStr">
        <is>
          <t>DALARNAS LÄN</t>
        </is>
      </c>
      <c r="G332" t="inlineStr">
        <is>
          <t>SÄTER</t>
        </is>
      </c>
      <c r="H332" t="inlineStr">
        <is>
          <t>Övriga statliga verk och myndigheter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46251</v>
      </c>
      <c r="F333" t="inlineStr">
        <is>
          <t>DALARNAS LÄN</t>
        </is>
      </c>
      <c r="G333" t="inlineStr">
        <is>
          <t>SÄTER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45953</v>
      </c>
      <c r="E334" s="1" t="n">
        <v>46251</v>
      </c>
      <c r="F334" t="inlineStr">
        <is>
          <t>DALARNAS LÄN</t>
        </is>
      </c>
      <c r="G334" t="inlineStr">
        <is>
          <t>SÄTER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32886-2022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46251</v>
      </c>
      <c r="F335" t="inlineStr">
        <is>
          <t>DALARNAS LÄN</t>
        </is>
      </c>
      <c r="G335" t="inlineStr">
        <is>
          <t>SÄTER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46251</v>
      </c>
      <c r="F336" t="inlineStr">
        <is>
          <t>DALARNAS LÄN</t>
        </is>
      </c>
      <c r="G336" t="inlineStr">
        <is>
          <t>SÄTER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46251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45552</v>
      </c>
      <c r="E338" s="1" t="n">
        <v>46251</v>
      </c>
      <c r="F338" t="inlineStr">
        <is>
          <t>DALARNAS LÄN</t>
        </is>
      </c>
      <c r="G338" t="inlineStr">
        <is>
          <t>SÄTER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46251</v>
      </c>
      <c r="F339" t="inlineStr">
        <is>
          <t>DALARNAS LÄN</t>
        </is>
      </c>
      <c r="G339" t="inlineStr">
        <is>
          <t>SÄTER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46251</v>
      </c>
      <c r="F340" t="inlineStr">
        <is>
          <t>DALARNAS LÄN</t>
        </is>
      </c>
      <c r="G340" t="inlineStr">
        <is>
          <t>SÄTER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45427</v>
      </c>
      <c r="E341" s="1" t="n">
        <v>46251</v>
      </c>
      <c r="F341" t="inlineStr">
        <is>
          <t>DALARNAS LÄN</t>
        </is>
      </c>
      <c r="G341" t="inlineStr">
        <is>
          <t>SÄTER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19747-2025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45771</v>
      </c>
      <c r="E342" s="1" t="n">
        <v>46251</v>
      </c>
      <c r="F342" t="inlineStr">
        <is>
          <t>DALARNAS LÄN</t>
        </is>
      </c>
      <c r="G342" t="inlineStr">
        <is>
          <t>SÄTER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46251</v>
      </c>
      <c r="F343" t="inlineStr">
        <is>
          <t>DALARNAS LÄN</t>
        </is>
      </c>
      <c r="G343" t="inlineStr">
        <is>
          <t>SÄTER</t>
        </is>
      </c>
      <c r="H343" t="inlineStr">
        <is>
          <t>Kommuner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44691</v>
      </c>
      <c r="E344" s="1" t="n">
        <v>46251</v>
      </c>
      <c r="F344" t="inlineStr">
        <is>
          <t>DALARNAS LÄN</t>
        </is>
      </c>
      <c r="G344" t="inlineStr">
        <is>
          <t>SÄTER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46251</v>
      </c>
      <c r="F345" t="inlineStr">
        <is>
          <t>DALARNAS LÄN</t>
        </is>
      </c>
      <c r="G345" t="inlineStr">
        <is>
          <t>SÄTER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46251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46251</v>
      </c>
      <c r="F347" t="inlineStr">
        <is>
          <t>DALARNAS LÄN</t>
        </is>
      </c>
      <c r="G347" t="inlineStr">
        <is>
          <t>SÄTER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46251</v>
      </c>
      <c r="F348" t="inlineStr">
        <is>
          <t>DALARNAS LÄN</t>
        </is>
      </c>
      <c r="G348" t="inlineStr">
        <is>
          <t>SÄTER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45232</v>
      </c>
      <c r="E349" s="1" t="n">
        <v>46251</v>
      </c>
      <c r="F349" t="inlineStr">
        <is>
          <t>DALARNAS LÄN</t>
        </is>
      </c>
      <c r="G349" t="inlineStr">
        <is>
          <t>SÄTER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46251</v>
      </c>
      <c r="F350" t="inlineStr">
        <is>
          <t>DALARNAS LÄN</t>
        </is>
      </c>
      <c r="G350" t="inlineStr">
        <is>
          <t>SÄTER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56225-2023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46251</v>
      </c>
      <c r="F351" t="inlineStr">
        <is>
          <t>DALARNAS LÄN</t>
        </is>
      </c>
      <c r="G351" t="inlineStr">
        <is>
          <t>SÄTER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46251</v>
      </c>
      <c r="F352" t="inlineStr">
        <is>
          <t>DALARNAS LÄN</t>
        </is>
      </c>
      <c r="G352" t="inlineStr">
        <is>
          <t>SÄTER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46234</v>
      </c>
      <c r="E353" s="1" t="n">
        <v>46251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46251</v>
      </c>
      <c r="F354" t="inlineStr">
        <is>
          <t>DALARNAS LÄN</t>
        </is>
      </c>
      <c r="G354" t="inlineStr">
        <is>
          <t>SÄTER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46251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46251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45670</v>
      </c>
      <c r="E357" s="1" t="n">
        <v>46251</v>
      </c>
      <c r="F357" t="inlineStr">
        <is>
          <t>DALARNAS LÄN</t>
        </is>
      </c>
      <c r="G357" t="inlineStr">
        <is>
          <t>SÄTER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44690</v>
      </c>
      <c r="E358" s="1" t="n">
        <v>46251</v>
      </c>
      <c r="F358" t="inlineStr">
        <is>
          <t>DALARNAS LÄN</t>
        </is>
      </c>
      <c r="G358" t="inlineStr">
        <is>
          <t>SÄTER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28281-2026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46251</v>
      </c>
      <c r="F359" t="inlineStr">
        <is>
          <t>DALARNAS LÄN</t>
        </is>
      </c>
      <c r="G359" t="inlineStr">
        <is>
          <t>SÄTER</t>
        </is>
      </c>
      <c r="H359" t="inlineStr">
        <is>
          <t>Sveaskog</t>
        </is>
      </c>
      <c r="I359" t="n">
        <v>19.8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45855</v>
      </c>
      <c r="E360" s="1" t="n">
        <v>46251</v>
      </c>
      <c r="F360" t="inlineStr">
        <is>
          <t>DALARNAS LÄN</t>
        </is>
      </c>
      <c r="G360" t="inlineStr">
        <is>
          <t>SÄTER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46251</v>
      </c>
      <c r="F361" t="inlineStr">
        <is>
          <t>DALARNAS LÄN</t>
        </is>
      </c>
      <c r="G361" t="inlineStr">
        <is>
          <t>SÄTER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45870</v>
      </c>
      <c r="E362" s="1" t="n">
        <v>46251</v>
      </c>
      <c r="F362" t="inlineStr">
        <is>
          <t>DALARNAS LÄN</t>
        </is>
      </c>
      <c r="G362" t="inlineStr">
        <is>
          <t>SÄTER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45875</v>
      </c>
      <c r="E363" s="1" t="n">
        <v>46251</v>
      </c>
      <c r="F363" t="inlineStr">
        <is>
          <t>DALARNAS LÄN</t>
        </is>
      </c>
      <c r="G363" t="inlineStr">
        <is>
          <t>SÄTER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46251</v>
      </c>
      <c r="F364" t="inlineStr">
        <is>
          <t>DALARNAS LÄN</t>
        </is>
      </c>
      <c r="G364" t="inlineStr">
        <is>
          <t>SÄTER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2585-2020</t>
        </is>
      </c>
      <c r="B365" t="inlineStr">
        <is>
          <t>samrådsanmälan</t>
        </is>
      </c>
      <c r="C365" t="n">
        <v/>
      </c>
      <c r="D365" s="1" t="n">
        <v>44155</v>
      </c>
      <c r="E365" s="1" t="n">
        <v>46251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1868-2020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44071</v>
      </c>
      <c r="E366" s="1" t="n">
        <v>46251</v>
      </c>
      <c r="F366" t="inlineStr">
        <is>
          <t>DALARNAS LÄN</t>
        </is>
      </c>
      <c r="G366" t="inlineStr">
        <is>
          <t>SÄTER</t>
        </is>
      </c>
      <c r="I366" t="n">
        <v>29.2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405-2022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44585</v>
      </c>
      <c r="E367" s="1" t="n">
        <v>46251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79.09999999999999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46251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1098-2024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45391</v>
      </c>
      <c r="E369" s="1" t="n">
        <v>46251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189.2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705-2025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45720</v>
      </c>
      <c r="E370" s="1" t="n">
        <v>46251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21.7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2964-2025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45952</v>
      </c>
      <c r="E371" s="1" t="n">
        <v>46251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46251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>
      <c r="A373" t="inlineStr">
        <is>
          <t>S 611-2026</t>
        </is>
      </c>
      <c r="B373" t="inlineStr">
        <is>
          <t>samrådsanmälan</t>
        </is>
      </c>
      <c r="C373" t="inlineStr">
        <is>
          <t>Skogsgödsling</t>
        </is>
      </c>
      <c r="D373" s="1" t="n">
        <v>46085</v>
      </c>
      <c r="E373" s="1" t="n">
        <v>46251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44.7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2026-08-17T01:47:59Z</dcterms:created>
  <dcterms:modified xmlns:dcterms="http://purl.org/dc/terms/" xmlns:xsi="http://www.w3.org/2001/XMLSchema-instance" xsi:type="dcterms:W3CDTF">2026-08-17T01:47:59Z</dcterms:modified>
</cp:coreProperties>
</file>