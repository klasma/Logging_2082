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46291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46291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46291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46291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46291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46291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46291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46291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46291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46291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46291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46291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46291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33605-2022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46291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Ullticka</t>
        </is>
      </c>
      <c r="W27">
        <f>HYPERLINK("https://klasma.github.io/Logging_2082/artfynd/A 33605-2022 artfynd.xlsx", "A 33605-2022")</f>
        <v/>
      </c>
      <c r="X27">
        <f>HYPERLINK("https://klasma.github.io/Logging_2082/kartor/A 33605-2022 karta.png", "A 33605-2022")</f>
        <v/>
      </c>
      <c r="Y27">
        <f>HYPERLINK("https://klasma.github.io/Logging_2082/kartor_geotiff/A 33605-2022 georefererad karta.tif", "A 33605-2022")</f>
        <v/>
      </c>
      <c r="AA27">
        <f>HYPERLINK("https://klasma.github.io/Logging_2082/klagomål/A 33605-2022 FSC-klagomål.docx", "A 33605-2022")</f>
        <v/>
      </c>
      <c r="AB27">
        <f>HYPERLINK("https://klasma.github.io/Logging_2082/klagomålsmail/A 33605-2022 FSC-klagomål mail.docx", "A 33605-2022")</f>
        <v/>
      </c>
      <c r="AC27">
        <f>HYPERLINK("https://klasma.github.io/Logging_2082/tillsyn/A 33605-2022 tillsynsbegäran.docx", "A 33605-2022")</f>
        <v/>
      </c>
      <c r="AD27">
        <f>HYPERLINK("https://klasma.github.io/Logging_2082/tillsynsmail/A 33605-2022 tillsynsbegäran mail.docx", "A 33605-2022")</f>
        <v/>
      </c>
    </row>
    <row r="28" ht="15" customHeight="1">
      <c r="A28" t="inlineStr">
        <is>
          <t>A 5232-2022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46291</v>
      </c>
      <c r="F28" t="inlineStr">
        <is>
          <t>DALARNAS LÄN</t>
        </is>
      </c>
      <c r="G28" t="inlineStr">
        <is>
          <t>SÄTER</t>
        </is>
      </c>
      <c r="I28" t="n">
        <v>2.5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HYPERLINK("https://klasma.github.io/Logging_2082/artfynd/A 5232-2022 artfynd.xlsx", "A 5232-2022")</f>
        <v/>
      </c>
      <c r="X28">
        <f>HYPERLINK("https://klasma.github.io/Logging_2082/kartor/A 5232-2022 karta.png", "A 5232-2022")</f>
        <v/>
      </c>
      <c r="Y28">
        <f>HYPERLINK("https://klasma.github.io/Logging_2082/kartor_geotiff/A 5232-2022 georefererad karta.tif", "A 5232-2022")</f>
        <v/>
      </c>
      <c r="AA28">
        <f>HYPERLINK("https://klasma.github.io/Logging_2082/klagomål/A 5232-2022 FSC-klagomål.docx", "A 5232-2022")</f>
        <v/>
      </c>
      <c r="AB28">
        <f>HYPERLINK("https://klasma.github.io/Logging_2082/klagomålsmail/A 5232-2022 FSC-klagomål mail.docx", "A 5232-2022")</f>
        <v/>
      </c>
      <c r="AC28">
        <f>HYPERLINK("https://klasma.github.io/Logging_2082/tillsyn/A 5232-2022 tillsynsbegäran.docx", "A 5232-2022")</f>
        <v/>
      </c>
      <c r="AD28">
        <f>HYPERLINK("https://klasma.github.io/Logging_2082/tillsynsmail/A 5232-2022 tillsynsbegäran mail.docx", "A 5232-2022")</f>
        <v/>
      </c>
    </row>
    <row r="29" ht="15" customHeight="1">
      <c r="A29" t="inlineStr">
        <is>
          <t>A 47661-2025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46291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13.8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Järnsparv</t>
        </is>
      </c>
      <c r="W29">
        <f>HYPERLINK("https://klasma.github.io/Logging_2082/artfynd/A 47661-2025 artfynd.xlsx", "A 47661-2025")</f>
        <v/>
      </c>
      <c r="X29">
        <f>HYPERLINK("https://klasma.github.io/Logging_2082/kartor/A 47661-2025 karta.png", "A 47661-2025")</f>
        <v/>
      </c>
      <c r="Y29">
        <f>HYPERLINK("https://klasma.github.io/Logging_2082/kartor_geotiff/A 47661-2025 georefererad karta.tif", "A 47661-2025")</f>
        <v/>
      </c>
      <c r="AA29">
        <f>HYPERLINK("https://klasma.github.io/Logging_2082/klagomål/A 47661-2025 FSC-klagomål.docx", "A 47661-2025")</f>
        <v/>
      </c>
      <c r="AB29">
        <f>HYPERLINK("https://klasma.github.io/Logging_2082/klagomålsmail/A 47661-2025 FSC-klagomål mail.docx", "A 47661-2025")</f>
        <v/>
      </c>
      <c r="AC29">
        <f>HYPERLINK("https://klasma.github.io/Logging_2082/tillsyn/A 47661-2025 tillsynsbegäran.docx", "A 47661-2025")</f>
        <v/>
      </c>
      <c r="AD29">
        <f>HYPERLINK("https://klasma.github.io/Logging_2082/tillsynsmail/A 47661-2025 tillsynsbegäran mail.docx", "A 47661-2025")</f>
        <v/>
      </c>
      <c r="AE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46291</v>
      </c>
      <c r="F30" t="inlineStr">
        <is>
          <t>DALARNAS LÄN</t>
        </is>
      </c>
      <c r="G30" t="inlineStr">
        <is>
          <t>SÄTER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49653-2025 artfynd.xlsx", "A 49653-2025")</f>
        <v/>
      </c>
      <c r="X30">
        <f>HYPERLINK("https://klasma.github.io/Logging_2082/kartor/A 49653-2025 karta.png", "A 49653-2025")</f>
        <v/>
      </c>
      <c r="Y30">
        <f>HYPERLINK("https://klasma.github.io/Logging_2082/kartor_geotiff/A 49653-2025 georefererad karta.tif", "A 49653-2025")</f>
        <v/>
      </c>
      <c r="AA30">
        <f>HYPERLINK("https://klasma.github.io/Logging_2082/klagomål/A 49653-2025 FSC-klagomål.docx", "A 49653-2025")</f>
        <v/>
      </c>
      <c r="AB30">
        <f>HYPERLINK("https://klasma.github.io/Logging_2082/klagomålsmail/A 49653-2025 FSC-klagomål mail.docx", "A 49653-2025")</f>
        <v/>
      </c>
      <c r="AC30">
        <f>HYPERLINK("https://klasma.github.io/Logging_2082/tillsyn/A 49653-2025 tillsynsbegäran.docx", "A 49653-2025")</f>
        <v/>
      </c>
      <c r="AD30">
        <f>HYPERLINK("https://klasma.github.io/Logging_2082/tillsynsmail/A 49653-2025 tillsynsbegäran mail.docx", "A 49653-2025")</f>
        <v/>
      </c>
    </row>
    <row r="31" ht="15" customHeight="1">
      <c r="A31" t="inlineStr">
        <is>
          <t>A 32383-2022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46291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4.1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HYPERLINK("https://klasma.github.io/Logging_2082/artfynd/A 32383-2022 artfynd.xlsx", "A 32383-2022")</f>
        <v/>
      </c>
      <c r="X31">
        <f>HYPERLINK("https://klasma.github.io/Logging_2082/kartor/A 32383-2022 karta.png", "A 32383-2022")</f>
        <v/>
      </c>
      <c r="Y31">
        <f>HYPERLINK("https://klasma.github.io/Logging_2082/kartor_geotiff/A 32383-2022 georefererad karta.tif", "A 32383-2022")</f>
        <v/>
      </c>
      <c r="Z31">
        <f>HYPERLINK("https://klasma.github.io/Logging_2082/knärot/A 32383-2022 karta knärot.png", "A 32383-2022")</f>
        <v/>
      </c>
      <c r="AA31">
        <f>HYPERLINK("https://klasma.github.io/Logging_2082/klagomål/A 32383-2022 FSC-klagomål.docx", "A 32383-2022")</f>
        <v/>
      </c>
      <c r="AB31">
        <f>HYPERLINK("https://klasma.github.io/Logging_2082/klagomålsmail/A 32383-2022 FSC-klagomål mail.docx", "A 32383-2022")</f>
        <v/>
      </c>
      <c r="AC31">
        <f>HYPERLINK("https://klasma.github.io/Logging_2082/tillsyn/A 32383-2022 tillsynsbegäran.docx", "A 32383-2022")</f>
        <v/>
      </c>
      <c r="AD31">
        <f>HYPERLINK("https://klasma.github.io/Logging_2082/tillsynsmail/A 32383-2022 tillsynsbegäran mail.docx", "A 32383-2022")</f>
        <v/>
      </c>
    </row>
    <row r="32" ht="15" customHeight="1">
      <c r="A32" t="inlineStr">
        <is>
          <t>A 36939-2025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46291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Slaguggla</t>
        </is>
      </c>
      <c r="W32">
        <f>HYPERLINK("https://klasma.github.io/Logging_2082/artfynd/A 36939-2025 artfynd.xlsx", "A 36939-2025")</f>
        <v/>
      </c>
      <c r="X32">
        <f>HYPERLINK("https://klasma.github.io/Logging_2082/kartor/A 36939-2025 karta.png", "A 36939-2025")</f>
        <v/>
      </c>
      <c r="Y32">
        <f>HYPERLINK("https://klasma.github.io/Logging_2082/kartor_geotiff/A 36939-2025 georefererad karta.tif", "A 36939-2025")</f>
        <v/>
      </c>
      <c r="AA32">
        <f>HYPERLINK("https://klasma.github.io/Logging_2082/klagomål/A 36939-2025 FSC-klagomål.docx", "A 36939-2025")</f>
        <v/>
      </c>
      <c r="AB32">
        <f>HYPERLINK("https://klasma.github.io/Logging_2082/klagomålsmail/A 36939-2025 FSC-klagomål mail.docx", "A 36939-2025")</f>
        <v/>
      </c>
      <c r="AC32">
        <f>HYPERLINK("https://klasma.github.io/Logging_2082/tillsyn/A 36939-2025 tillsynsbegäran.docx", "A 36939-2025")</f>
        <v/>
      </c>
      <c r="AD32">
        <f>HYPERLINK("https://klasma.github.io/Logging_2082/tillsynsmail/A 36939-2025 tillsynsbegäran mail.docx", "A 36939-2025")</f>
        <v/>
      </c>
      <c r="AE32">
        <f>HYPERLINK("https://klasma.github.io/Logging_2082/fåglar/A 36939-2025 prioriterade fågelarter.docx", "A 36939-2025")</f>
        <v/>
      </c>
    </row>
    <row r="33" ht="15" customHeight="1">
      <c r="A33" t="inlineStr">
        <is>
          <t>A 61197-2025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46291</v>
      </c>
      <c r="F33" t="inlineStr">
        <is>
          <t>DALARNAS LÄN</t>
        </is>
      </c>
      <c r="G33" t="inlineStr">
        <is>
          <t>SÄTER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61197-2025 artfynd.xlsx", "A 61197-2025")</f>
        <v/>
      </c>
      <c r="X33">
        <f>HYPERLINK("https://klasma.github.io/Logging_2082/kartor/A 61197-2025 karta.png", "A 61197-2025")</f>
        <v/>
      </c>
      <c r="Y33">
        <f>HYPERLINK("https://klasma.github.io/Logging_2082/kartor_geotiff/A 61197-2025 georefererad karta.tif", "A 61197-2025")</f>
        <v/>
      </c>
      <c r="Z33">
        <f>HYPERLINK("https://klasma.github.io/Logging_2082/knärot/A 61197-2025 karta knärot.png", "A 61197-2025")</f>
        <v/>
      </c>
      <c r="AA33">
        <f>HYPERLINK("https://klasma.github.io/Logging_2082/klagomål/A 61197-2025 FSC-klagomål.docx", "A 61197-2025")</f>
        <v/>
      </c>
      <c r="AB33">
        <f>HYPERLINK("https://klasma.github.io/Logging_2082/klagomålsmail/A 61197-2025 FSC-klagomål mail.docx", "A 61197-2025")</f>
        <v/>
      </c>
      <c r="AC33">
        <f>HYPERLINK("https://klasma.github.io/Logging_2082/tillsyn/A 61197-2025 tillsynsbegäran.docx", "A 61197-2025")</f>
        <v/>
      </c>
      <c r="AD33">
        <f>HYPERLINK("https://klasma.github.io/Logging_2082/tillsynsmail/A 61197-2025 tillsynsbegäran mail.docx", "A 61197-2025")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46291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46291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46291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46291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46291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46291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34938-2025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46291</v>
      </c>
      <c r="F40" t="inlineStr">
        <is>
          <t>DALARNAS LÄN</t>
        </is>
      </c>
      <c r="G40" t="inlineStr">
        <is>
          <t>SÄTER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HYPERLINK("https://klasma.github.io/Logging_2082/artfynd/A 34938-2025 artfynd.xlsx", "A 34938-2025")</f>
        <v/>
      </c>
      <c r="X40">
        <f>HYPERLINK("https://klasma.github.io/Logging_2082/kartor/A 34938-2025 karta.png", "A 34938-2025")</f>
        <v/>
      </c>
      <c r="Y40">
        <f>HYPERLINK("https://klasma.github.io/Logging_2082/kartor_geotiff/A 34938-2025 georefererad karta.tif", "A 34938-2025")</f>
        <v/>
      </c>
      <c r="AA40">
        <f>HYPERLINK("https://klasma.github.io/Logging_2082/klagomål/A 34938-2025 FSC-klagomål.docx", "A 34938-2025")</f>
        <v/>
      </c>
      <c r="AB40">
        <f>HYPERLINK("https://klasma.github.io/Logging_2082/klagomålsmail/A 34938-2025 FSC-klagomål mail.docx", "A 34938-2025")</f>
        <v/>
      </c>
      <c r="AC40">
        <f>HYPERLINK("https://klasma.github.io/Logging_2082/tillsyn/A 34938-2025 tillsynsbegäran.docx", "A 34938-2025")</f>
        <v/>
      </c>
      <c r="AD40">
        <f>HYPERLINK("https://klasma.github.io/Logging_2082/tillsynsmail/A 34938-2025 tillsynsbegäran mail.docx", "A 34938-2025")</f>
        <v/>
      </c>
    </row>
    <row r="41" ht="15" customHeight="1">
      <c r="A41" t="inlineStr">
        <is>
          <t>A 35221-2025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45853</v>
      </c>
      <c r="E41" s="1" t="n">
        <v>46291</v>
      </c>
      <c r="F41" t="inlineStr">
        <is>
          <t>DALARNAS LÄN</t>
        </is>
      </c>
      <c r="G41" t="inlineStr">
        <is>
          <t>SÄTER</t>
        </is>
      </c>
      <c r="I41" t="n">
        <v>9.5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Vedskivlav</t>
        </is>
      </c>
      <c r="W41">
        <f>HYPERLINK("https://klasma.github.io/Logging_2082/artfynd/A 35221-2025 artfynd.xlsx", "A 35221-2025")</f>
        <v/>
      </c>
      <c r="X41">
        <f>HYPERLINK("https://klasma.github.io/Logging_2082/kartor/A 35221-2025 karta.png", "A 35221-2025")</f>
        <v/>
      </c>
      <c r="Y41">
        <f>HYPERLINK("https://klasma.github.io/Logging_2082/kartor_geotiff/A 35221-2025 georefererad karta.tif", "A 35221-2025")</f>
        <v/>
      </c>
      <c r="AA41">
        <f>HYPERLINK("https://klasma.github.io/Logging_2082/klagomål/A 35221-2025 FSC-klagomål.docx", "A 35221-2025")</f>
        <v/>
      </c>
      <c r="AB41">
        <f>HYPERLINK("https://klasma.github.io/Logging_2082/klagomålsmail/A 35221-2025 FSC-klagomål mail.docx", "A 35221-2025")</f>
        <v/>
      </c>
      <c r="AC41">
        <f>HYPERLINK("https://klasma.github.io/Logging_2082/tillsyn/A 35221-2025 tillsynsbegäran.docx", "A 35221-2025")</f>
        <v/>
      </c>
      <c r="AD41">
        <f>HYPERLINK("https://klasma.github.io/Logging_2082/tillsynsmail/A 35221-2025 tillsynsbegäran mail.docx", "A 35221-2025")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46291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46291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46291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38692-2026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46291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15.5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HYPERLINK("https://klasma.github.io/Logging_2082/artfynd/A 38692-2026 artfynd.xlsx", "A 38692-2026")</f>
        <v/>
      </c>
      <c r="X45">
        <f>HYPERLINK("https://klasma.github.io/Logging_2082/kartor/A 38692-2026 karta.png", "A 38692-2026")</f>
        <v/>
      </c>
      <c r="Y45">
        <f>HYPERLINK("https://klasma.github.io/Logging_2082/kartor_geotiff/A 38692-2026 georefererad karta.tif", "A 38692-2026")</f>
        <v/>
      </c>
      <c r="AA45">
        <f>HYPERLINK("https://klasma.github.io/Logging_2082/klagomål/A 38692-2026 FSC-klagomål.docx", "A 38692-2026")</f>
        <v/>
      </c>
      <c r="AB45">
        <f>HYPERLINK("https://klasma.github.io/Logging_2082/klagomålsmail/A 38692-2026 FSC-klagomål mail.docx", "A 38692-2026")</f>
        <v/>
      </c>
      <c r="AC45">
        <f>HYPERLINK("https://klasma.github.io/Logging_2082/tillsyn/A 38692-2026 tillsynsbegäran.docx", "A 38692-2026")</f>
        <v/>
      </c>
      <c r="AD45">
        <f>HYPERLINK("https://klasma.github.io/Logging_2082/tillsynsmail/A 38692-2026 tillsynsbegäran mail.docx", "A 38692-2026")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46291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46291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46291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46291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46291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46291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72987-2021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44549</v>
      </c>
      <c r="E52" s="1" t="n">
        <v>46291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65388-2021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46291</v>
      </c>
      <c r="F53" t="inlineStr">
        <is>
          <t>DALARNAS LÄN</t>
        </is>
      </c>
      <c r="G53" t="inlineStr">
        <is>
          <t>SÄTER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46291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46291</v>
      </c>
      <c r="F55" t="inlineStr">
        <is>
          <t>DALARNAS LÄN</t>
        </is>
      </c>
      <c r="G55" t="inlineStr">
        <is>
          <t>SÄTER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44688</v>
      </c>
      <c r="E56" s="1" t="n">
        <v>46291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46291</v>
      </c>
      <c r="F57" t="inlineStr">
        <is>
          <t>DALARNAS LÄN</t>
        </is>
      </c>
      <c r="G57" t="inlineStr">
        <is>
          <t>SÄTER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46291</v>
      </c>
      <c r="F58" t="inlineStr">
        <is>
          <t>DALARNAS LÄN</t>
        </is>
      </c>
      <c r="G58" t="inlineStr">
        <is>
          <t>SÄTER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46291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46291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46291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46291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46291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46291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46291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46291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46291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46291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46291</v>
      </c>
      <c r="F69" t="inlineStr">
        <is>
          <t>DALARNAS LÄN</t>
        </is>
      </c>
      <c r="G69" t="inlineStr">
        <is>
          <t>SÄTER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46291</v>
      </c>
      <c r="F70" t="inlineStr">
        <is>
          <t>DALARNAS LÄN</t>
        </is>
      </c>
      <c r="G70" t="inlineStr">
        <is>
          <t>SÄTER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46291</v>
      </c>
      <c r="F71" t="inlineStr">
        <is>
          <t>DALARNAS LÄN</t>
        </is>
      </c>
      <c r="G71" t="inlineStr">
        <is>
          <t>SÄTER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46291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46291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46291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46291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46291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16832-2024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46291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46291</v>
      </c>
      <c r="F78" t="inlineStr">
        <is>
          <t>DALARNAS LÄN</t>
        </is>
      </c>
      <c r="G78" t="inlineStr">
        <is>
          <t>SÄTER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46291</v>
      </c>
      <c r="F79" t="inlineStr">
        <is>
          <t>DALARNAS LÄN</t>
        </is>
      </c>
      <c r="G79" t="inlineStr">
        <is>
          <t>SÄTER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46291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45666</v>
      </c>
      <c r="E81" s="1" t="n">
        <v>46291</v>
      </c>
      <c r="F81" t="inlineStr">
        <is>
          <t>DALARNAS LÄN</t>
        </is>
      </c>
      <c r="G81" t="inlineStr">
        <is>
          <t>SÄTER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46291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46291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46291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46291</v>
      </c>
      <c r="F85" t="inlineStr">
        <is>
          <t>DALARNAS LÄN</t>
        </is>
      </c>
      <c r="G85" t="inlineStr">
        <is>
          <t>SÄTER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46291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46291</v>
      </c>
      <c r="F87" t="inlineStr">
        <is>
          <t>DALARNAS LÄN</t>
        </is>
      </c>
      <c r="G87" t="inlineStr">
        <is>
          <t>SÄTER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46291</v>
      </c>
      <c r="F88" t="inlineStr">
        <is>
          <t>DALARNAS LÄN</t>
        </is>
      </c>
      <c r="G88" t="inlineStr">
        <is>
          <t>SÄTER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46291</v>
      </c>
      <c r="F89" t="inlineStr">
        <is>
          <t>DALARNAS LÄN</t>
        </is>
      </c>
      <c r="G89" t="inlineStr">
        <is>
          <t>SÄTER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46291</v>
      </c>
      <c r="F90" t="inlineStr">
        <is>
          <t>DALARNAS LÄN</t>
        </is>
      </c>
      <c r="G90" t="inlineStr">
        <is>
          <t>SÄTER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46026</v>
      </c>
      <c r="E91" s="1" t="n">
        <v>46291</v>
      </c>
      <c r="F91" t="inlineStr">
        <is>
          <t>DALARNAS LÄN</t>
        </is>
      </c>
      <c r="G91" t="inlineStr">
        <is>
          <t>SÄTER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46030</v>
      </c>
      <c r="E92" s="1" t="n">
        <v>46291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46291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46291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46291</v>
      </c>
      <c r="F95" t="inlineStr">
        <is>
          <t>DALARNAS LÄN</t>
        </is>
      </c>
      <c r="G95" t="inlineStr">
        <is>
          <t>SÄTER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46291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46291</v>
      </c>
      <c r="F97" t="inlineStr">
        <is>
          <t>DALARNAS LÄN</t>
        </is>
      </c>
      <c r="G97" t="inlineStr">
        <is>
          <t>SÄTER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46291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46291</v>
      </c>
      <c r="F99" t="inlineStr">
        <is>
          <t>DALARNAS LÄN</t>
        </is>
      </c>
      <c r="G99" t="inlineStr">
        <is>
          <t>SÄTER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46291</v>
      </c>
      <c r="F100" t="inlineStr">
        <is>
          <t>DALARNAS LÄN</t>
        </is>
      </c>
      <c r="G100" t="inlineStr">
        <is>
          <t>SÄTER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46291</v>
      </c>
      <c r="F101" t="inlineStr">
        <is>
          <t>DALARNAS LÄN</t>
        </is>
      </c>
      <c r="G101" t="inlineStr">
        <is>
          <t>SÄTER</t>
        </is>
      </c>
      <c r="H101" t="inlineStr">
        <is>
          <t>Kommuner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46034</v>
      </c>
      <c r="E102" s="1" t="n">
        <v>46291</v>
      </c>
      <c r="F102" t="inlineStr">
        <is>
          <t>DALARNAS LÄN</t>
        </is>
      </c>
      <c r="G102" t="inlineStr">
        <is>
          <t>SÄTER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46291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46291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46291</v>
      </c>
      <c r="F105" t="inlineStr">
        <is>
          <t>DALARNAS LÄN</t>
        </is>
      </c>
      <c r="G105" t="inlineStr">
        <is>
          <t>SÄTER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46291</v>
      </c>
      <c r="F106" t="inlineStr">
        <is>
          <t>DALARNAS LÄN</t>
        </is>
      </c>
      <c r="G106" t="inlineStr">
        <is>
          <t>SÄTER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46291</v>
      </c>
      <c r="F107" t="inlineStr">
        <is>
          <t>DALARNAS LÄN</t>
        </is>
      </c>
      <c r="G107" t="inlineStr">
        <is>
          <t>SÄTER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46291</v>
      </c>
      <c r="F108" t="inlineStr">
        <is>
          <t>DALARNAS LÄN</t>
        </is>
      </c>
      <c r="G108" t="inlineStr">
        <is>
          <t>SÄTER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46291</v>
      </c>
      <c r="F109" t="inlineStr">
        <is>
          <t>DALARNAS LÄN</t>
        </is>
      </c>
      <c r="G109" t="inlineStr">
        <is>
          <t>SÄTER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46291</v>
      </c>
      <c r="F110" t="inlineStr">
        <is>
          <t>DALARNAS LÄN</t>
        </is>
      </c>
      <c r="G110" t="inlineStr">
        <is>
          <t>SÄTER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46291</v>
      </c>
      <c r="F111" t="inlineStr">
        <is>
          <t>DALARNAS LÄN</t>
        </is>
      </c>
      <c r="G111" t="inlineStr">
        <is>
          <t>SÄTER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46291</v>
      </c>
      <c r="F112" t="inlineStr">
        <is>
          <t>DALARNAS LÄN</t>
        </is>
      </c>
      <c r="G112" t="inlineStr">
        <is>
          <t>SÄTER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46291</v>
      </c>
      <c r="F113" t="inlineStr">
        <is>
          <t>DALARNAS LÄN</t>
        </is>
      </c>
      <c r="G113" t="inlineStr">
        <is>
          <t>SÄTER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46291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46291</v>
      </c>
      <c r="F115" t="inlineStr">
        <is>
          <t>DALARNAS LÄN</t>
        </is>
      </c>
      <c r="G115" t="inlineStr">
        <is>
          <t>SÄTER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46291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46291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46291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46291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46291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46291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46291</v>
      </c>
      <c r="F122" t="inlineStr">
        <is>
          <t>DALARNAS LÄN</t>
        </is>
      </c>
      <c r="G122" t="inlineStr">
        <is>
          <t>SÄTER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46291</v>
      </c>
      <c r="F123" t="inlineStr">
        <is>
          <t>DALARNAS LÄN</t>
        </is>
      </c>
      <c r="G123" t="inlineStr">
        <is>
          <t>SÄTER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46291</v>
      </c>
      <c r="F124" t="inlineStr">
        <is>
          <t>DALARNAS LÄN</t>
        </is>
      </c>
      <c r="G124" t="inlineStr">
        <is>
          <t>SÄTER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46291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46291</v>
      </c>
      <c r="F126" t="inlineStr">
        <is>
          <t>DALARNAS LÄN</t>
        </is>
      </c>
      <c r="G126" t="inlineStr">
        <is>
          <t>SÄTER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46291</v>
      </c>
      <c r="F127" t="inlineStr">
        <is>
          <t>DALARNAS LÄN</t>
        </is>
      </c>
      <c r="G127" t="inlineStr">
        <is>
          <t>SÄTER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46291</v>
      </c>
      <c r="F128" t="inlineStr">
        <is>
          <t>DALARNAS LÄN</t>
        </is>
      </c>
      <c r="G128" t="inlineStr">
        <is>
          <t>SÄTER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46291</v>
      </c>
      <c r="F129" t="inlineStr">
        <is>
          <t>DALARNAS LÄN</t>
        </is>
      </c>
      <c r="G129" t="inlineStr">
        <is>
          <t>SÄTER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45566</v>
      </c>
      <c r="E130" s="1" t="n">
        <v>46291</v>
      </c>
      <c r="F130" t="inlineStr">
        <is>
          <t>DALARNAS LÄN</t>
        </is>
      </c>
      <c r="G130" t="inlineStr">
        <is>
          <t>SÄTER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46291</v>
      </c>
      <c r="F131" t="inlineStr">
        <is>
          <t>DALARNAS LÄN</t>
        </is>
      </c>
      <c r="G131" t="inlineStr">
        <is>
          <t>SÄTER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46291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46291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46291</v>
      </c>
      <c r="F134" t="inlineStr">
        <is>
          <t>DALARNAS LÄN</t>
        </is>
      </c>
      <c r="G134" t="inlineStr">
        <is>
          <t>SÄTER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46291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46291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46291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46291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46291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46291</v>
      </c>
      <c r="F140" t="inlineStr">
        <is>
          <t>DALARNAS LÄN</t>
        </is>
      </c>
      <c r="G140" t="inlineStr">
        <is>
          <t>SÄTER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46291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46291</v>
      </c>
      <c r="F142" t="inlineStr">
        <is>
          <t>DALARNAS LÄN</t>
        </is>
      </c>
      <c r="G142" t="inlineStr">
        <is>
          <t>SÄTER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46291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46291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46083</v>
      </c>
      <c r="E145" s="1" t="n">
        <v>46291</v>
      </c>
      <c r="F145" t="inlineStr">
        <is>
          <t>DALARNAS LÄN</t>
        </is>
      </c>
      <c r="G145" t="inlineStr">
        <is>
          <t>SÄTER</t>
        </is>
      </c>
      <c r="H145" t="inlineStr">
        <is>
          <t>Kommuner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46291</v>
      </c>
      <c r="F146" t="inlineStr">
        <is>
          <t>DALARNAS LÄN</t>
        </is>
      </c>
      <c r="G146" t="inlineStr">
        <is>
          <t>SÄTER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46291</v>
      </c>
      <c r="F147" t="inlineStr">
        <is>
          <t>DALARNAS LÄN</t>
        </is>
      </c>
      <c r="G147" t="inlineStr">
        <is>
          <t>SÄTER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46291</v>
      </c>
      <c r="F148" t="inlineStr">
        <is>
          <t>DALARNAS LÄN</t>
        </is>
      </c>
      <c r="G148" t="inlineStr">
        <is>
          <t>SÄTER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46291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46291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46291</v>
      </c>
      <c r="F151" t="inlineStr">
        <is>
          <t>DALARNAS LÄN</t>
        </is>
      </c>
      <c r="G151" t="inlineStr">
        <is>
          <t>SÄTER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46291</v>
      </c>
      <c r="F152" t="inlineStr">
        <is>
          <t>DALARNAS LÄN</t>
        </is>
      </c>
      <c r="G152" t="inlineStr">
        <is>
          <t>SÄTER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46291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46291</v>
      </c>
      <c r="F154" t="inlineStr">
        <is>
          <t>DALARNAS LÄN</t>
        </is>
      </c>
      <c r="G154" t="inlineStr">
        <is>
          <t>SÄTER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46291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46291</v>
      </c>
      <c r="F156" t="inlineStr">
        <is>
          <t>DALARNAS LÄN</t>
        </is>
      </c>
      <c r="G156" t="inlineStr">
        <is>
          <t>SÄTER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46291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46291</v>
      </c>
      <c r="F158" t="inlineStr">
        <is>
          <t>DALARNAS LÄN</t>
        </is>
      </c>
      <c r="G158" t="inlineStr">
        <is>
          <t>SÄTER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45576</v>
      </c>
      <c r="E159" s="1" t="n">
        <v>46291</v>
      </c>
      <c r="F159" t="inlineStr">
        <is>
          <t>DALARNAS LÄN</t>
        </is>
      </c>
      <c r="G159" t="inlineStr">
        <is>
          <t>SÄTER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46291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42998-2023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45182</v>
      </c>
      <c r="E161" s="1" t="n">
        <v>46291</v>
      </c>
      <c r="F161" t="inlineStr">
        <is>
          <t>DALARNAS LÄN</t>
        </is>
      </c>
      <c r="G161" t="inlineStr">
        <is>
          <t>SÄTER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46291</v>
      </c>
      <c r="F162" t="inlineStr">
        <is>
          <t>DALARNAS LÄN</t>
        </is>
      </c>
      <c r="G162" t="inlineStr">
        <is>
          <t>SÄTER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46291</v>
      </c>
      <c r="F163" t="inlineStr">
        <is>
          <t>DALARNAS LÄN</t>
        </is>
      </c>
      <c r="G163" t="inlineStr">
        <is>
          <t>SÄTER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45604</v>
      </c>
      <c r="E164" s="1" t="n">
        <v>46291</v>
      </c>
      <c r="F164" t="inlineStr">
        <is>
          <t>DALARNAS LÄN</t>
        </is>
      </c>
      <c r="G164" t="inlineStr">
        <is>
          <t>SÄTER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46291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46291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46291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46291</v>
      </c>
      <c r="F168" t="inlineStr">
        <is>
          <t>DALARNAS LÄN</t>
        </is>
      </c>
      <c r="G168" t="inlineStr">
        <is>
          <t>SÄTER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46291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46291</v>
      </c>
      <c r="F170" t="inlineStr">
        <is>
          <t>DALARNAS LÄN</t>
        </is>
      </c>
      <c r="G170" t="inlineStr">
        <is>
          <t>SÄTER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46291</v>
      </c>
      <c r="F171" t="inlineStr">
        <is>
          <t>DALARNAS LÄN</t>
        </is>
      </c>
      <c r="G171" t="inlineStr">
        <is>
          <t>SÄTER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46291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46291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46291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46291</v>
      </c>
      <c r="F175" t="inlineStr">
        <is>
          <t>DALARNAS LÄN</t>
        </is>
      </c>
      <c r="G175" t="inlineStr">
        <is>
          <t>SÄTER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46291</v>
      </c>
      <c r="F176" t="inlineStr">
        <is>
          <t>DALARNAS LÄN</t>
        </is>
      </c>
      <c r="G176" t="inlineStr">
        <is>
          <t>SÄTER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46291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46291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46291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46291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46291</v>
      </c>
      <c r="F181" t="inlineStr">
        <is>
          <t>DALARNAS LÄN</t>
        </is>
      </c>
      <c r="G181" t="inlineStr">
        <is>
          <t>SÄTER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46291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46291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46291</v>
      </c>
      <c r="F184" t="inlineStr">
        <is>
          <t>DALARNAS LÄN</t>
        </is>
      </c>
      <c r="G184" t="inlineStr">
        <is>
          <t>SÄTER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46291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46291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46291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46291</v>
      </c>
      <c r="F188" t="inlineStr">
        <is>
          <t>DALARNAS LÄN</t>
        </is>
      </c>
      <c r="G188" t="inlineStr">
        <is>
          <t>SÄTER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46291</v>
      </c>
      <c r="F189" t="inlineStr">
        <is>
          <t>DALARNAS LÄN</t>
        </is>
      </c>
      <c r="G189" t="inlineStr">
        <is>
          <t>SÄTER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46291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46291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46291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46291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46291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28549-2022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44748</v>
      </c>
      <c r="E195" s="1" t="n">
        <v>46291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46291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46291</v>
      </c>
      <c r="F197" t="inlineStr">
        <is>
          <t>DALARNAS LÄN</t>
        </is>
      </c>
      <c r="G197" t="inlineStr">
        <is>
          <t>SÄTER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46291</v>
      </c>
      <c r="F198" t="inlineStr">
        <is>
          <t>DALARNAS LÄN</t>
        </is>
      </c>
      <c r="G198" t="inlineStr">
        <is>
          <t>SÄTER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46291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46291</v>
      </c>
      <c r="F200" t="inlineStr">
        <is>
          <t>DALARNAS LÄN</t>
        </is>
      </c>
      <c r="G200" t="inlineStr">
        <is>
          <t>SÄTER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46291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46291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46291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HYPERLINK("https://klasma.github.io/Logging_2082/knärot/A 57416-2022 karta knärot.png", "A 57416-2022")</f>
        <v/>
      </c>
      <c r="AA203">
        <f>HYPERLINK("https://klasma.github.io/Logging_2082/klagomål/A 57416-2022 FSC-klagomål.docx", "A 57416-2022")</f>
        <v/>
      </c>
      <c r="AB203">
        <f>HYPERLINK("https://klasma.github.io/Logging_2082/klagomålsmail/A 57416-2022 FSC-klagomål mail.docx", "A 57416-2022")</f>
        <v/>
      </c>
      <c r="AC203">
        <f>HYPERLINK("https://klasma.github.io/Logging_2082/tillsyn/A 57416-2022 tillsynsbegäran.docx", "A 57416-2022")</f>
        <v/>
      </c>
      <c r="AD203">
        <f>HYPERLINK("https://klasma.github.io/Logging_2082/tillsynsmail/A 57416-2022 tillsynsbegäran mail.docx", "A 57416-2022")</f>
        <v/>
      </c>
    </row>
    <row r="204" ht="15" customHeight="1">
      <c r="A204" t="inlineStr">
        <is>
          <t>A 10101-2026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46291</v>
      </c>
      <c r="F204" t="inlineStr">
        <is>
          <t>DALARNAS LÄN</t>
        </is>
      </c>
      <c r="G204" t="inlineStr">
        <is>
          <t>SÄTER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46291</v>
      </c>
      <c r="F205" t="inlineStr">
        <is>
          <t>DALARNAS LÄN</t>
        </is>
      </c>
      <c r="G205" t="inlineStr">
        <is>
          <t>SÄTER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46291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45561</v>
      </c>
      <c r="E207" s="1" t="n">
        <v>46291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46291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46291</v>
      </c>
      <c r="F209" t="inlineStr">
        <is>
          <t>DALARNAS LÄN</t>
        </is>
      </c>
      <c r="G209" t="inlineStr">
        <is>
          <t>SÄTER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46291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46291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46291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46291</v>
      </c>
      <c r="F213" t="inlineStr">
        <is>
          <t>DALARNAS LÄN</t>
        </is>
      </c>
      <c r="G213" t="inlineStr">
        <is>
          <t>SÄTER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46291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46291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46291</v>
      </c>
      <c r="F216" t="inlineStr">
        <is>
          <t>DALARNAS LÄN</t>
        </is>
      </c>
      <c r="G216" t="inlineStr">
        <is>
          <t>SÄTER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44788</v>
      </c>
      <c r="E217" s="1" t="n">
        <v>46291</v>
      </c>
      <c r="F217" t="inlineStr">
        <is>
          <t>DALARNAS LÄN</t>
        </is>
      </c>
      <c r="G217" t="inlineStr">
        <is>
          <t>SÄTER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46291</v>
      </c>
      <c r="F218" t="inlineStr">
        <is>
          <t>DALARNAS LÄN</t>
        </is>
      </c>
      <c r="G218" t="inlineStr">
        <is>
          <t>SÄTER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46291</v>
      </c>
      <c r="F219" t="inlineStr">
        <is>
          <t>DALARNAS LÄN</t>
        </is>
      </c>
      <c r="G219" t="inlineStr">
        <is>
          <t>SÄTER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46291</v>
      </c>
      <c r="F220" t="inlineStr">
        <is>
          <t>DALARNAS LÄN</t>
        </is>
      </c>
      <c r="G220" t="inlineStr">
        <is>
          <t>SÄTER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46291</v>
      </c>
      <c r="F221" t="inlineStr">
        <is>
          <t>DALARNAS LÄN</t>
        </is>
      </c>
      <c r="G221" t="inlineStr">
        <is>
          <t>SÄTER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46291</v>
      </c>
      <c r="F222" t="inlineStr">
        <is>
          <t>DALARNAS LÄN</t>
        </is>
      </c>
      <c r="G222" t="inlineStr">
        <is>
          <t>SÄTER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46291</v>
      </c>
      <c r="F223" t="inlineStr">
        <is>
          <t>DALARNAS LÄN</t>
        </is>
      </c>
      <c r="G223" t="inlineStr">
        <is>
          <t>SÄTER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46291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46291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42.6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46291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46291</v>
      </c>
      <c r="F227" t="inlineStr">
        <is>
          <t>DALARNAS LÄN</t>
        </is>
      </c>
      <c r="G227" t="inlineStr">
        <is>
          <t>SÄTER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46291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46291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46291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46291</v>
      </c>
      <c r="F231" t="inlineStr">
        <is>
          <t>DALARNAS LÄN</t>
        </is>
      </c>
      <c r="G231" t="inlineStr">
        <is>
          <t>SÄTER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46291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46291</v>
      </c>
      <c r="F233" t="inlineStr">
        <is>
          <t>DALARNAS LÄN</t>
        </is>
      </c>
      <c r="G233" t="inlineStr">
        <is>
          <t>SÄTER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46291</v>
      </c>
      <c r="F234" t="inlineStr">
        <is>
          <t>DALARNAS LÄN</t>
        </is>
      </c>
      <c r="G234" t="inlineStr">
        <is>
          <t>SÄTER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46291</v>
      </c>
      <c r="F235" t="inlineStr">
        <is>
          <t>DALARNAS LÄN</t>
        </is>
      </c>
      <c r="G235" t="inlineStr">
        <is>
          <t>SÄTER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46291</v>
      </c>
      <c r="F236" t="inlineStr">
        <is>
          <t>DALARNAS LÄN</t>
        </is>
      </c>
      <c r="G236" t="inlineStr">
        <is>
          <t>SÄTER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46291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46291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44924</v>
      </c>
      <c r="E239" s="1" t="n">
        <v>46291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46291</v>
      </c>
      <c r="F240" t="inlineStr">
        <is>
          <t>DALARNAS LÄN</t>
        </is>
      </c>
      <c r="G240" t="inlineStr">
        <is>
          <t>SÄTER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46291</v>
      </c>
      <c r="F241" t="inlineStr">
        <is>
          <t>DALARNAS LÄN</t>
        </is>
      </c>
      <c r="G241" t="inlineStr">
        <is>
          <t>SÄTER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46291</v>
      </c>
      <c r="F242" t="inlineStr">
        <is>
          <t>DALARNAS LÄN</t>
        </is>
      </c>
      <c r="G242" t="inlineStr">
        <is>
          <t>SÄTER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46291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45140</v>
      </c>
      <c r="E244" s="1" t="n">
        <v>46291</v>
      </c>
      <c r="F244" t="inlineStr">
        <is>
          <t>DALARNAS LÄN</t>
        </is>
      </c>
      <c r="G244" t="inlineStr">
        <is>
          <t>SÄTER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46291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46291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46291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46291</v>
      </c>
      <c r="F248" t="inlineStr">
        <is>
          <t>DALARNAS LÄN</t>
        </is>
      </c>
      <c r="G248" t="inlineStr">
        <is>
          <t>SÄTER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46291</v>
      </c>
      <c r="F249" t="inlineStr">
        <is>
          <t>DALARNAS LÄN</t>
        </is>
      </c>
      <c r="G249" t="inlineStr">
        <is>
          <t>SÄTER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46291</v>
      </c>
      <c r="F250" t="inlineStr">
        <is>
          <t>DALARNAS LÄN</t>
        </is>
      </c>
      <c r="G250" t="inlineStr">
        <is>
          <t>SÄTER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46291</v>
      </c>
      <c r="F251" t="inlineStr">
        <is>
          <t>DALARNAS LÄN</t>
        </is>
      </c>
      <c r="G251" t="inlineStr">
        <is>
          <t>SÄTER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46291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46291</v>
      </c>
      <c r="F253" t="inlineStr">
        <is>
          <t>DALARNAS LÄN</t>
        </is>
      </c>
      <c r="G253" t="inlineStr">
        <is>
          <t>SÄTER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45870</v>
      </c>
      <c r="E254" s="1" t="n">
        <v>46291</v>
      </c>
      <c r="F254" t="inlineStr">
        <is>
          <t>DALARNAS LÄN</t>
        </is>
      </c>
      <c r="G254" t="inlineStr">
        <is>
          <t>SÄTER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46291</v>
      </c>
      <c r="F255" t="inlineStr">
        <is>
          <t>DALARNAS LÄN</t>
        </is>
      </c>
      <c r="G255" t="inlineStr">
        <is>
          <t>SÄTER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46291</v>
      </c>
      <c r="F256" t="inlineStr">
        <is>
          <t>DALARNAS LÄN</t>
        </is>
      </c>
      <c r="G256" t="inlineStr">
        <is>
          <t>SÄTER</t>
        </is>
      </c>
      <c r="H256" t="inlineStr">
        <is>
          <t>Övriga statliga verk och myndigheter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46291</v>
      </c>
      <c r="F257" t="inlineStr">
        <is>
          <t>DALARNAS LÄN</t>
        </is>
      </c>
      <c r="G257" t="inlineStr">
        <is>
          <t>SÄTER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46291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46291</v>
      </c>
      <c r="F259" t="inlineStr">
        <is>
          <t>DALARNAS LÄN</t>
        </is>
      </c>
      <c r="G259" t="inlineStr">
        <is>
          <t>SÄTER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46291</v>
      </c>
      <c r="F260" t="inlineStr">
        <is>
          <t>DALARNAS LÄN</t>
        </is>
      </c>
      <c r="G260" t="inlineStr">
        <is>
          <t>SÄTER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46291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46291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44630</v>
      </c>
      <c r="E263" s="1" t="n">
        <v>46291</v>
      </c>
      <c r="F263" t="inlineStr">
        <is>
          <t>DALARNAS LÄN</t>
        </is>
      </c>
      <c r="G263" t="inlineStr">
        <is>
          <t>SÄTER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46291</v>
      </c>
      <c r="F264" t="inlineStr">
        <is>
          <t>DALARNAS LÄN</t>
        </is>
      </c>
      <c r="G264" t="inlineStr">
        <is>
          <t>SÄTER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46291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46291</v>
      </c>
      <c r="F266" t="inlineStr">
        <is>
          <t>DALARNAS LÄN</t>
        </is>
      </c>
      <c r="G266" t="inlineStr">
        <is>
          <t>SÄTER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46291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46291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46291</v>
      </c>
      <c r="F269" t="inlineStr">
        <is>
          <t>DALARNAS LÄN</t>
        </is>
      </c>
      <c r="G269" t="inlineStr">
        <is>
          <t>SÄTER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46291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46291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46291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46291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44691</v>
      </c>
      <c r="E274" s="1" t="n">
        <v>46291</v>
      </c>
      <c r="F274" t="inlineStr">
        <is>
          <t>DALARNAS LÄN</t>
        </is>
      </c>
      <c r="G274" t="inlineStr">
        <is>
          <t>SÄTER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46291</v>
      </c>
      <c r="F275" t="inlineStr">
        <is>
          <t>DALARNAS LÄN</t>
        </is>
      </c>
      <c r="G275" t="inlineStr">
        <is>
          <t>SÄTER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46254</v>
      </c>
      <c r="E276" s="1" t="n">
        <v>46291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46211</v>
      </c>
      <c r="E277" s="1" t="n">
        <v>46291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46291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45232</v>
      </c>
      <c r="E279" s="1" t="n">
        <v>46291</v>
      </c>
      <c r="F279" t="inlineStr">
        <is>
          <t>DALARNAS LÄN</t>
        </is>
      </c>
      <c r="G279" t="inlineStr">
        <is>
          <t>SÄTER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46291</v>
      </c>
      <c r="F280" t="inlineStr">
        <is>
          <t>DALARNAS LÄN</t>
        </is>
      </c>
      <c r="G280" t="inlineStr">
        <is>
          <t>SÄTER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36847-2023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46291</v>
      </c>
      <c r="F281" t="inlineStr">
        <is>
          <t>DALARNAS LÄN</t>
        </is>
      </c>
      <c r="G281" t="inlineStr">
        <is>
          <t>SÄTER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46291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46291</v>
      </c>
      <c r="F283" t="inlineStr">
        <is>
          <t>DALARNAS LÄN</t>
        </is>
      </c>
      <c r="G283" t="inlineStr">
        <is>
          <t>SÄTER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46291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44690</v>
      </c>
      <c r="E285" s="1" t="n">
        <v>46291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35564-2026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46262</v>
      </c>
      <c r="E286" s="1" t="n">
        <v>46291</v>
      </c>
      <c r="F286" t="inlineStr">
        <is>
          <t>DALARNAS LÄN</t>
        </is>
      </c>
      <c r="G286" t="inlineStr">
        <is>
          <t>SÄTER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46261</v>
      </c>
      <c r="E287" s="1" t="n">
        <v>46291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44727</v>
      </c>
      <c r="E288" s="1" t="n">
        <v>46291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44711</v>
      </c>
      <c r="E289" s="1" t="n">
        <v>46291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46291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46291</v>
      </c>
      <c r="F291" t="inlineStr">
        <is>
          <t>DALARNAS LÄN</t>
        </is>
      </c>
      <c r="G291" t="inlineStr">
        <is>
          <t>SÄTER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44732</v>
      </c>
      <c r="E292" s="1" t="n">
        <v>46291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46291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46291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46291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46291</v>
      </c>
      <c r="F296" t="inlineStr">
        <is>
          <t>DALARNAS LÄN</t>
        </is>
      </c>
      <c r="G296" t="inlineStr">
        <is>
          <t>SÄTER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46291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46291</v>
      </c>
      <c r="F298" t="inlineStr">
        <is>
          <t>DALARNAS LÄN</t>
        </is>
      </c>
      <c r="G298" t="inlineStr">
        <is>
          <t>SÄTER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46275</v>
      </c>
      <c r="E299" s="1" t="n">
        <v>46291</v>
      </c>
      <c r="F299" t="inlineStr">
        <is>
          <t>DALARNAS LÄN</t>
        </is>
      </c>
      <c r="G299" t="inlineStr">
        <is>
          <t>SÄTER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46291</v>
      </c>
      <c r="F300" t="inlineStr">
        <is>
          <t>DALARNAS LÄN</t>
        </is>
      </c>
      <c r="G300" t="inlineStr">
        <is>
          <t>SÄTER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36969-2026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46273</v>
      </c>
      <c r="E301" s="1" t="n">
        <v>46291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46291</v>
      </c>
      <c r="F302" t="inlineStr">
        <is>
          <t>DALARNAS LÄN</t>
        </is>
      </c>
      <c r="G302" t="inlineStr">
        <is>
          <t>SÄTER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46291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46234</v>
      </c>
      <c r="E304" s="1" t="n">
        <v>46291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46291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46283</v>
      </c>
      <c r="E306" s="1" t="n">
        <v>46291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44809</v>
      </c>
      <c r="E307" s="1" t="n">
        <v>46291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44581</v>
      </c>
      <c r="E308" s="1" t="n">
        <v>46291</v>
      </c>
      <c r="F308" t="inlineStr">
        <is>
          <t>DALARNAS LÄN</t>
        </is>
      </c>
      <c r="G308" t="inlineStr">
        <is>
          <t>SÄTER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44739</v>
      </c>
      <c r="E309" s="1" t="n">
        <v>46291</v>
      </c>
      <c r="F309" t="inlineStr">
        <is>
          <t>DALARNAS LÄN</t>
        </is>
      </c>
      <c r="G309" t="inlineStr">
        <is>
          <t>SÄTER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46291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46291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46291</v>
      </c>
      <c r="F312" t="inlineStr">
        <is>
          <t>DALARNAS LÄN</t>
        </is>
      </c>
      <c r="G312" t="inlineStr">
        <is>
          <t>SÄTER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46291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46291</v>
      </c>
      <c r="F314" t="inlineStr">
        <is>
          <t>DALARNAS LÄN</t>
        </is>
      </c>
      <c r="G314" t="inlineStr">
        <is>
          <t>SÄTER</t>
        </is>
      </c>
      <c r="H314" t="inlineStr">
        <is>
          <t>Sveaskog</t>
        </is>
      </c>
      <c r="I314" t="n">
        <v>19.8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51328-2024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45604</v>
      </c>
      <c r="E315" s="1" t="n">
        <v>46291</v>
      </c>
      <c r="F315" t="inlineStr">
        <is>
          <t>DALARNAS LÄN</t>
        </is>
      </c>
      <c r="G315" t="inlineStr">
        <is>
          <t>SÄTER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46291</v>
      </c>
      <c r="F316" t="inlineStr">
        <is>
          <t>DALARNAS LÄN</t>
        </is>
      </c>
      <c r="G316" t="inlineStr">
        <is>
          <t>SÄTER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46291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46291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46291</v>
      </c>
      <c r="F319" t="inlineStr">
        <is>
          <t>DALARNAS LÄN</t>
        </is>
      </c>
      <c r="G319" t="inlineStr">
        <is>
          <t>SÄTER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46291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44643</v>
      </c>
      <c r="E321" s="1" t="n">
        <v>46291</v>
      </c>
      <c r="F321" t="inlineStr">
        <is>
          <t>DALARNAS LÄN</t>
        </is>
      </c>
      <c r="G321" t="inlineStr">
        <is>
          <t>SÄTER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46291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46291</v>
      </c>
      <c r="F323" t="inlineStr">
        <is>
          <t>DALARNAS LÄN</t>
        </is>
      </c>
      <c r="G323" t="inlineStr">
        <is>
          <t>SÄTER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46291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46291</v>
      </c>
      <c r="F325" t="inlineStr">
        <is>
          <t>DALARNAS LÄN</t>
        </is>
      </c>
      <c r="G325" t="inlineStr">
        <is>
          <t>SÄTER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45599</v>
      </c>
      <c r="E326" s="1" t="n">
        <v>46291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46291</v>
      </c>
      <c r="F327" t="inlineStr">
        <is>
          <t>DALARNAS LÄN</t>
        </is>
      </c>
      <c r="G327" t="inlineStr">
        <is>
          <t>SÄTER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46291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44982</v>
      </c>
      <c r="E329" s="1" t="n">
        <v>46291</v>
      </c>
      <c r="F329" t="inlineStr">
        <is>
          <t>DALARNAS LÄN</t>
        </is>
      </c>
      <c r="G329" t="inlineStr">
        <is>
          <t>SÄTER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45268</v>
      </c>
      <c r="E330" s="1" t="n">
        <v>46291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44817</v>
      </c>
      <c r="E331" s="1" t="n">
        <v>46291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46291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46291</v>
      </c>
      <c r="F333" t="inlineStr">
        <is>
          <t>DALARNAS LÄN</t>
        </is>
      </c>
      <c r="G333" t="inlineStr">
        <is>
          <t>SÄTER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46291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46291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46291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62533-2023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45268</v>
      </c>
      <c r="E337" s="1" t="n">
        <v>46291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45526</v>
      </c>
      <c r="E338" s="1" t="n">
        <v>46291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44811</v>
      </c>
      <c r="E339" s="1" t="n">
        <v>46291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44978</v>
      </c>
      <c r="E340" s="1" t="n">
        <v>46291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46291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46291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46291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51333-2024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45604</v>
      </c>
      <c r="E344" s="1" t="n">
        <v>46291</v>
      </c>
      <c r="F344" t="inlineStr">
        <is>
          <t>DALARNAS LÄN</t>
        </is>
      </c>
      <c r="G344" t="inlineStr">
        <is>
          <t>SÄTER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46291</v>
      </c>
      <c r="F345" t="inlineStr">
        <is>
          <t>DALARNAS LÄN</t>
        </is>
      </c>
      <c r="G345" t="inlineStr">
        <is>
          <t>SÄTER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45664</v>
      </c>
      <c r="E346" s="1" t="n">
        <v>46291</v>
      </c>
      <c r="F346" t="inlineStr">
        <is>
          <t>DALARNAS LÄN</t>
        </is>
      </c>
      <c r="G346" t="inlineStr">
        <is>
          <t>SÄTER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HYPERLINK("https://klasma.github.io/Logging_2082/knärot/A 498-2025 karta knärot.png", "A 498-2025")</f>
        <v/>
      </c>
      <c r="AA346">
        <f>HYPERLINK("https://klasma.github.io/Logging_2082/klagomål/A 498-2025 FSC-klagomål.docx", "A 498-2025")</f>
        <v/>
      </c>
      <c r="AB346">
        <f>HYPERLINK("https://klasma.github.io/Logging_2082/klagomålsmail/A 498-2025 FSC-klagomål mail.docx", "A 498-2025")</f>
        <v/>
      </c>
      <c r="AC346">
        <f>HYPERLINK("https://klasma.github.io/Logging_2082/tillsyn/A 498-2025 tillsynsbegäran.docx", "A 498-2025")</f>
        <v/>
      </c>
      <c r="AD346">
        <f>HYPERLINK("https://klasma.github.io/Logging_2082/tillsynsmail/A 498-2025 tillsynsbegäran mail.docx", "A 498-2025")</f>
        <v/>
      </c>
    </row>
    <row r="347" ht="15" customHeight="1">
      <c r="A347" t="inlineStr">
        <is>
          <t>A 61344-2023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46291</v>
      </c>
      <c r="F347" t="inlineStr">
        <is>
          <t>DALARNAS LÄN</t>
        </is>
      </c>
      <c r="G347" t="inlineStr">
        <is>
          <t>SÄTER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46291</v>
      </c>
      <c r="F348" t="inlineStr">
        <is>
          <t>DALARNAS LÄN</t>
        </is>
      </c>
      <c r="G348" t="inlineStr">
        <is>
          <t>SÄTER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46291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46291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46291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46291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46291</v>
      </c>
      <c r="F353" t="inlineStr">
        <is>
          <t>DALARNAS LÄN</t>
        </is>
      </c>
      <c r="G353" t="inlineStr">
        <is>
          <t>SÄTER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46291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45700</v>
      </c>
      <c r="E355" s="1" t="n">
        <v>46291</v>
      </c>
      <c r="F355" t="inlineStr">
        <is>
          <t>DALARNAS LÄN</t>
        </is>
      </c>
      <c r="G355" t="inlineStr">
        <is>
          <t>SÄTER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2585-2020</t>
        </is>
      </c>
      <c r="B356" t="inlineStr">
        <is>
          <t>samrådsanmälan</t>
        </is>
      </c>
      <c r="C356" t="n">
        <v/>
      </c>
      <c r="D356" s="1" t="n">
        <v>44155</v>
      </c>
      <c r="E356" s="1" t="n">
        <v>46291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1868-2020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44071</v>
      </c>
      <c r="E357" s="1" t="n">
        <v>46291</v>
      </c>
      <c r="F357" t="inlineStr">
        <is>
          <t>DALARNAS LÄN</t>
        </is>
      </c>
      <c r="G357" t="inlineStr">
        <is>
          <t>SÄTER</t>
        </is>
      </c>
      <c r="I357" t="n">
        <v>29.2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405-2022</t>
        </is>
      </c>
      <c r="B358" t="inlineStr">
        <is>
          <t>samrådsanmälan</t>
        </is>
      </c>
      <c r="C358" t="inlineStr">
        <is>
          <t>Skogsgödsling</t>
        </is>
      </c>
      <c r="D358" s="1" t="n">
        <v>44585</v>
      </c>
      <c r="E358" s="1" t="n">
        <v>46291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79.09999999999999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46291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1098-2024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45391</v>
      </c>
      <c r="E360" s="1" t="n">
        <v>46291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189.2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705-2025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45720</v>
      </c>
      <c r="E361" s="1" t="n">
        <v>46291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21.7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2964-2025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45952</v>
      </c>
      <c r="E362" s="1" t="n">
        <v>46291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46291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611-2026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46085</v>
      </c>
      <c r="E364" s="1" t="n">
        <v>46291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44.7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2026-09-26T02:01:15Z</dcterms:created>
  <dcterms:modified xmlns:dcterms="http://purl.org/dc/terms/" xmlns:xsi="http://www.w3.org/2001/XMLSchema-instance" xsi:type="dcterms:W3CDTF">2026-09-26T02:01:15Z</dcterms:modified>
</cp:coreProperties>
</file>