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46281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46281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46281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46281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46281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46281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46281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50079-2023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46281</v>
      </c>
      <c r="F20" t="inlineStr">
        <is>
          <t>DALARNAS LÄN</t>
        </is>
      </c>
      <c r="G20" t="inlineStr">
        <is>
          <t>SÄTER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8</v>
      </c>
      <c r="U20" t="n">
        <v>1</v>
      </c>
      <c r="V20" s="2" t="inlineStr">
        <is>
          <t>Tallticka
Blåsippa</t>
        </is>
      </c>
      <c r="W20">
        <f>HYPERLINK("https://klasma.github.io/Logging_2082/artfynd/A 50079-2023 artfynd.xlsx", "A 50079-2023")</f>
        <v/>
      </c>
      <c r="X20">
        <f>HYPERLINK("https://klasma.github.io/Logging_2082/kartor/A 50079-2023 karta.png", "A 50079-2023")</f>
        <v/>
      </c>
      <c r="Y20">
        <f>HYPERLINK("https://klasma.github.io/Logging_2082/kartor_geotiff/A 50079-2023 georefererad karta.tif", "A 50079-2023")</f>
        <v/>
      </c>
      <c r="AA20">
        <f>HYPERLINK("https://klasma.github.io/Logging_2082/klagomål/A 50079-2023 FSC-klagomål.docx", "A 50079-2023")</f>
        <v/>
      </c>
      <c r="AB20">
        <f>HYPERLINK("https://klasma.github.io/Logging_2082/klagomålsmail/A 50079-2023 FSC-klagomål mail.docx", "A 50079-2023")</f>
        <v/>
      </c>
      <c r="AC20">
        <f>HYPERLINK("https://klasma.github.io/Logging_2082/tillsyn/A 50079-2023 tillsynsbegäran.docx", "A 50079-2023")</f>
        <v/>
      </c>
      <c r="AD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46281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8.6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Jungfrulin
Klasefibbla</t>
        </is>
      </c>
      <c r="W21">
        <f>HYPERLINK("https://klasma.github.io/Logging_2082/artfynd/A 52205-2021 artfynd.xlsx", "A 52205-2021")</f>
        <v/>
      </c>
      <c r="X21">
        <f>HYPERLINK("https://klasma.github.io/Logging_2082/kartor/A 52205-2021 karta.png", "A 52205-2021")</f>
        <v/>
      </c>
      <c r="Y21">
        <f>HYPERLINK("https://klasma.github.io/Logging_2082/kartor_geotiff/A 52205-2021 georefererad karta.tif", "A 52205-2021")</f>
        <v/>
      </c>
      <c r="AA21">
        <f>HYPERLINK("https://klasma.github.io/Logging_2082/klagomål/A 52205-2021 FSC-klagomål.docx", "A 52205-2021")</f>
        <v/>
      </c>
      <c r="AB21">
        <f>HYPERLINK("https://klasma.github.io/Logging_2082/klagomålsmail/A 52205-2021 FSC-klagomål mail.docx", "A 52205-2021")</f>
        <v/>
      </c>
      <c r="AC21">
        <f>HYPERLINK("https://klasma.github.io/Logging_2082/tillsyn/A 52205-2021 tillsynsbegäran.docx", "A 52205-2021")</f>
        <v/>
      </c>
      <c r="AD21">
        <f>HYPERLINK("https://klasma.github.io/Logging_2082/tillsynsmail/A 52205-2021 tillsynsbegäran mail.docx", "A 52205-2021")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46281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46281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46281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46281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46281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46281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46281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46281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47661-2025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46281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13.8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Järnsparv</t>
        </is>
      </c>
      <c r="W30">
        <f>HYPERLINK("https://klasma.github.io/Logging_2082/artfynd/A 47661-2025 artfynd.xlsx", "A 47661-2025")</f>
        <v/>
      </c>
      <c r="X30">
        <f>HYPERLINK("https://klasma.github.io/Logging_2082/kartor/A 47661-2025 karta.png", "A 47661-2025")</f>
        <v/>
      </c>
      <c r="Y30">
        <f>HYPERLINK("https://klasma.github.io/Logging_2082/kartor_geotiff/A 47661-2025 georefererad karta.tif", "A 47661-2025")</f>
        <v/>
      </c>
      <c r="AA30">
        <f>HYPERLINK("https://klasma.github.io/Logging_2082/klagomål/A 47661-2025 FSC-klagomål.docx", "A 47661-2025")</f>
        <v/>
      </c>
      <c r="AB30">
        <f>HYPERLINK("https://klasma.github.io/Logging_2082/klagomålsmail/A 47661-2025 FSC-klagomål mail.docx", "A 47661-2025")</f>
        <v/>
      </c>
      <c r="AC30">
        <f>HYPERLINK("https://klasma.github.io/Logging_2082/tillsyn/A 47661-2025 tillsynsbegäran.docx", "A 47661-2025")</f>
        <v/>
      </c>
      <c r="AD30">
        <f>HYPERLINK("https://klasma.github.io/Logging_2082/tillsynsmail/A 47661-2025 tillsynsbegäran mail.docx", "A 47661-2025")</f>
        <v/>
      </c>
      <c r="AE30">
        <f>HYPERLINK("https://klasma.github.io/Logging_2082/fåglar/A 47661-2025 prioriterade fågelarter.docx", "A 47661-2025")</f>
        <v/>
      </c>
    </row>
    <row r="31" ht="15" customHeight="1">
      <c r="A31" t="inlineStr">
        <is>
          <t>A 27715-2023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45098</v>
      </c>
      <c r="E31" s="1" t="n">
        <v>46281</v>
      </c>
      <c r="F31" t="inlineStr">
        <is>
          <t>DALARNAS LÄN</t>
        </is>
      </c>
      <c r="G31" t="inlineStr">
        <is>
          <t>SÄTER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HYPERLINK("https://klasma.github.io/Logging_2082/artfynd/A 27715-2023 artfynd.xlsx", "A 27715-2023")</f>
        <v/>
      </c>
      <c r="X31">
        <f>HYPERLINK("https://klasma.github.io/Logging_2082/kartor/A 27715-2023 karta.png", "A 27715-2023")</f>
        <v/>
      </c>
      <c r="Y31">
        <f>HYPERLINK("https://klasma.github.io/Logging_2082/kartor_geotiff/A 27715-2023 georefererad karta.tif", "A 27715-2023")</f>
        <v/>
      </c>
      <c r="AA31">
        <f>HYPERLINK("https://klasma.github.io/Logging_2082/klagomål/A 27715-2023 FSC-klagomål.docx", "A 27715-2023")</f>
        <v/>
      </c>
      <c r="AB31">
        <f>HYPERLINK("https://klasma.github.io/Logging_2082/klagomålsmail/A 27715-2023 FSC-klagomål mail.docx", "A 27715-2023")</f>
        <v/>
      </c>
      <c r="AC31">
        <f>HYPERLINK("https://klasma.github.io/Logging_2082/tillsyn/A 27715-2023 tillsynsbegäran.docx", "A 27715-2023")</f>
        <v/>
      </c>
      <c r="AD31">
        <f>HYPERLINK("https://klasma.github.io/Logging_2082/tillsynsmail/A 27715-2023 tillsynsbegäran mail.docx", "A 27715-2023")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46281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36939-2025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46281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Slaguggla</t>
        </is>
      </c>
      <c r="W33">
        <f>HYPERLINK("https://klasma.github.io/Logging_2082/artfynd/A 36939-2025 artfynd.xlsx", "A 36939-2025")</f>
        <v/>
      </c>
      <c r="X33">
        <f>HYPERLINK("https://klasma.github.io/Logging_2082/kartor/A 36939-2025 karta.png", "A 36939-2025")</f>
        <v/>
      </c>
      <c r="Y33">
        <f>HYPERLINK("https://klasma.github.io/Logging_2082/kartor_geotiff/A 36939-2025 georefererad karta.tif", "A 36939-2025")</f>
        <v/>
      </c>
      <c r="AA33">
        <f>HYPERLINK("https://klasma.github.io/Logging_2082/klagomål/A 36939-2025 FSC-klagomål.docx", "A 36939-2025")</f>
        <v/>
      </c>
      <c r="AB33">
        <f>HYPERLINK("https://klasma.github.io/Logging_2082/klagomålsmail/A 36939-2025 FSC-klagomål mail.docx", "A 36939-2025")</f>
        <v/>
      </c>
      <c r="AC33">
        <f>HYPERLINK("https://klasma.github.io/Logging_2082/tillsyn/A 36939-2025 tillsynsbegäran.docx", "A 36939-2025")</f>
        <v/>
      </c>
      <c r="AD33">
        <f>HYPERLINK("https://klasma.github.io/Logging_2082/tillsynsmail/A 36939-2025 tillsynsbegäran mail.docx", "A 36939-2025")</f>
        <v/>
      </c>
      <c r="AE33">
        <f>HYPERLINK("https://klasma.github.io/Logging_2082/fåglar/A 36939-2025 prioriterade fågelarter.docx", "A 36939-2025")</f>
        <v/>
      </c>
    </row>
    <row r="34" ht="15" customHeight="1">
      <c r="A34" t="inlineStr">
        <is>
          <t>A 32383-2022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46281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32383-2022 artfynd.xlsx", "A 32383-2022")</f>
        <v/>
      </c>
      <c r="X34">
        <f>HYPERLINK("https://klasma.github.io/Logging_2082/kartor/A 32383-2022 karta.png", "A 32383-2022")</f>
        <v/>
      </c>
      <c r="Y34">
        <f>HYPERLINK("https://klasma.github.io/Logging_2082/kartor_geotiff/A 32383-2022 georefererad karta.tif", "A 32383-2022")</f>
        <v/>
      </c>
      <c r="Z34">
        <f>HYPERLINK("https://klasma.github.io/Logging_2082/knärot/A 32383-2022 karta knärot.png", "A 32383-2022")</f>
        <v/>
      </c>
      <c r="AA34">
        <f>HYPERLINK("https://klasma.github.io/Logging_2082/klagomål/A 32383-2022 FSC-klagomål.docx", "A 32383-2022")</f>
        <v/>
      </c>
      <c r="AB34">
        <f>HYPERLINK("https://klasma.github.io/Logging_2082/klagomålsmail/A 32383-2022 FSC-klagomål mail.docx", "A 32383-2022")</f>
        <v/>
      </c>
      <c r="AC34">
        <f>HYPERLINK("https://klasma.github.io/Logging_2082/tillsyn/A 32383-2022 tillsynsbegäran.docx", "A 32383-2022")</f>
        <v/>
      </c>
      <c r="AD34">
        <f>HYPERLINK("https://klasma.github.io/Logging_2082/tillsynsmail/A 32383-2022 tillsynsbegäran mail.docx", "A 32383-2022")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46281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46281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46281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68448-2021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44529</v>
      </c>
      <c r="E38" s="1" t="n">
        <v>46281</v>
      </c>
      <c r="F38" t="inlineStr">
        <is>
          <t>DALARNAS LÄN</t>
        </is>
      </c>
      <c r="G38" t="inlineStr">
        <is>
          <t>SÄTER</t>
        </is>
      </c>
      <c r="I38" t="n">
        <v>1.4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HYPERLINK("https://klasma.github.io/Logging_2082/artfynd/A 68448-2021 artfynd.xlsx", "A 68448-2021")</f>
        <v/>
      </c>
      <c r="X38">
        <f>HYPERLINK("https://klasma.github.io/Logging_2082/kartor/A 68448-2021 karta.png", "A 68448-2021")</f>
        <v/>
      </c>
      <c r="Y38">
        <f>HYPERLINK("https://klasma.github.io/Logging_2082/kartor_geotiff/A 68448-2021 georefererad karta.tif", "A 68448-2021")</f>
        <v/>
      </c>
      <c r="Z38">
        <f>HYPERLINK("https://klasma.github.io/Logging_2082/knärot/A 68448-2021 karta knärot.png", "A 68448-2021")</f>
        <v/>
      </c>
      <c r="AA38">
        <f>HYPERLINK("https://klasma.github.io/Logging_2082/klagomål/A 68448-2021 FSC-klagomål.docx", "A 68448-2021")</f>
        <v/>
      </c>
      <c r="AB38">
        <f>HYPERLINK("https://klasma.github.io/Logging_2082/klagomålsmail/A 68448-2021 FSC-klagomål mail.docx", "A 68448-2021")</f>
        <v/>
      </c>
      <c r="AC38">
        <f>HYPERLINK("https://klasma.github.io/Logging_2082/tillsyn/A 68448-2021 tillsynsbegäran.docx", "A 68448-2021")</f>
        <v/>
      </c>
      <c r="AD38">
        <f>HYPERLINK("https://klasma.github.io/Logging_2082/tillsynsmail/A 68448-2021 tillsynsbegäran mail.docx", "A 68448-2021")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46281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39406-2024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45551</v>
      </c>
      <c r="E40" s="1" t="n">
        <v>46281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Sotriska</t>
        </is>
      </c>
      <c r="W40">
        <f>HYPERLINK("https://klasma.github.io/Logging_2082/artfynd/A 39406-2024 artfynd.xlsx", "A 39406-2024")</f>
        <v/>
      </c>
      <c r="X40">
        <f>HYPERLINK("https://klasma.github.io/Logging_2082/kartor/A 39406-2024 karta.png", "A 39406-2024")</f>
        <v/>
      </c>
      <c r="Y40">
        <f>HYPERLINK("https://klasma.github.io/Logging_2082/kartor_geotiff/A 39406-2024 georefererad karta.tif", "A 39406-2024")</f>
        <v/>
      </c>
      <c r="AA40">
        <f>HYPERLINK("https://klasma.github.io/Logging_2082/klagomål/A 39406-2024 FSC-klagomål.docx", "A 39406-2024")</f>
        <v/>
      </c>
      <c r="AB40">
        <f>HYPERLINK("https://klasma.github.io/Logging_2082/klagomålsmail/A 39406-2024 FSC-klagomål mail.docx", "A 39406-2024")</f>
        <v/>
      </c>
      <c r="AC40">
        <f>HYPERLINK("https://klasma.github.io/Logging_2082/tillsyn/A 39406-2024 tillsynsbegäran.docx", "A 39406-2024")</f>
        <v/>
      </c>
      <c r="AD40">
        <f>HYPERLINK("https://klasma.github.io/Logging_2082/tillsynsmail/A 39406-2024 tillsynsbegäran mail.docx", "A 39406-2024")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46281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46281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34938-2025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46281</v>
      </c>
      <c r="F43" t="inlineStr">
        <is>
          <t>DALARNAS LÄN</t>
        </is>
      </c>
      <c r="G43" t="inlineStr">
        <is>
          <t>SÄTER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HYPERLINK("https://klasma.github.io/Logging_2082/artfynd/A 34938-2025 artfynd.xlsx", "A 34938-2025")</f>
        <v/>
      </c>
      <c r="X43">
        <f>HYPERLINK("https://klasma.github.io/Logging_2082/kartor/A 34938-2025 karta.png", "A 34938-2025")</f>
        <v/>
      </c>
      <c r="Y43">
        <f>HYPERLINK("https://klasma.github.io/Logging_2082/kartor_geotiff/A 34938-2025 georefererad karta.tif", "A 34938-2025")</f>
        <v/>
      </c>
      <c r="AA43">
        <f>HYPERLINK("https://klasma.github.io/Logging_2082/klagomål/A 34938-2025 FSC-klagomål.docx", "A 34938-2025")</f>
        <v/>
      </c>
      <c r="AB43">
        <f>HYPERLINK("https://klasma.github.io/Logging_2082/klagomålsmail/A 34938-2025 FSC-klagomål mail.docx", "A 34938-2025")</f>
        <v/>
      </c>
      <c r="AC43">
        <f>HYPERLINK("https://klasma.github.io/Logging_2082/tillsyn/A 34938-2025 tillsynsbegäran.docx", "A 34938-2025")</f>
        <v/>
      </c>
      <c r="AD43">
        <f>HYPERLINK("https://klasma.github.io/Logging_2082/tillsynsmail/A 34938-2025 tillsynsbegäran mail.docx", "A 34938-2025")</f>
        <v/>
      </c>
    </row>
    <row r="44" ht="15" customHeight="1">
      <c r="A44" t="inlineStr">
        <is>
          <t>A 35221-2025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45853</v>
      </c>
      <c r="E44" s="1" t="n">
        <v>46281</v>
      </c>
      <c r="F44" t="inlineStr">
        <is>
          <t>DALARNAS LÄN</t>
        </is>
      </c>
      <c r="G44" t="inlineStr">
        <is>
          <t>SÄTER</t>
        </is>
      </c>
      <c r="I44" t="n">
        <v>9.5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Vedskivlav</t>
        </is>
      </c>
      <c r="W44">
        <f>HYPERLINK("https://klasma.github.io/Logging_2082/artfynd/A 35221-2025 artfynd.xlsx", "A 35221-2025")</f>
        <v/>
      </c>
      <c r="X44">
        <f>HYPERLINK("https://klasma.github.io/Logging_2082/kartor/A 35221-2025 karta.png", "A 35221-2025")</f>
        <v/>
      </c>
      <c r="Y44">
        <f>HYPERLINK("https://klasma.github.io/Logging_2082/kartor_geotiff/A 35221-2025 georefererad karta.tif", "A 35221-2025")</f>
        <v/>
      </c>
      <c r="AA44">
        <f>HYPERLINK("https://klasma.github.io/Logging_2082/klagomål/A 35221-2025 FSC-klagomål.docx", "A 35221-2025")</f>
        <v/>
      </c>
      <c r="AB44">
        <f>HYPERLINK("https://klasma.github.io/Logging_2082/klagomålsmail/A 35221-2025 FSC-klagomål mail.docx", "A 35221-2025")</f>
        <v/>
      </c>
      <c r="AC44">
        <f>HYPERLINK("https://klasma.github.io/Logging_2082/tillsyn/A 35221-2025 tillsynsbegäran.docx", "A 35221-2025")</f>
        <v/>
      </c>
      <c r="AD44">
        <f>HYPERLINK("https://klasma.github.io/Logging_2082/tillsynsmail/A 35221-2025 tillsynsbegäran mail.docx", "A 35221-2025")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46281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46281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46281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46281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46281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46281</v>
      </c>
      <c r="F50" t="inlineStr">
        <is>
          <t>DALARNAS LÄN</t>
        </is>
      </c>
      <c r="G50" t="inlineStr">
        <is>
          <t>SÄTER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46281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46281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46281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46281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46281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46281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46281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46281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46281</v>
      </c>
      <c r="F59" t="inlineStr">
        <is>
          <t>DALARNAS LÄN</t>
        </is>
      </c>
      <c r="G59" t="inlineStr">
        <is>
          <t>SÄTER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46281</v>
      </c>
      <c r="F60" t="inlineStr">
        <is>
          <t>DALARNAS LÄN</t>
        </is>
      </c>
      <c r="G60" t="inlineStr">
        <is>
          <t>SÄTER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46281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46281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46281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46281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22905-2022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46281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46281</v>
      </c>
      <c r="F66" t="inlineStr">
        <is>
          <t>DALARNAS LÄN</t>
        </is>
      </c>
      <c r="G66" t="inlineStr">
        <is>
          <t>SÄTER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20337-2024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45435</v>
      </c>
      <c r="E67" s="1" t="n">
        <v>46281</v>
      </c>
      <c r="F67" t="inlineStr">
        <is>
          <t>DALARNAS LÄN</t>
        </is>
      </c>
      <c r="G67" t="inlineStr">
        <is>
          <t>SÄTER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46281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46281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24617-2022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46281</v>
      </c>
      <c r="F70" t="inlineStr">
        <is>
          <t>DALARNAS LÄN</t>
        </is>
      </c>
      <c r="G70" t="inlineStr">
        <is>
          <t>SÄTER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46281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46281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46281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61400-2021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44500</v>
      </c>
      <c r="E74" s="1" t="n">
        <v>46281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46281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46281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44502</v>
      </c>
      <c r="E77" s="1" t="n">
        <v>46281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46281</v>
      </c>
      <c r="F78" t="inlineStr">
        <is>
          <t>DALARNAS LÄN</t>
        </is>
      </c>
      <c r="G78" t="inlineStr">
        <is>
          <t>SÄTER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46281</v>
      </c>
      <c r="F79" t="inlineStr">
        <is>
          <t>DALARNAS LÄN</t>
        </is>
      </c>
      <c r="G79" t="inlineStr">
        <is>
          <t>SÄTER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46281</v>
      </c>
      <c r="F80" t="inlineStr">
        <is>
          <t>DALARNAS LÄN</t>
        </is>
      </c>
      <c r="G80" t="inlineStr">
        <is>
          <t>SÄTER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46281</v>
      </c>
      <c r="F81" t="inlineStr">
        <is>
          <t>DALARNAS LÄN</t>
        </is>
      </c>
      <c r="G81" t="inlineStr">
        <is>
          <t>SÄTER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45321</v>
      </c>
      <c r="E82" s="1" t="n">
        <v>46281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46281</v>
      </c>
      <c r="F83" t="inlineStr">
        <is>
          <t>DALARNAS LÄN</t>
        </is>
      </c>
      <c r="G83" t="inlineStr">
        <is>
          <t>SÄTER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46281</v>
      </c>
      <c r="F84" t="inlineStr">
        <is>
          <t>DALARNAS LÄN</t>
        </is>
      </c>
      <c r="G84" t="inlineStr">
        <is>
          <t>SÄTER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46281</v>
      </c>
      <c r="F85" t="inlineStr">
        <is>
          <t>DALARNAS LÄN</t>
        </is>
      </c>
      <c r="G85" t="inlineStr">
        <is>
          <t>SÄTER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46281</v>
      </c>
      <c r="F86" t="inlineStr">
        <is>
          <t>DALARNAS LÄN</t>
        </is>
      </c>
      <c r="G86" t="inlineStr">
        <is>
          <t>SÄTER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46281</v>
      </c>
      <c r="F87" t="inlineStr">
        <is>
          <t>DALARNAS LÄN</t>
        </is>
      </c>
      <c r="G87" t="inlineStr">
        <is>
          <t>SÄTER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46281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44455</v>
      </c>
      <c r="E89" s="1" t="n">
        <v>46281</v>
      </c>
      <c r="F89" t="inlineStr">
        <is>
          <t>DALARNAS LÄN</t>
        </is>
      </c>
      <c r="G89" t="inlineStr">
        <is>
          <t>SÄTER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44732</v>
      </c>
      <c r="E90" s="1" t="n">
        <v>46281</v>
      </c>
      <c r="F90" t="inlineStr">
        <is>
          <t>DALARNAS LÄN</t>
        </is>
      </c>
      <c r="G90" t="inlineStr">
        <is>
          <t>SÄTER</t>
        </is>
      </c>
      <c r="H90" t="inlineStr">
        <is>
          <t>Bergvik skog väst AB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46281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46281</v>
      </c>
      <c r="F92" t="inlineStr">
        <is>
          <t>DALARNAS LÄN</t>
        </is>
      </c>
      <c r="G92" t="inlineStr">
        <is>
          <t>SÄTER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46281</v>
      </c>
      <c r="F93" t="inlineStr">
        <is>
          <t>DALARNAS LÄN</t>
        </is>
      </c>
      <c r="G93" t="inlineStr">
        <is>
          <t>SÄTER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52193-2021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46281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45366</v>
      </c>
      <c r="E95" s="1" t="n">
        <v>46281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46281</v>
      </c>
      <c r="F96" t="inlineStr">
        <is>
          <t>DALARNAS LÄN</t>
        </is>
      </c>
      <c r="G96" t="inlineStr">
        <is>
          <t>SÄTER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46281</v>
      </c>
      <c r="F97" t="inlineStr">
        <is>
          <t>DALARNAS LÄN</t>
        </is>
      </c>
      <c r="G97" t="inlineStr">
        <is>
          <t>SÄTER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46281</v>
      </c>
      <c r="F98" t="inlineStr">
        <is>
          <t>DALARNAS LÄN</t>
        </is>
      </c>
      <c r="G98" t="inlineStr">
        <is>
          <t>SÄTER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46281</v>
      </c>
      <c r="F99" t="inlineStr">
        <is>
          <t>DALARNAS LÄN</t>
        </is>
      </c>
      <c r="G99" t="inlineStr">
        <is>
          <t>SÄTER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46281</v>
      </c>
      <c r="F100" t="inlineStr">
        <is>
          <t>DALARNAS LÄN</t>
        </is>
      </c>
      <c r="G100" t="inlineStr">
        <is>
          <t>SÄTER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46281</v>
      </c>
      <c r="F101" t="inlineStr">
        <is>
          <t>DALARNAS LÄN</t>
        </is>
      </c>
      <c r="G101" t="inlineStr">
        <is>
          <t>SÄTER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46281</v>
      </c>
      <c r="F102" t="inlineStr">
        <is>
          <t>DALARNAS LÄN</t>
        </is>
      </c>
      <c r="G102" t="inlineStr">
        <is>
          <t>SÄTER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46083</v>
      </c>
      <c r="E103" s="1" t="n">
        <v>46281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46077</v>
      </c>
      <c r="E104" s="1" t="n">
        <v>46281</v>
      </c>
      <c r="F104" t="inlineStr">
        <is>
          <t>DALARNAS LÄN</t>
        </is>
      </c>
      <c r="G104" t="inlineStr">
        <is>
          <t>SÄTER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46281</v>
      </c>
      <c r="F105" t="inlineStr">
        <is>
          <t>DALARNAS LÄN</t>
        </is>
      </c>
      <c r="G105" t="inlineStr">
        <is>
          <t>SÄTER</t>
        </is>
      </c>
      <c r="H105" t="inlineStr">
        <is>
          <t>Bergvik skog väst AB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64788-2023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46281</v>
      </c>
      <c r="F106" t="inlineStr">
        <is>
          <t>DALARNAS LÄN</t>
        </is>
      </c>
      <c r="G106" t="inlineStr">
        <is>
          <t>SÄTER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12322-2026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46281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46281</v>
      </c>
      <c r="F108" t="inlineStr">
        <is>
          <t>DALARNAS LÄN</t>
        </is>
      </c>
      <c r="G108" t="inlineStr">
        <is>
          <t>SÄTER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51323-2024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45604</v>
      </c>
      <c r="E109" s="1" t="n">
        <v>46281</v>
      </c>
      <c r="F109" t="inlineStr">
        <is>
          <t>DALARNAS LÄN</t>
        </is>
      </c>
      <c r="G109" t="inlineStr">
        <is>
          <t>SÄTER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11533-2026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46083</v>
      </c>
      <c r="E110" s="1" t="n">
        <v>46281</v>
      </c>
      <c r="F110" t="inlineStr">
        <is>
          <t>DALARNAS LÄN</t>
        </is>
      </c>
      <c r="G110" t="inlineStr">
        <is>
          <t>SÄTER</t>
        </is>
      </c>
      <c r="H110" t="inlineStr">
        <is>
          <t>Kommuner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46281</v>
      </c>
      <c r="F111" t="inlineStr">
        <is>
          <t>DALARNAS LÄN</t>
        </is>
      </c>
      <c r="G111" t="inlineStr">
        <is>
          <t>SÄTER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46281</v>
      </c>
      <c r="F112" t="inlineStr">
        <is>
          <t>DALARNAS LÄN</t>
        </is>
      </c>
      <c r="G112" t="inlineStr">
        <is>
          <t>SÄTER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46092</v>
      </c>
      <c r="E113" s="1" t="n">
        <v>46281</v>
      </c>
      <c r="F113" t="inlineStr">
        <is>
          <t>DALARNAS LÄN</t>
        </is>
      </c>
      <c r="G113" t="inlineStr">
        <is>
          <t>SÄTER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44866</v>
      </c>
      <c r="E114" s="1" t="n">
        <v>46281</v>
      </c>
      <c r="F114" t="inlineStr">
        <is>
          <t>DALARNAS LÄN</t>
        </is>
      </c>
      <c r="G114" t="inlineStr">
        <is>
          <t>SÄTER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46281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46281</v>
      </c>
      <c r="F116" t="inlineStr">
        <is>
          <t>DALARNAS LÄN</t>
        </is>
      </c>
      <c r="G116" t="inlineStr">
        <is>
          <t>SÄTER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46281</v>
      </c>
      <c r="F117" t="inlineStr">
        <is>
          <t>DALARNAS LÄN</t>
        </is>
      </c>
      <c r="G117" t="inlineStr">
        <is>
          <t>SÄTER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44609</v>
      </c>
      <c r="E118" s="1" t="n">
        <v>46281</v>
      </c>
      <c r="F118" t="inlineStr">
        <is>
          <t>DALARNAS LÄN</t>
        </is>
      </c>
      <c r="G118" t="inlineStr">
        <is>
          <t>SÄTER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46098</v>
      </c>
      <c r="E119" s="1" t="n">
        <v>46281</v>
      </c>
      <c r="F119" t="inlineStr">
        <is>
          <t>DALARNAS LÄN</t>
        </is>
      </c>
      <c r="G119" t="inlineStr">
        <is>
          <t>SÄTER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46281</v>
      </c>
      <c r="F120" t="inlineStr">
        <is>
          <t>DALARNAS LÄN</t>
        </is>
      </c>
      <c r="G120" t="inlineStr">
        <is>
          <t>SÄTER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44972</v>
      </c>
      <c r="E121" s="1" t="n">
        <v>46281</v>
      </c>
      <c r="F121" t="inlineStr">
        <is>
          <t>DALARNAS LÄN</t>
        </is>
      </c>
      <c r="G121" t="inlineStr">
        <is>
          <t>SÄTER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46281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46281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46281</v>
      </c>
      <c r="F124" t="inlineStr">
        <is>
          <t>DALARNAS LÄN</t>
        </is>
      </c>
      <c r="G124" t="inlineStr">
        <is>
          <t>SÄTER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46281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44585</v>
      </c>
      <c r="E126" s="1" t="n">
        <v>46281</v>
      </c>
      <c r="F126" t="inlineStr">
        <is>
          <t>DALARNAS LÄN</t>
        </is>
      </c>
      <c r="G126" t="inlineStr">
        <is>
          <t>SÄTER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45469</v>
      </c>
      <c r="E127" s="1" t="n">
        <v>46281</v>
      </c>
      <c r="F127" t="inlineStr">
        <is>
          <t>DALARNAS LÄN</t>
        </is>
      </c>
      <c r="G127" t="inlineStr">
        <is>
          <t>SÄTER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45520</v>
      </c>
      <c r="E128" s="1" t="n">
        <v>46281</v>
      </c>
      <c r="F128" t="inlineStr">
        <is>
          <t>DALARNAS LÄN</t>
        </is>
      </c>
      <c r="G128" t="inlineStr">
        <is>
          <t>SÄTER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46281</v>
      </c>
      <c r="F129" t="inlineStr">
        <is>
          <t>DALARNAS LÄN</t>
        </is>
      </c>
      <c r="G129" t="inlineStr">
        <is>
          <t>SÄTER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46281</v>
      </c>
      <c r="F130" t="inlineStr">
        <is>
          <t>DALARNAS LÄN</t>
        </is>
      </c>
      <c r="G130" t="inlineStr">
        <is>
          <t>SÄTER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46281</v>
      </c>
      <c r="F131" t="inlineStr">
        <is>
          <t>DALARNAS LÄN</t>
        </is>
      </c>
      <c r="G131" t="inlineStr">
        <is>
          <t>SÄTER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46281</v>
      </c>
      <c r="F132" t="inlineStr">
        <is>
          <t>DALARNAS LÄN</t>
        </is>
      </c>
      <c r="G132" t="inlineStr">
        <is>
          <t>SÄTER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45566</v>
      </c>
      <c r="E133" s="1" t="n">
        <v>46281</v>
      </c>
      <c r="F133" t="inlineStr">
        <is>
          <t>DALARNAS LÄN</t>
        </is>
      </c>
      <c r="G133" t="inlineStr">
        <is>
          <t>SÄTER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46281</v>
      </c>
      <c r="F134" t="inlineStr">
        <is>
          <t>DALARNAS LÄN</t>
        </is>
      </c>
      <c r="G134" t="inlineStr">
        <is>
          <t>SÄTER</t>
        </is>
      </c>
      <c r="I134" t="n">
        <v>15.2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46281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46281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46281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46281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46281</v>
      </c>
      <c r="F139" t="inlineStr">
        <is>
          <t>DALARNAS LÄN</t>
        </is>
      </c>
      <c r="G139" t="inlineStr">
        <is>
          <t>SÄTER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45569</v>
      </c>
      <c r="E140" s="1" t="n">
        <v>46281</v>
      </c>
      <c r="F140" t="inlineStr">
        <is>
          <t>DALARNAS LÄN</t>
        </is>
      </c>
      <c r="G140" t="inlineStr">
        <is>
          <t>SÄTER</t>
        </is>
      </c>
      <c r="I140" t="n">
        <v>13.2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46281</v>
      </c>
      <c r="F141" t="inlineStr">
        <is>
          <t>DALARNAS LÄN</t>
        </is>
      </c>
      <c r="G141" t="inlineStr">
        <is>
          <t>SÄTER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46281</v>
      </c>
      <c r="F142" t="inlineStr">
        <is>
          <t>DALARNAS LÄN</t>
        </is>
      </c>
      <c r="G142" t="inlineStr">
        <is>
          <t>SÄTER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46092</v>
      </c>
      <c r="E143" s="1" t="n">
        <v>46281</v>
      </c>
      <c r="F143" t="inlineStr">
        <is>
          <t>DALARNAS LÄN</t>
        </is>
      </c>
      <c r="G143" t="inlineStr">
        <is>
          <t>SÄTER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46281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46281</v>
      </c>
      <c r="F145" t="inlineStr">
        <is>
          <t>DALARNAS LÄN</t>
        </is>
      </c>
      <c r="G145" t="inlineStr">
        <is>
          <t>SÄTER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46281</v>
      </c>
      <c r="F146" t="inlineStr">
        <is>
          <t>DALARNAS LÄN</t>
        </is>
      </c>
      <c r="G146" t="inlineStr">
        <is>
          <t>SÄTER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46281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46281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46281</v>
      </c>
      <c r="F149" t="inlineStr">
        <is>
          <t>DALARNAS LÄN</t>
        </is>
      </c>
      <c r="G149" t="inlineStr">
        <is>
          <t>SÄTER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46281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46281</v>
      </c>
      <c r="F151" t="inlineStr">
        <is>
          <t>DALARNAS LÄN</t>
        </is>
      </c>
      <c r="G151" t="inlineStr">
        <is>
          <t>SÄTER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46281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46281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46281</v>
      </c>
      <c r="F154" t="inlineStr">
        <is>
          <t>DALARNAS LÄN</t>
        </is>
      </c>
      <c r="G154" t="inlineStr">
        <is>
          <t>SÄTER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45398</v>
      </c>
      <c r="E155" s="1" t="n">
        <v>46281</v>
      </c>
      <c r="F155" t="inlineStr">
        <is>
          <t>DALARNAS LÄN</t>
        </is>
      </c>
      <c r="G155" t="inlineStr">
        <is>
          <t>SÄTER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45576</v>
      </c>
      <c r="E156" s="1" t="n">
        <v>46281</v>
      </c>
      <c r="F156" t="inlineStr">
        <is>
          <t>DALARNAS LÄN</t>
        </is>
      </c>
      <c r="G156" t="inlineStr">
        <is>
          <t>SÄTER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46281</v>
      </c>
      <c r="F157" t="inlineStr">
        <is>
          <t>DALARNAS LÄN</t>
        </is>
      </c>
      <c r="G157" t="inlineStr">
        <is>
          <t>SÄTER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46281</v>
      </c>
      <c r="F158" t="inlineStr">
        <is>
          <t>DALARNAS LÄN</t>
        </is>
      </c>
      <c r="G158" t="inlineStr">
        <is>
          <t>SÄTER</t>
        </is>
      </c>
      <c r="H158" t="inlineStr">
        <is>
          <t>Kommuner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46281</v>
      </c>
      <c r="F159" t="inlineStr">
        <is>
          <t>DALARNAS LÄN</t>
        </is>
      </c>
      <c r="G159" t="inlineStr">
        <is>
          <t>SÄTER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42998-2023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45182</v>
      </c>
      <c r="E160" s="1" t="n">
        <v>46281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46073</v>
      </c>
      <c r="E161" s="1" t="n">
        <v>46281</v>
      </c>
      <c r="F161" t="inlineStr">
        <is>
          <t>DALARNAS LÄN</t>
        </is>
      </c>
      <c r="G161" t="inlineStr">
        <is>
          <t>SÄTER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51320-2024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45604</v>
      </c>
      <c r="E162" s="1" t="n">
        <v>46281</v>
      </c>
      <c r="F162" t="inlineStr">
        <is>
          <t>DALARNAS LÄN</t>
        </is>
      </c>
      <c r="G162" t="inlineStr">
        <is>
          <t>SÄTER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46281</v>
      </c>
      <c r="F163" t="inlineStr">
        <is>
          <t>DALARNAS LÄN</t>
        </is>
      </c>
      <c r="G163" t="inlineStr">
        <is>
          <t>SÄTER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46281</v>
      </c>
      <c r="F164" t="inlineStr">
        <is>
          <t>DALARNAS LÄN</t>
        </is>
      </c>
      <c r="G164" t="inlineStr">
        <is>
          <t>SÄTER</t>
        </is>
      </c>
      <c r="H164" t="inlineStr">
        <is>
          <t>Kommuner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45453</v>
      </c>
      <c r="E165" s="1" t="n">
        <v>46281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53559-2025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45960</v>
      </c>
      <c r="E166" s="1" t="n">
        <v>46281</v>
      </c>
      <c r="F166" t="inlineStr">
        <is>
          <t>DALARNAS LÄN</t>
        </is>
      </c>
      <c r="G166" t="inlineStr">
        <is>
          <t>SÄTER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46281</v>
      </c>
      <c r="F167" t="inlineStr">
        <is>
          <t>DALARNAS LÄN</t>
        </is>
      </c>
      <c r="G167" t="inlineStr">
        <is>
          <t>SÄTER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46281</v>
      </c>
      <c r="F168" t="inlineStr">
        <is>
          <t>DALARNAS LÄN</t>
        </is>
      </c>
      <c r="G168" t="inlineStr">
        <is>
          <t>SÄTER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46281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45561</v>
      </c>
      <c r="E170" s="1" t="n">
        <v>46281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46281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46281</v>
      </c>
      <c r="F172" t="inlineStr">
        <is>
          <t>DALARNAS LÄN</t>
        </is>
      </c>
      <c r="G172" t="inlineStr">
        <is>
          <t>SÄTER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46281</v>
      </c>
      <c r="F173" t="inlineStr">
        <is>
          <t>DALARNAS LÄN</t>
        </is>
      </c>
      <c r="G173" t="inlineStr">
        <is>
          <t>SÄTER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63654-2025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46014</v>
      </c>
      <c r="E174" s="1" t="n">
        <v>46281</v>
      </c>
      <c r="F174" t="inlineStr">
        <is>
          <t>DALARNAS LÄN</t>
        </is>
      </c>
      <c r="G174" t="inlineStr">
        <is>
          <t>SÄTER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45006</v>
      </c>
      <c r="E175" s="1" t="n">
        <v>46281</v>
      </c>
      <c r="F175" t="inlineStr">
        <is>
          <t>DALARNAS LÄN</t>
        </is>
      </c>
      <c r="G175" t="inlineStr">
        <is>
          <t>SÄTER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46281</v>
      </c>
      <c r="F176" t="inlineStr">
        <is>
          <t>DALARNAS LÄN</t>
        </is>
      </c>
      <c r="G176" t="inlineStr">
        <is>
          <t>SÄTER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46281</v>
      </c>
      <c r="F177" t="inlineStr">
        <is>
          <t>DALARNAS LÄN</t>
        </is>
      </c>
      <c r="G177" t="inlineStr">
        <is>
          <t>SÄTER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46281</v>
      </c>
      <c r="F178" t="inlineStr">
        <is>
          <t>DALARNAS LÄN</t>
        </is>
      </c>
      <c r="G178" t="inlineStr">
        <is>
          <t>SÄTER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46281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46281</v>
      </c>
      <c r="F180" t="inlineStr">
        <is>
          <t>DALARNAS LÄN</t>
        </is>
      </c>
      <c r="G180" t="inlineStr">
        <is>
          <t>SÄTER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46281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46281</v>
      </c>
      <c r="F182" t="inlineStr">
        <is>
          <t>DALARNAS LÄN</t>
        </is>
      </c>
      <c r="G182" t="inlineStr">
        <is>
          <t>SÄTER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46281</v>
      </c>
      <c r="F183" t="inlineStr">
        <is>
          <t>DALARNAS LÄN</t>
        </is>
      </c>
      <c r="G183" t="inlineStr">
        <is>
          <t>SÄTER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46281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45567</v>
      </c>
      <c r="E185" s="1" t="n">
        <v>46281</v>
      </c>
      <c r="F185" t="inlineStr">
        <is>
          <t>DALARNAS LÄN</t>
        </is>
      </c>
      <c r="G185" t="inlineStr">
        <is>
          <t>SÄTER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46281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46281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46281</v>
      </c>
      <c r="F188" t="inlineStr">
        <is>
          <t>DALARNAS LÄN</t>
        </is>
      </c>
      <c r="G188" t="inlineStr">
        <is>
          <t>SÄTER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46140</v>
      </c>
      <c r="E189" s="1" t="n">
        <v>46281</v>
      </c>
      <c r="F189" t="inlineStr">
        <is>
          <t>DALARNAS LÄN</t>
        </is>
      </c>
      <c r="G189" t="inlineStr">
        <is>
          <t>SÄTER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46281</v>
      </c>
      <c r="F190" t="inlineStr">
        <is>
          <t>DALARNAS LÄN</t>
        </is>
      </c>
      <c r="G190" t="inlineStr">
        <is>
          <t>SÄTER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8991-2026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46281</v>
      </c>
      <c r="F191" t="inlineStr">
        <is>
          <t>DALARNAS LÄN</t>
        </is>
      </c>
      <c r="G191" t="inlineStr">
        <is>
          <t>SÄTER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44960</v>
      </c>
      <c r="E192" s="1" t="n">
        <v>46281</v>
      </c>
      <c r="F192" t="inlineStr">
        <is>
          <t>DALARNAS LÄN</t>
        </is>
      </c>
      <c r="G192" t="inlineStr">
        <is>
          <t>SÄTER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46281</v>
      </c>
      <c r="F193" t="inlineStr">
        <is>
          <t>DALARNAS LÄN</t>
        </is>
      </c>
      <c r="G193" t="inlineStr">
        <is>
          <t>SÄTER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44953</v>
      </c>
      <c r="E194" s="1" t="n">
        <v>46281</v>
      </c>
      <c r="F194" t="inlineStr">
        <is>
          <t>DALARNAS LÄN</t>
        </is>
      </c>
      <c r="G194" t="inlineStr">
        <is>
          <t>SÄTER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46281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46281</v>
      </c>
      <c r="F196" t="inlineStr">
        <is>
          <t>DALARNAS LÄN</t>
        </is>
      </c>
      <c r="G196" t="inlineStr">
        <is>
          <t>SÄTER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46281</v>
      </c>
      <c r="F197" t="inlineStr">
        <is>
          <t>DALARNAS LÄN</t>
        </is>
      </c>
      <c r="G197" t="inlineStr">
        <is>
          <t>SÄTER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46281</v>
      </c>
      <c r="F198" t="inlineStr">
        <is>
          <t>DALARNAS LÄN</t>
        </is>
      </c>
      <c r="G198" t="inlineStr">
        <is>
          <t>SÄTER</t>
        </is>
      </c>
      <c r="H198" t="inlineStr">
        <is>
          <t>Kommuner</t>
        </is>
      </c>
      <c r="I198" t="n">
        <v>42.6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46281</v>
      </c>
      <c r="F199" t="inlineStr">
        <is>
          <t>DALARNAS LÄN</t>
        </is>
      </c>
      <c r="G199" t="inlineStr">
        <is>
          <t>SÄTER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46098</v>
      </c>
      <c r="E200" s="1" t="n">
        <v>46281</v>
      </c>
      <c r="F200" t="inlineStr">
        <is>
          <t>DALARNAS LÄN</t>
        </is>
      </c>
      <c r="G200" t="inlineStr">
        <is>
          <t>SÄTER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46281</v>
      </c>
      <c r="F201" t="inlineStr">
        <is>
          <t>DALARNAS LÄN</t>
        </is>
      </c>
      <c r="G201" t="inlineStr">
        <is>
          <t>SÄTER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46281</v>
      </c>
      <c r="F202" t="inlineStr">
        <is>
          <t>DALARNAS LÄN</t>
        </is>
      </c>
      <c r="G202" t="inlineStr">
        <is>
          <t>SÄTER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28549-2022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44748</v>
      </c>
      <c r="E203" s="1" t="n">
        <v>46281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46281</v>
      </c>
      <c r="F204" t="inlineStr">
        <is>
          <t>DALARNAS LÄN</t>
        </is>
      </c>
      <c r="G204" t="inlineStr">
        <is>
          <t>SÄTER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45005</v>
      </c>
      <c r="E205" s="1" t="n">
        <v>46281</v>
      </c>
      <c r="F205" t="inlineStr">
        <is>
          <t>DALARNAS LÄN</t>
        </is>
      </c>
      <c r="G205" t="inlineStr">
        <is>
          <t>SÄTER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45993</v>
      </c>
      <c r="E206" s="1" t="n">
        <v>46281</v>
      </c>
      <c r="F206" t="inlineStr">
        <is>
          <t>DALARNAS LÄN</t>
        </is>
      </c>
      <c r="G206" t="inlineStr">
        <is>
          <t>SÄTER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46281</v>
      </c>
      <c r="F207" t="inlineStr">
        <is>
          <t>DALARNAS LÄN</t>
        </is>
      </c>
      <c r="G207" t="inlineStr">
        <is>
          <t>SÄTER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51328-2024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45604</v>
      </c>
      <c r="E208" s="1" t="n">
        <v>46281</v>
      </c>
      <c r="F208" t="inlineStr">
        <is>
          <t>DALARNAS LÄN</t>
        </is>
      </c>
      <c r="G208" t="inlineStr">
        <is>
          <t>SÄTER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51339-2024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45604</v>
      </c>
      <c r="E209" s="1" t="n">
        <v>46281</v>
      </c>
      <c r="F209" t="inlineStr">
        <is>
          <t>DALARNAS LÄN</t>
        </is>
      </c>
      <c r="G209" t="inlineStr">
        <is>
          <t>SÄTER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46281</v>
      </c>
      <c r="F210" t="inlineStr">
        <is>
          <t>DALARNAS LÄN</t>
        </is>
      </c>
      <c r="G210" t="inlineStr">
        <is>
          <t>SÄTER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46281</v>
      </c>
      <c r="F211" t="inlineStr">
        <is>
          <t>DALARNAS LÄN</t>
        </is>
      </c>
      <c r="G211" t="inlineStr">
        <is>
          <t>SÄTER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  <c r="Z211">
        <f>HYPERLINK("https://klasma.github.io/Logging_2082/knärot/A 57416-2022 karta knärot.png", "A 57416-2022")</f>
        <v/>
      </c>
      <c r="AA211">
        <f>HYPERLINK("https://klasma.github.io/Logging_2082/klagomål/A 57416-2022 FSC-klagomål.docx", "A 57416-2022")</f>
        <v/>
      </c>
      <c r="AB211">
        <f>HYPERLINK("https://klasma.github.io/Logging_2082/klagomålsmail/A 57416-2022 FSC-klagomål mail.docx", "A 57416-2022")</f>
        <v/>
      </c>
      <c r="AC211">
        <f>HYPERLINK("https://klasma.github.io/Logging_2082/tillsyn/A 57416-2022 tillsynsbegäran.docx", "A 57416-2022")</f>
        <v/>
      </c>
      <c r="AD211">
        <f>HYPERLINK("https://klasma.github.io/Logging_2082/tillsynsmail/A 57416-2022 tillsynsbegäran mail.docx", "A 57416-2022")</f>
        <v/>
      </c>
    </row>
    <row r="212" ht="15" customHeight="1">
      <c r="A212" t="inlineStr">
        <is>
          <t>A 4050-2026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46281</v>
      </c>
      <c r="F212" t="inlineStr">
        <is>
          <t>DALARNAS LÄN</t>
        </is>
      </c>
      <c r="G212" t="inlineStr">
        <is>
          <t>SÄTER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46281</v>
      </c>
      <c r="F213" t="inlineStr">
        <is>
          <t>DALARNAS LÄN</t>
        </is>
      </c>
      <c r="G213" t="inlineStr">
        <is>
          <t>SÄTER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46281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46153</v>
      </c>
      <c r="E215" s="1" t="n">
        <v>46281</v>
      </c>
      <c r="F215" t="inlineStr">
        <is>
          <t>DALARNAS LÄN</t>
        </is>
      </c>
      <c r="G215" t="inlineStr">
        <is>
          <t>SÄTER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46153</v>
      </c>
      <c r="E216" s="1" t="n">
        <v>46281</v>
      </c>
      <c r="F216" t="inlineStr">
        <is>
          <t>DALARNAS LÄN</t>
        </is>
      </c>
      <c r="G216" t="inlineStr">
        <is>
          <t>SÄTER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46281</v>
      </c>
      <c r="F217" t="inlineStr">
        <is>
          <t>DALARNAS LÄN</t>
        </is>
      </c>
      <c r="G217" t="inlineStr">
        <is>
          <t>SÄTER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44788</v>
      </c>
      <c r="E218" s="1" t="n">
        <v>46281</v>
      </c>
      <c r="F218" t="inlineStr">
        <is>
          <t>DALARNAS LÄN</t>
        </is>
      </c>
      <c r="G218" t="inlineStr">
        <is>
          <t>SÄTER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46281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46281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46281</v>
      </c>
      <c r="F221" t="inlineStr">
        <is>
          <t>DALARNAS LÄN</t>
        </is>
      </c>
      <c r="G221" t="inlineStr">
        <is>
          <t>SÄTER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46281</v>
      </c>
      <c r="F222" t="inlineStr">
        <is>
          <t>DALARNAS LÄN</t>
        </is>
      </c>
      <c r="G222" t="inlineStr">
        <is>
          <t>SÄTER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45604</v>
      </c>
      <c r="E223" s="1" t="n">
        <v>46281</v>
      </c>
      <c r="F223" t="inlineStr">
        <is>
          <t>DALARNAS LÄN</t>
        </is>
      </c>
      <c r="G223" t="inlineStr">
        <is>
          <t>SÄTER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45939</v>
      </c>
      <c r="E224" s="1" t="n">
        <v>46281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46087</v>
      </c>
      <c r="E225" s="1" t="n">
        <v>46281</v>
      </c>
      <c r="F225" t="inlineStr">
        <is>
          <t>DALARNAS LÄN</t>
        </is>
      </c>
      <c r="G225" t="inlineStr">
        <is>
          <t>SÄTER</t>
        </is>
      </c>
      <c r="H225" t="inlineStr">
        <is>
          <t>Kommuner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46281</v>
      </c>
      <c r="F226" t="inlineStr">
        <is>
          <t>DALARNAS LÄN</t>
        </is>
      </c>
      <c r="G226" t="inlineStr">
        <is>
          <t>SÄTER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46026</v>
      </c>
      <c r="E227" s="1" t="n">
        <v>46281</v>
      </c>
      <c r="F227" t="inlineStr">
        <is>
          <t>DALARNAS LÄN</t>
        </is>
      </c>
      <c r="G227" t="inlineStr">
        <is>
          <t>SÄTER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46030</v>
      </c>
      <c r="E228" s="1" t="n">
        <v>46281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46164</v>
      </c>
      <c r="E229" s="1" t="n">
        <v>46281</v>
      </c>
      <c r="F229" t="inlineStr">
        <is>
          <t>DALARNAS LÄN</t>
        </is>
      </c>
      <c r="G229" t="inlineStr">
        <is>
          <t>SÄTER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46281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69744-2021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44532</v>
      </c>
      <c r="E231" s="1" t="n">
        <v>46281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46281</v>
      </c>
      <c r="F232" t="inlineStr">
        <is>
          <t>DALARNAS LÄN</t>
        </is>
      </c>
      <c r="G232" t="inlineStr">
        <is>
          <t>SÄTER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46281</v>
      </c>
      <c r="F233" t="inlineStr">
        <is>
          <t>DALARNAS LÄN</t>
        </is>
      </c>
      <c r="G233" t="inlineStr">
        <is>
          <t>SÄTER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46281</v>
      </c>
      <c r="F234" t="inlineStr">
        <is>
          <t>DALARNAS LÄN</t>
        </is>
      </c>
      <c r="G234" t="inlineStr">
        <is>
          <t>SÄTER</t>
        </is>
      </c>
      <c r="H234" t="inlineStr">
        <is>
          <t>Kommuner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46281</v>
      </c>
      <c r="F235" t="inlineStr">
        <is>
          <t>DALARNAS LÄN</t>
        </is>
      </c>
      <c r="G235" t="inlineStr">
        <is>
          <t>SÄTER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23735-2026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46281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46281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46281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46281</v>
      </c>
      <c r="F239" t="inlineStr">
        <is>
          <t>DALARNAS LÄN</t>
        </is>
      </c>
      <c r="G239" t="inlineStr">
        <is>
          <t>SÄTER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46281</v>
      </c>
      <c r="F240" t="inlineStr">
        <is>
          <t>DALARNAS LÄN</t>
        </is>
      </c>
      <c r="G240" t="inlineStr">
        <is>
          <t>SÄTER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46281</v>
      </c>
      <c r="F241" t="inlineStr">
        <is>
          <t>DALARNAS LÄN</t>
        </is>
      </c>
      <c r="G241" t="inlineStr">
        <is>
          <t>SÄTER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46281</v>
      </c>
      <c r="F242" t="inlineStr">
        <is>
          <t>DALARNAS LÄN</t>
        </is>
      </c>
      <c r="G242" t="inlineStr">
        <is>
          <t>SÄTER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46281</v>
      </c>
      <c r="F243" t="inlineStr">
        <is>
          <t>DALARNAS LÄN</t>
        </is>
      </c>
      <c r="G243" t="inlineStr">
        <is>
          <t>SÄTER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46281</v>
      </c>
      <c r="F244" t="inlineStr">
        <is>
          <t>DALARNAS LÄN</t>
        </is>
      </c>
      <c r="G244" t="inlineStr">
        <is>
          <t>SÄTER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46281</v>
      </c>
      <c r="F245" t="inlineStr">
        <is>
          <t>DALARNAS LÄN</t>
        </is>
      </c>
      <c r="G245" t="inlineStr">
        <is>
          <t>SÄTER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46281</v>
      </c>
      <c r="F246" t="inlineStr">
        <is>
          <t>DALARNAS LÄN</t>
        </is>
      </c>
      <c r="G246" t="inlineStr">
        <is>
          <t>SÄTER</t>
        </is>
      </c>
      <c r="I246" t="n">
        <v>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46281</v>
      </c>
      <c r="F247" t="inlineStr">
        <is>
          <t>DALARNAS LÄN</t>
        </is>
      </c>
      <c r="G247" t="inlineStr">
        <is>
          <t>SÄTER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46281</v>
      </c>
      <c r="F248" t="inlineStr">
        <is>
          <t>DALARNAS LÄN</t>
        </is>
      </c>
      <c r="G248" t="inlineStr">
        <is>
          <t>SÄTER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44643</v>
      </c>
      <c r="E249" s="1" t="n">
        <v>46281</v>
      </c>
      <c r="F249" t="inlineStr">
        <is>
          <t>DALARNAS LÄN</t>
        </is>
      </c>
      <c r="G249" t="inlineStr">
        <is>
          <t>SÄTER</t>
        </is>
      </c>
      <c r="I249" t="n">
        <v>8.1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46281</v>
      </c>
      <c r="F250" t="inlineStr">
        <is>
          <t>DALARNAS LÄN</t>
        </is>
      </c>
      <c r="G250" t="inlineStr">
        <is>
          <t>SÄTER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46281</v>
      </c>
      <c r="F251" t="inlineStr">
        <is>
          <t>DALARNAS LÄN</t>
        </is>
      </c>
      <c r="G251" t="inlineStr">
        <is>
          <t>SÄTER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46281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46281</v>
      </c>
      <c r="F253" t="inlineStr">
        <is>
          <t>DALARNAS LÄN</t>
        </is>
      </c>
      <c r="G253" t="inlineStr">
        <is>
          <t>SÄTER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45342</v>
      </c>
      <c r="E254" s="1" t="n">
        <v>46281</v>
      </c>
      <c r="F254" t="inlineStr">
        <is>
          <t>DALARNAS LÄN</t>
        </is>
      </c>
      <c r="G254" t="inlineStr">
        <is>
          <t>SÄTER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41961-2024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45561</v>
      </c>
      <c r="E255" s="1" t="n">
        <v>46281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46281</v>
      </c>
      <c r="F256" t="inlineStr">
        <is>
          <t>DALARNAS LÄN</t>
        </is>
      </c>
      <c r="G256" t="inlineStr">
        <is>
          <t>SÄTER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46281</v>
      </c>
      <c r="F257" t="inlineStr">
        <is>
          <t>DALARNAS LÄN</t>
        </is>
      </c>
      <c r="G257" t="inlineStr">
        <is>
          <t>SÄTER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46281</v>
      </c>
      <c r="F258" t="inlineStr">
        <is>
          <t>DALARNAS LÄN</t>
        </is>
      </c>
      <c r="G258" t="inlineStr">
        <is>
          <t>SÄTER</t>
        </is>
      </c>
      <c r="H258" t="inlineStr">
        <is>
          <t>Övriga statliga verk och myndigheter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46281</v>
      </c>
      <c r="F259" t="inlineStr">
        <is>
          <t>DALARNAS LÄN</t>
        </is>
      </c>
      <c r="G259" t="inlineStr">
        <is>
          <t>SÄTER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46281</v>
      </c>
      <c r="F260" t="inlineStr">
        <is>
          <t>DALARNAS LÄN</t>
        </is>
      </c>
      <c r="G260" t="inlineStr">
        <is>
          <t>SÄTER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44924</v>
      </c>
      <c r="E261" s="1" t="n">
        <v>46281</v>
      </c>
      <c r="F261" t="inlineStr">
        <is>
          <t>DALARNAS LÄN</t>
        </is>
      </c>
      <c r="G261" t="inlineStr">
        <is>
          <t>SÄTER</t>
        </is>
      </c>
      <c r="H261" t="inlineStr">
        <is>
          <t>Kommuner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45527</v>
      </c>
      <c r="E262" s="1" t="n">
        <v>46281</v>
      </c>
      <c r="F262" t="inlineStr">
        <is>
          <t>DALARNAS LÄN</t>
        </is>
      </c>
      <c r="G262" t="inlineStr">
        <is>
          <t>SÄTER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45330</v>
      </c>
      <c r="E263" s="1" t="n">
        <v>46281</v>
      </c>
      <c r="F263" t="inlineStr">
        <is>
          <t>DALARNAS LÄN</t>
        </is>
      </c>
      <c r="G263" t="inlineStr">
        <is>
          <t>SÄTER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46064</v>
      </c>
      <c r="E264" s="1" t="n">
        <v>46281</v>
      </c>
      <c r="F264" t="inlineStr">
        <is>
          <t>DALARNAS LÄN</t>
        </is>
      </c>
      <c r="G264" t="inlineStr">
        <is>
          <t>SÄTER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46065</v>
      </c>
      <c r="E265" s="1" t="n">
        <v>46281</v>
      </c>
      <c r="F265" t="inlineStr">
        <is>
          <t>DALARNAS LÄN</t>
        </is>
      </c>
      <c r="G265" t="inlineStr">
        <is>
          <t>SÄTER</t>
        </is>
      </c>
      <c r="I265" t="n">
        <v>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45140</v>
      </c>
      <c r="E266" s="1" t="n">
        <v>46281</v>
      </c>
      <c r="F266" t="inlineStr">
        <is>
          <t>DALARNAS LÄN</t>
        </is>
      </c>
      <c r="G266" t="inlineStr">
        <is>
          <t>SÄTER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46281</v>
      </c>
      <c r="F267" t="inlineStr">
        <is>
          <t>DALARNAS LÄN</t>
        </is>
      </c>
      <c r="G267" t="inlineStr">
        <is>
          <t>SÄTER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52220-2021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44462</v>
      </c>
      <c r="E268" s="1" t="n">
        <v>46281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46281</v>
      </c>
      <c r="F269" t="inlineStr">
        <is>
          <t>DALARNAS LÄN</t>
        </is>
      </c>
      <c r="G269" t="inlineStr">
        <is>
          <t>SÄTER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10146-2026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46281</v>
      </c>
      <c r="F270" t="inlineStr">
        <is>
          <t>DALARNAS LÄN</t>
        </is>
      </c>
      <c r="G270" t="inlineStr">
        <is>
          <t>SÄTER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46281</v>
      </c>
      <c r="F271" t="inlineStr">
        <is>
          <t>DALARNAS LÄN</t>
        </is>
      </c>
      <c r="G271" t="inlineStr">
        <is>
          <t>SÄTER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46281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46281</v>
      </c>
      <c r="F273" t="inlineStr">
        <is>
          <t>DALARNAS LÄN</t>
        </is>
      </c>
      <c r="G273" t="inlineStr">
        <is>
          <t>SÄTER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46281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46281</v>
      </c>
      <c r="F275" t="inlineStr">
        <is>
          <t>DALARNAS LÄN</t>
        </is>
      </c>
      <c r="G275" t="inlineStr">
        <is>
          <t>SÄTER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45216</v>
      </c>
      <c r="E276" s="1" t="n">
        <v>46281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46281</v>
      </c>
      <c r="F277" t="inlineStr">
        <is>
          <t>DALARNAS LÄN</t>
        </is>
      </c>
      <c r="G277" t="inlineStr">
        <is>
          <t>SÄTER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46281</v>
      </c>
      <c r="F278" t="inlineStr">
        <is>
          <t>DALARNAS LÄN</t>
        </is>
      </c>
      <c r="G278" t="inlineStr">
        <is>
          <t>SÄTER</t>
        </is>
      </c>
      <c r="H278" t="inlineStr">
        <is>
          <t>Sveaskog</t>
        </is>
      </c>
      <c r="I278" t="n">
        <v>19.8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45527</v>
      </c>
      <c r="E279" s="1" t="n">
        <v>46281</v>
      </c>
      <c r="F279" t="inlineStr">
        <is>
          <t>DALARNAS LÄN</t>
        </is>
      </c>
      <c r="G279" t="inlineStr">
        <is>
          <t>SÄTER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45527</v>
      </c>
      <c r="E280" s="1" t="n">
        <v>46281</v>
      </c>
      <c r="F280" t="inlineStr">
        <is>
          <t>DALARNAS LÄN</t>
        </is>
      </c>
      <c r="G280" t="inlineStr">
        <is>
          <t>SÄTER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45665</v>
      </c>
      <c r="E281" s="1" t="n">
        <v>46281</v>
      </c>
      <c r="F281" t="inlineStr">
        <is>
          <t>DALARNAS LÄN</t>
        </is>
      </c>
      <c r="G281" t="inlineStr">
        <is>
          <t>SÄTER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45484</v>
      </c>
      <c r="E282" s="1" t="n">
        <v>46281</v>
      </c>
      <c r="F282" t="inlineStr">
        <is>
          <t>DALARNAS LÄN</t>
        </is>
      </c>
      <c r="G282" t="inlineStr">
        <is>
          <t>SÄTER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46204</v>
      </c>
      <c r="E283" s="1" t="n">
        <v>46281</v>
      </c>
      <c r="F283" t="inlineStr">
        <is>
          <t>DALARNAS LÄN</t>
        </is>
      </c>
      <c r="G283" t="inlineStr">
        <is>
          <t>SÄTER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46281</v>
      </c>
      <c r="F284" t="inlineStr">
        <is>
          <t>DALARNAS LÄN</t>
        </is>
      </c>
      <c r="G284" t="inlineStr">
        <is>
          <t>SÄTER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45599</v>
      </c>
      <c r="E285" s="1" t="n">
        <v>46281</v>
      </c>
      <c r="F285" t="inlineStr">
        <is>
          <t>DALARNAS LÄN</t>
        </is>
      </c>
      <c r="G285" t="inlineStr">
        <is>
          <t>SÄTER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44630</v>
      </c>
      <c r="E286" s="1" t="n">
        <v>46281</v>
      </c>
      <c r="F286" t="inlineStr">
        <is>
          <t>DALARNAS LÄN</t>
        </is>
      </c>
      <c r="G286" t="inlineStr">
        <is>
          <t>SÄTER</t>
        </is>
      </c>
      <c r="I286" t="n">
        <v>10.1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46281</v>
      </c>
      <c r="F287" t="inlineStr">
        <is>
          <t>DALARNAS LÄN</t>
        </is>
      </c>
      <c r="G287" t="inlineStr">
        <is>
          <t>SÄTER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45411</v>
      </c>
      <c r="E288" s="1" t="n">
        <v>46281</v>
      </c>
      <c r="F288" t="inlineStr">
        <is>
          <t>DALARNAS LÄN</t>
        </is>
      </c>
      <c r="G288" t="inlineStr">
        <is>
          <t>SÄTER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46281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45644</v>
      </c>
      <c r="E290" s="1" t="n">
        <v>46281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46281</v>
      </c>
      <c r="F291" t="inlineStr">
        <is>
          <t>DALARNAS LÄN</t>
        </is>
      </c>
      <c r="G291" t="inlineStr">
        <is>
          <t>SÄTER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45604</v>
      </c>
      <c r="E292" s="1" t="n">
        <v>46281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46281</v>
      </c>
      <c r="F293" t="inlineStr">
        <is>
          <t>DALARNAS LÄN</t>
        </is>
      </c>
      <c r="G293" t="inlineStr">
        <is>
          <t>SÄTER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46254</v>
      </c>
      <c r="E294" s="1" t="n">
        <v>46281</v>
      </c>
      <c r="F294" t="inlineStr">
        <is>
          <t>DALARNAS LÄN</t>
        </is>
      </c>
      <c r="G294" t="inlineStr">
        <is>
          <t>SÄTER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45427</v>
      </c>
      <c r="E295" s="1" t="n">
        <v>46281</v>
      </c>
      <c r="F295" t="inlineStr">
        <is>
          <t>DALARNAS LÄN</t>
        </is>
      </c>
      <c r="G295" t="inlineStr">
        <is>
          <t>SÄTER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46211</v>
      </c>
      <c r="E296" s="1" t="n">
        <v>46281</v>
      </c>
      <c r="F296" t="inlineStr">
        <is>
          <t>DALARNAS LÄN</t>
        </is>
      </c>
      <c r="G296" t="inlineStr">
        <is>
          <t>SÄTER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45063</v>
      </c>
      <c r="E297" s="1" t="n">
        <v>46281</v>
      </c>
      <c r="F297" t="inlineStr">
        <is>
          <t>DALARNAS LÄN</t>
        </is>
      </c>
      <c r="G297" t="inlineStr">
        <is>
          <t>SÄTER</t>
        </is>
      </c>
      <c r="H297" t="inlineStr">
        <is>
          <t>Kommuner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44691</v>
      </c>
      <c r="E298" s="1" t="n">
        <v>46281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44982</v>
      </c>
      <c r="E299" s="1" t="n">
        <v>46281</v>
      </c>
      <c r="F299" t="inlineStr">
        <is>
          <t>DALARNAS LÄN</t>
        </is>
      </c>
      <c r="G299" t="inlineStr">
        <is>
          <t>SÄTER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45268</v>
      </c>
      <c r="E300" s="1" t="n">
        <v>46281</v>
      </c>
      <c r="F300" t="inlineStr">
        <is>
          <t>DALARNAS LÄN</t>
        </is>
      </c>
      <c r="G300" t="inlineStr">
        <is>
          <t>SÄTER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46281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46281</v>
      </c>
      <c r="F302" t="inlineStr">
        <is>
          <t>DALARNAS LÄN</t>
        </is>
      </c>
      <c r="G302" t="inlineStr">
        <is>
          <t>SÄTER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46281</v>
      </c>
      <c r="F303" t="inlineStr">
        <is>
          <t>DALARNAS LÄN</t>
        </is>
      </c>
      <c r="G303" t="inlineStr">
        <is>
          <t>SÄTER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56225-2023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45240</v>
      </c>
      <c r="E304" s="1" t="n">
        <v>46281</v>
      </c>
      <c r="F304" t="inlineStr">
        <is>
          <t>DALARNAS LÄN</t>
        </is>
      </c>
      <c r="G304" t="inlineStr">
        <is>
          <t>SÄTER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45442</v>
      </c>
      <c r="E305" s="1" t="n">
        <v>46281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46281</v>
      </c>
      <c r="F306" t="inlineStr">
        <is>
          <t>DALARNAS LÄN</t>
        </is>
      </c>
      <c r="G306" t="inlineStr">
        <is>
          <t>SÄTER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46281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46281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35564-2026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46262</v>
      </c>
      <c r="E309" s="1" t="n">
        <v>46281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46281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46261</v>
      </c>
      <c r="E311" s="1" t="n">
        <v>46281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46281</v>
      </c>
      <c r="F312" t="inlineStr">
        <is>
          <t>DALARNAS LÄN</t>
        </is>
      </c>
      <c r="G312" t="inlineStr">
        <is>
          <t>SÄTER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32892-2022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44784</v>
      </c>
      <c r="E313" s="1" t="n">
        <v>46281</v>
      </c>
      <c r="F313" t="inlineStr">
        <is>
          <t>DALARNAS LÄN</t>
        </is>
      </c>
      <c r="G313" t="inlineStr">
        <is>
          <t>SÄTER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44784</v>
      </c>
      <c r="E314" s="1" t="n">
        <v>46281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46281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18888-2022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44690</v>
      </c>
      <c r="E316" s="1" t="n">
        <v>46281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46281</v>
      </c>
      <c r="F317" t="inlineStr">
        <is>
          <t>DALARNAS LÄN</t>
        </is>
      </c>
      <c r="G317" t="inlineStr">
        <is>
          <t>SÄTER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46281</v>
      </c>
      <c r="F318" t="inlineStr">
        <is>
          <t>DALARNAS LÄN</t>
        </is>
      </c>
      <c r="G318" t="inlineStr">
        <is>
          <t>SÄTER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34652-2024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45526</v>
      </c>
      <c r="E319" s="1" t="n">
        <v>46281</v>
      </c>
      <c r="F319" t="inlineStr">
        <is>
          <t>DALARNAS LÄN</t>
        </is>
      </c>
      <c r="G319" t="inlineStr">
        <is>
          <t>SÄTER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44811</v>
      </c>
      <c r="E320" s="1" t="n">
        <v>46281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44978</v>
      </c>
      <c r="E321" s="1" t="n">
        <v>46281</v>
      </c>
      <c r="F321" t="inlineStr">
        <is>
          <t>DALARNAS LÄN</t>
        </is>
      </c>
      <c r="G321" t="inlineStr">
        <is>
          <t>SÄTER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44965</v>
      </c>
      <c r="E322" s="1" t="n">
        <v>46281</v>
      </c>
      <c r="F322" t="inlineStr">
        <is>
          <t>DALARNAS LÄN</t>
        </is>
      </c>
      <c r="G322" t="inlineStr">
        <is>
          <t>SÄTER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44830</v>
      </c>
      <c r="E323" s="1" t="n">
        <v>46281</v>
      </c>
      <c r="F323" t="inlineStr">
        <is>
          <t>DALARNAS LÄN</t>
        </is>
      </c>
      <c r="G323" t="inlineStr">
        <is>
          <t>SÄTER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46281</v>
      </c>
      <c r="F324" t="inlineStr">
        <is>
          <t>DALARNAS LÄN</t>
        </is>
      </c>
      <c r="G324" t="inlineStr">
        <is>
          <t>SÄTER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46281</v>
      </c>
      <c r="F325" t="inlineStr">
        <is>
          <t>DALARNAS LÄN</t>
        </is>
      </c>
      <c r="G325" t="inlineStr">
        <is>
          <t>SÄTER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45604</v>
      </c>
      <c r="E326" s="1" t="n">
        <v>46281</v>
      </c>
      <c r="F326" t="inlineStr">
        <is>
          <t>DALARNAS LÄN</t>
        </is>
      </c>
      <c r="G326" t="inlineStr">
        <is>
          <t>SÄTER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45175</v>
      </c>
      <c r="E327" s="1" t="n">
        <v>46281</v>
      </c>
      <c r="F327" t="inlineStr">
        <is>
          <t>DALARNAS LÄN</t>
        </is>
      </c>
      <c r="G327" t="inlineStr">
        <is>
          <t>SÄTER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37502-2026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46281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36969-2026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46273</v>
      </c>
      <c r="E329" s="1" t="n">
        <v>46281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45664</v>
      </c>
      <c r="E330" s="1" t="n">
        <v>46281</v>
      </c>
      <c r="F330" t="inlineStr">
        <is>
          <t>DALARNAS LÄN</t>
        </is>
      </c>
      <c r="G330" t="inlineStr">
        <is>
          <t>SÄTER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  <c r="Z330">
        <f>HYPERLINK("https://klasma.github.io/Logging_2082/knärot/A 498-2025 karta knärot.png", "A 498-2025")</f>
        <v/>
      </c>
      <c r="AA330">
        <f>HYPERLINK("https://klasma.github.io/Logging_2082/klagomål/A 498-2025 FSC-klagomål.docx", "A 498-2025")</f>
        <v/>
      </c>
      <c r="AB330">
        <f>HYPERLINK("https://klasma.github.io/Logging_2082/klagomålsmail/A 498-2025 FSC-klagomål mail.docx", "A 498-2025")</f>
        <v/>
      </c>
      <c r="AC330">
        <f>HYPERLINK("https://klasma.github.io/Logging_2082/tillsyn/A 498-2025 tillsynsbegäran.docx", "A 498-2025")</f>
        <v/>
      </c>
      <c r="AD330">
        <f>HYPERLINK("https://klasma.github.io/Logging_2082/tillsynsmail/A 498-2025 tillsynsbegäran mail.docx", "A 498-2025")</f>
        <v/>
      </c>
    </row>
    <row r="331" ht="15" customHeight="1">
      <c r="A331" t="inlineStr">
        <is>
          <t>A 61344-2023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46281</v>
      </c>
      <c r="F331" t="inlineStr">
        <is>
          <t>DALARNAS LÄN</t>
        </is>
      </c>
      <c r="G331" t="inlineStr">
        <is>
          <t>SÄTER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46281</v>
      </c>
      <c r="F332" t="inlineStr">
        <is>
          <t>DALARNAS LÄN</t>
        </is>
      </c>
      <c r="G332" t="inlineStr">
        <is>
          <t>SÄTER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46279</v>
      </c>
      <c r="E333" s="1" t="n">
        <v>46281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16.9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45171</v>
      </c>
      <c r="E334" s="1" t="n">
        <v>46281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46281</v>
      </c>
      <c r="F335" t="inlineStr">
        <is>
          <t>DALARNAS LÄN</t>
        </is>
      </c>
      <c r="G335" t="inlineStr">
        <is>
          <t>SÄTER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21583-2025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45783</v>
      </c>
      <c r="E336" s="1" t="n">
        <v>46281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32122-2026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46234</v>
      </c>
      <c r="E337" s="1" t="n">
        <v>46281</v>
      </c>
      <c r="F337" t="inlineStr">
        <is>
          <t>DALARNAS LÄN</t>
        </is>
      </c>
      <c r="G337" t="inlineStr">
        <is>
          <t>SÄTER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46281</v>
      </c>
      <c r="F338" t="inlineStr">
        <is>
          <t>DALARNAS LÄN</t>
        </is>
      </c>
      <c r="G338" t="inlineStr">
        <is>
          <t>SÄTER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19767-2024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46281</v>
      </c>
      <c r="F339" t="inlineStr">
        <is>
          <t>DALARNAS LÄN</t>
        </is>
      </c>
      <c r="G339" t="inlineStr">
        <is>
          <t>SÄTER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22970-2025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45790</v>
      </c>
      <c r="E340" s="1" t="n">
        <v>46281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45700</v>
      </c>
      <c r="E341" s="1" t="n">
        <v>46281</v>
      </c>
      <c r="F341" t="inlineStr">
        <is>
          <t>DALARNAS LÄN</t>
        </is>
      </c>
      <c r="G341" t="inlineStr">
        <is>
          <t>SÄTER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45666</v>
      </c>
      <c r="E342" s="1" t="n">
        <v>46281</v>
      </c>
      <c r="F342" t="inlineStr">
        <is>
          <t>DALARNAS LÄN</t>
        </is>
      </c>
      <c r="G342" t="inlineStr">
        <is>
          <t>SÄTER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46281</v>
      </c>
      <c r="F343" t="inlineStr">
        <is>
          <t>DALARNAS LÄN</t>
        </is>
      </c>
      <c r="G343" t="inlineStr">
        <is>
          <t>SÄTER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45443</v>
      </c>
      <c r="E344" s="1" t="n">
        <v>46281</v>
      </c>
      <c r="F344" t="inlineStr">
        <is>
          <t>DALARNAS LÄN</t>
        </is>
      </c>
      <c r="G344" t="inlineStr">
        <is>
          <t>SÄTER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45118</v>
      </c>
      <c r="E345" s="1" t="n">
        <v>46281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46281</v>
      </c>
      <c r="F346" t="inlineStr">
        <is>
          <t>DALARNAS LÄN</t>
        </is>
      </c>
      <c r="G346" t="inlineStr">
        <is>
          <t>SÄTER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46281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45804</v>
      </c>
      <c r="E348" s="1" t="n">
        <v>46281</v>
      </c>
      <c r="F348" t="inlineStr">
        <is>
          <t>DALARNAS LÄN</t>
        </is>
      </c>
      <c r="G348" t="inlineStr">
        <is>
          <t>SÄTER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46281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44784</v>
      </c>
      <c r="E350" s="1" t="n">
        <v>46281</v>
      </c>
      <c r="F350" t="inlineStr">
        <is>
          <t>DALARNAS LÄN</t>
        </is>
      </c>
      <c r="G350" t="inlineStr">
        <is>
          <t>SÄTER</t>
        </is>
      </c>
      <c r="I350" t="n">
        <v>10.9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45811</v>
      </c>
      <c r="E351" s="1" t="n">
        <v>46281</v>
      </c>
      <c r="F351" t="inlineStr">
        <is>
          <t>DALARNAS LÄN</t>
        </is>
      </c>
      <c r="G351" t="inlineStr">
        <is>
          <t>SÄTER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46281</v>
      </c>
      <c r="F352" t="inlineStr">
        <is>
          <t>DALARNAS LÄN</t>
        </is>
      </c>
      <c r="G352" t="inlineStr">
        <is>
          <t>SÄTER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46281</v>
      </c>
      <c r="F353" t="inlineStr">
        <is>
          <t>DALARNAS LÄN</t>
        </is>
      </c>
      <c r="G353" t="inlineStr">
        <is>
          <t>SÄTER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46281</v>
      </c>
      <c r="F354" t="inlineStr">
        <is>
          <t>DALARNAS LÄN</t>
        </is>
      </c>
      <c r="G354" t="inlineStr">
        <is>
          <t>SÄTER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28852-2025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46281</v>
      </c>
      <c r="F355" t="inlineStr">
        <is>
          <t>DALARNAS LÄN</t>
        </is>
      </c>
      <c r="G355" t="inlineStr">
        <is>
          <t>SÄTER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46281</v>
      </c>
      <c r="F356" t="inlineStr">
        <is>
          <t>DALARNAS LÄN</t>
        </is>
      </c>
      <c r="G356" t="inlineStr">
        <is>
          <t>SÄTER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46281</v>
      </c>
      <c r="F357" t="inlineStr">
        <is>
          <t>DALARNAS LÄN</t>
        </is>
      </c>
      <c r="G357" t="inlineStr">
        <is>
          <t>SÄTER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46281</v>
      </c>
      <c r="F358" t="inlineStr">
        <is>
          <t>DALARNAS LÄN</t>
        </is>
      </c>
      <c r="G358" t="inlineStr">
        <is>
          <t>SÄTER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46281</v>
      </c>
      <c r="F359" t="inlineStr">
        <is>
          <t>DALARNAS LÄN</t>
        </is>
      </c>
      <c r="G359" t="inlineStr">
        <is>
          <t>SÄTER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46281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46281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46281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46281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46281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46281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46281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46281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46281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2026-09-16T02:03:53Z</dcterms:created>
  <dcterms:modified xmlns:dcterms="http://purl.org/dc/terms/" xmlns:xsi="http://www.w3.org/2001/XMLSchema-instance" xsi:type="dcterms:W3CDTF">2026-09-16T02:03:53Z</dcterms:modified>
</cp:coreProperties>
</file>