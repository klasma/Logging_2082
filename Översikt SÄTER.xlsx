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46321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46321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46321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46321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46321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46321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42301-2026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46307</v>
      </c>
      <c r="E8" s="1" t="n">
        <v>46321</v>
      </c>
      <c r="F8" t="inlineStr">
        <is>
          <t>DALARNAS LÄN</t>
        </is>
      </c>
      <c r="G8" t="inlineStr">
        <is>
          <t>SÄTER</t>
        </is>
      </c>
      <c r="I8" t="n">
        <v>6.7</v>
      </c>
      <c r="J8" t="n">
        <v>3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16</v>
      </c>
      <c r="U8" t="n">
        <v>0</v>
      </c>
      <c r="V8" s="2" t="inlineStr">
        <is>
          <t>Dropptaggsvamp
Talltita
Vedskivlav
Mindre märgborre
Spillkråka
Timmerticka
Revlummer</t>
        </is>
      </c>
      <c r="W8">
        <f>HYPERLINK("https://klasma.github.io/Logging_2082/artfynd/A 42301-2026 artfynd.xlsx", "A 42301-2026")</f>
        <v/>
      </c>
      <c r="X8">
        <f>HYPERLINK("https://klasma.github.io/Logging_2082/kartor/A 42301-2026 karta.png", "A 42301-2026")</f>
        <v/>
      </c>
      <c r="Y8">
        <f>HYPERLINK("https://klasma.github.io/Logging_2082/kartor_geotiff/A 42301-2026 georefererad karta.tif", "A 42301-2026")</f>
        <v/>
      </c>
      <c r="AA8">
        <f>HYPERLINK("https://klasma.github.io/Logging_2082/klagomål/A 42301-2026 FSC-klagomål.docx", "A 42301-2026")</f>
        <v/>
      </c>
      <c r="AB8">
        <f>HYPERLINK("https://klasma.github.io/Logging_2082/klagomålsmail/A 42301-2026 FSC-klagomål mail.docx", "A 42301-2026")</f>
        <v/>
      </c>
      <c r="AC8">
        <f>HYPERLINK("https://klasma.github.io/Logging_2082/tillsyn/A 42301-2026 tillsynsbegäran.docx", "A 42301-2026")</f>
        <v/>
      </c>
      <c r="AD8">
        <f>HYPERLINK("https://klasma.github.io/Logging_2082/tillsynsmail/A 42301-2026 tillsynsbegäran mail.docx", "A 42301-2026")</f>
        <v/>
      </c>
      <c r="AE8">
        <f>HYPERLINK("https://klasma.github.io/Logging_2082/fåglar/A 42301-2026 prioriterade fågelarter.docx", "A 42301-2026")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46321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38692-2026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46321</v>
      </c>
      <c r="F10" t="inlineStr">
        <is>
          <t>DALARNAS LÄN</t>
        </is>
      </c>
      <c r="G10" t="inlineStr">
        <is>
          <t>SÄTER</t>
        </is>
      </c>
      <c r="H10" t="inlineStr">
        <is>
          <t>Bergvik skog väst AB</t>
        </is>
      </c>
      <c r="I10" t="n">
        <v>15.5</v>
      </c>
      <c r="J10" t="n">
        <v>3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6</v>
      </c>
      <c r="T10" t="n">
        <v>12</v>
      </c>
      <c r="U10" t="n">
        <v>11</v>
      </c>
      <c r="V10" s="2" t="inlineStr">
        <is>
          <t>Knärot
Blåmossa
Bronshjon
Blåsippa
Kransmossa
Spillkråka</t>
        </is>
      </c>
      <c r="W10">
        <f>HYPERLINK("https://klasma.github.io/Logging_2082/artfynd/A 38692-2026 artfynd.xlsx", "A 38692-2026")</f>
        <v/>
      </c>
      <c r="X10">
        <f>HYPERLINK("https://klasma.github.io/Logging_2082/kartor/A 38692-2026 karta.png", "A 38692-2026")</f>
        <v/>
      </c>
      <c r="Y10">
        <f>HYPERLINK("https://klasma.github.io/Logging_2082/kartor_geotiff/A 38692-2026 georefererad karta.tif", "A 38692-2026")</f>
        <v/>
      </c>
      <c r="Z10">
        <f>HYPERLINK("https://klasma.github.io/Logging_2082/knärot/A 38692-2026 karta knärot.png", "A 38692-2026")</f>
        <v/>
      </c>
      <c r="AA10">
        <f>HYPERLINK("https://klasma.github.io/Logging_2082/klagomål/A 38692-2026 FSC-klagomål.docx", "A 38692-2026")</f>
        <v/>
      </c>
      <c r="AB10">
        <f>HYPERLINK("https://klasma.github.io/Logging_2082/klagomålsmail/A 38692-2026 FSC-klagomål mail.docx", "A 38692-2026")</f>
        <v/>
      </c>
      <c r="AC10">
        <f>HYPERLINK("https://klasma.github.io/Logging_2082/tillsyn/A 38692-2026 tillsynsbegäran.docx", "A 38692-2026")</f>
        <v/>
      </c>
      <c r="AD10">
        <f>HYPERLINK("https://klasma.github.io/Logging_2082/tillsynsmail/A 38692-2026 tillsynsbegäran mail.docx", "A 38692-2026")</f>
        <v/>
      </c>
      <c r="AE10">
        <f>HYPERLINK("https://klasma.github.io/Logging_2082/fåglar/A 38692-2026 prioriterade fågelarter.docx", "A 38692-2026")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46321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46321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46321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46321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46321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46321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21382-2025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45781</v>
      </c>
      <c r="E17" s="1" t="n">
        <v>46321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37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Brudsporre
Revlummer
Äkta lopplummer</t>
        </is>
      </c>
      <c r="W17">
        <f>HYPERLINK("https://klasma.github.io/Logging_2082/artfynd/A 21382-2025 artfynd.xlsx", "A 21382-2025")</f>
        <v/>
      </c>
      <c r="X17">
        <f>HYPERLINK("https://klasma.github.io/Logging_2082/kartor/A 21382-2025 karta.png", "A 21382-2025")</f>
        <v/>
      </c>
      <c r="Y17">
        <f>HYPERLINK("https://klasma.github.io/Logging_2082/kartor_geotiff/A 21382-2025 georefererad karta.tif", "A 21382-2025")</f>
        <v/>
      </c>
      <c r="AA17">
        <f>HYPERLINK("https://klasma.github.io/Logging_2082/klagomål/A 21382-2025 FSC-klagomål.docx", "A 21382-2025")</f>
        <v/>
      </c>
      <c r="AB17">
        <f>HYPERLINK("https://klasma.github.io/Logging_2082/klagomålsmail/A 21382-2025 FSC-klagomål mail.docx", "A 21382-2025")</f>
        <v/>
      </c>
      <c r="AC17">
        <f>HYPERLINK("https://klasma.github.io/Logging_2082/tillsyn/A 21382-2025 tillsynsbegäran.docx", "A 21382-2025")</f>
        <v/>
      </c>
      <c r="AD17">
        <f>HYPERLINK("https://klasma.github.io/Logging_2082/tillsynsmail/A 21382-2025 tillsynsbegäran mail.docx", "A 21382-2025")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46321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27374-2022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44742</v>
      </c>
      <c r="E19" s="1" t="n">
        <v>46321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4.3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13</v>
      </c>
      <c r="U19" t="n">
        <v>0</v>
      </c>
      <c r="V19" s="2" t="inlineStr">
        <is>
          <t>Garnlav
Knärot
Nästrot</t>
        </is>
      </c>
      <c r="W19">
        <f>HYPERLINK("https://klasma.github.io/Logging_2082/artfynd/A 27374-2022 artfynd.xlsx", "A 27374-2022")</f>
        <v/>
      </c>
      <c r="X19">
        <f>HYPERLINK("https://klasma.github.io/Logging_2082/kartor/A 27374-2022 karta.png", "A 27374-2022")</f>
        <v/>
      </c>
      <c r="Y19">
        <f>HYPERLINK("https://klasma.github.io/Logging_2082/kartor_geotiff/A 27374-2022 georefererad karta.tif", "A 27374-2022")</f>
        <v/>
      </c>
      <c r="Z19">
        <f>HYPERLINK("https://klasma.github.io/Logging_2082/knärot/A 27374-2022 karta knärot.png", "A 27374-2022")</f>
        <v/>
      </c>
      <c r="AA19">
        <f>HYPERLINK("https://klasma.github.io/Logging_2082/klagomål/A 27374-2022 FSC-klagomål.docx", "A 27374-2022")</f>
        <v/>
      </c>
      <c r="AB19">
        <f>HYPERLINK("https://klasma.github.io/Logging_2082/klagomålsmail/A 27374-2022 FSC-klagomål mail.docx", "A 27374-2022")</f>
        <v/>
      </c>
      <c r="AC19">
        <f>HYPERLINK("https://klasma.github.io/Logging_2082/tillsyn/A 27374-2022 tillsynsbegäran.docx", "A 27374-2022")</f>
        <v/>
      </c>
      <c r="AD19">
        <f>HYPERLINK("https://klasma.github.io/Logging_2082/tillsynsmail/A 27374-2022 tillsynsbegäran mail.docx", "A 27374-2022")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46321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46321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46321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46321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46321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46321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46321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46321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46321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46321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68448-2021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46321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HYPERLINK("https://klasma.github.io/Logging_2082/artfynd/A 68448-2021 artfynd.xlsx", "A 68448-2021")</f>
        <v/>
      </c>
      <c r="X30">
        <f>HYPERLINK("https://klasma.github.io/Logging_2082/kartor/A 68448-2021 karta.png", "A 68448-2021")</f>
        <v/>
      </c>
      <c r="Y30">
        <f>HYPERLINK("https://klasma.github.io/Logging_2082/kartor_geotiff/A 68448-2021 georefererad karta.tif", "A 68448-2021")</f>
        <v/>
      </c>
      <c r="Z30">
        <f>HYPERLINK("https://klasma.github.io/Logging_2082/knärot/A 68448-2021 karta knärot.png", "A 68448-2021")</f>
        <v/>
      </c>
      <c r="AA30">
        <f>HYPERLINK("https://klasma.github.io/Logging_2082/klagomål/A 68448-2021 FSC-klagomål.docx", "A 68448-2021")</f>
        <v/>
      </c>
      <c r="AB30">
        <f>HYPERLINK("https://klasma.github.io/Logging_2082/klagomålsmail/A 68448-2021 FSC-klagomål mail.docx", "A 68448-2021")</f>
        <v/>
      </c>
      <c r="AC30">
        <f>HYPERLINK("https://klasma.github.io/Logging_2082/tillsyn/A 68448-2021 tillsynsbegäran.docx", "A 68448-2021")</f>
        <v/>
      </c>
      <c r="AD30">
        <f>HYPERLINK("https://klasma.github.io/Logging_2082/tillsynsmail/A 68448-2021 tillsynsbegäran mail.docx", "A 68448-2021")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46321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46321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36939-2025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46321</v>
      </c>
      <c r="F33" t="inlineStr">
        <is>
          <t>DALARNAS LÄN</t>
        </is>
      </c>
      <c r="G33" t="inlineStr">
        <is>
          <t>SÄTER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Slaguggla</t>
        </is>
      </c>
      <c r="W33">
        <f>HYPERLINK("https://klasma.github.io/Logging_2082/artfynd/A 36939-2025 artfynd.xlsx", "A 36939-2025")</f>
        <v/>
      </c>
      <c r="X33">
        <f>HYPERLINK("https://klasma.github.io/Logging_2082/kartor/A 36939-2025 karta.png", "A 36939-2025")</f>
        <v/>
      </c>
      <c r="Y33">
        <f>HYPERLINK("https://klasma.github.io/Logging_2082/kartor_geotiff/A 36939-2025 georefererad karta.tif", "A 36939-2025")</f>
        <v/>
      </c>
      <c r="AA33">
        <f>HYPERLINK("https://klasma.github.io/Logging_2082/klagomål/A 36939-2025 FSC-klagomål.docx", "A 36939-2025")</f>
        <v/>
      </c>
      <c r="AB33">
        <f>HYPERLINK("https://klasma.github.io/Logging_2082/klagomålsmail/A 36939-2025 FSC-klagomål mail.docx", "A 36939-2025")</f>
        <v/>
      </c>
      <c r="AC33">
        <f>HYPERLINK("https://klasma.github.io/Logging_2082/tillsyn/A 36939-2025 tillsynsbegäran.docx", "A 36939-2025")</f>
        <v/>
      </c>
      <c r="AD33">
        <f>HYPERLINK("https://klasma.github.io/Logging_2082/tillsynsmail/A 36939-2025 tillsynsbegäran mail.docx", "A 36939-2025")</f>
        <v/>
      </c>
      <c r="AE33">
        <f>HYPERLINK("https://klasma.github.io/Logging_2082/fåglar/A 36939-2025 prioriterade fågelarter.docx", "A 36939-2025")</f>
        <v/>
      </c>
    </row>
    <row r="34" ht="15" customHeight="1">
      <c r="A34" t="inlineStr">
        <is>
          <t>A 61197-2025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46321</v>
      </c>
      <c r="F34" t="inlineStr">
        <is>
          <t>DALARNAS LÄN</t>
        </is>
      </c>
      <c r="G34" t="inlineStr">
        <is>
          <t>SÄTER</t>
        </is>
      </c>
      <c r="I34" t="n">
        <v>4.1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HYPERLINK("https://klasma.github.io/Logging_2082/artfynd/A 61197-2025 artfynd.xlsx", "A 61197-2025")</f>
        <v/>
      </c>
      <c r="X34">
        <f>HYPERLINK("https://klasma.github.io/Logging_2082/kartor/A 61197-2025 karta.png", "A 61197-2025")</f>
        <v/>
      </c>
      <c r="Y34">
        <f>HYPERLINK("https://klasma.github.io/Logging_2082/kartor_geotiff/A 61197-2025 georefererad karta.tif", "A 61197-2025")</f>
        <v/>
      </c>
      <c r="Z34">
        <f>HYPERLINK("https://klasma.github.io/Logging_2082/knärot/A 61197-2025 karta knärot.png", "A 61197-2025")</f>
        <v/>
      </c>
      <c r="AA34">
        <f>HYPERLINK("https://klasma.github.io/Logging_2082/klagomål/A 61197-2025 FSC-klagomål.docx", "A 61197-2025")</f>
        <v/>
      </c>
      <c r="AB34">
        <f>HYPERLINK("https://klasma.github.io/Logging_2082/klagomålsmail/A 61197-2025 FSC-klagomål mail.docx", "A 61197-2025")</f>
        <v/>
      </c>
      <c r="AC34">
        <f>HYPERLINK("https://klasma.github.io/Logging_2082/tillsyn/A 61197-2025 tillsynsbegäran.docx", "A 61197-2025")</f>
        <v/>
      </c>
      <c r="AD34">
        <f>HYPERLINK("https://klasma.github.io/Logging_2082/tillsynsmail/A 61197-2025 tillsynsbegäran mail.docx", "A 61197-2025")</f>
        <v/>
      </c>
    </row>
    <row r="35" ht="15" customHeight="1">
      <c r="A35" t="inlineStr">
        <is>
          <t>A 37896-2026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46279</v>
      </c>
      <c r="E35" s="1" t="n">
        <v>46321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16.9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Gräddticka</t>
        </is>
      </c>
      <c r="W35">
        <f>HYPERLINK("https://klasma.github.io/Logging_2082/artfynd/A 37896-2026 artfynd.xlsx", "A 37896-2026")</f>
        <v/>
      </c>
      <c r="X35">
        <f>HYPERLINK("https://klasma.github.io/Logging_2082/kartor/A 37896-2026 karta.png", "A 37896-2026")</f>
        <v/>
      </c>
      <c r="Y35">
        <f>HYPERLINK("https://klasma.github.io/Logging_2082/kartor_geotiff/A 37896-2026 georefererad karta.tif", "A 37896-2026")</f>
        <v/>
      </c>
      <c r="AA35">
        <f>HYPERLINK("https://klasma.github.io/Logging_2082/klagomål/A 37896-2026 FSC-klagomål.docx", "A 37896-2026")</f>
        <v/>
      </c>
      <c r="AB35">
        <f>HYPERLINK("https://klasma.github.io/Logging_2082/klagomålsmail/A 37896-2026 FSC-klagomål mail.docx", "A 37896-2026")</f>
        <v/>
      </c>
      <c r="AC35">
        <f>HYPERLINK("https://klasma.github.io/Logging_2082/tillsyn/A 37896-2026 tillsynsbegäran.docx", "A 37896-2026")</f>
        <v/>
      </c>
      <c r="AD35">
        <f>HYPERLINK("https://klasma.github.io/Logging_2082/tillsynsmail/A 37896-2026 tillsynsbegäran mail.docx", "A 37896-2026")</f>
        <v/>
      </c>
    </row>
    <row r="36" ht="15" customHeight="1">
      <c r="A36" t="inlineStr">
        <is>
          <t>A 11533-2026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46321</v>
      </c>
      <c r="F36" t="inlineStr">
        <is>
          <t>DALARNAS LÄN</t>
        </is>
      </c>
      <c r="G36" t="inlineStr">
        <is>
          <t>SÄTER</t>
        </is>
      </c>
      <c r="H36" t="inlineStr">
        <is>
          <t>Kommuner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Fläcknycklar</t>
        </is>
      </c>
      <c r="W36">
        <f>HYPERLINK("https://klasma.github.io/Logging_2082/artfynd/A 11533-2026 artfynd.xlsx", "A 11533-2026")</f>
        <v/>
      </c>
      <c r="X36">
        <f>HYPERLINK("https://klasma.github.io/Logging_2082/kartor/A 11533-2026 karta.png", "A 11533-2026")</f>
        <v/>
      </c>
      <c r="Y36">
        <f>HYPERLINK("https://klasma.github.io/Logging_2082/kartor_geotiff/A 11533-2026 georefererad karta.tif", "A 11533-2026")</f>
        <v/>
      </c>
      <c r="AA36">
        <f>HYPERLINK("https://klasma.github.io/Logging_2082/klagomål/A 11533-2026 FSC-klagomål.docx", "A 11533-2026")</f>
        <v/>
      </c>
      <c r="AB36">
        <f>HYPERLINK("https://klasma.github.io/Logging_2082/klagomålsmail/A 11533-2026 FSC-klagomål mail.docx", "A 11533-2026")</f>
        <v/>
      </c>
      <c r="AC36">
        <f>HYPERLINK("https://klasma.github.io/Logging_2082/tillsyn/A 11533-2026 tillsynsbegäran.docx", "A 11533-2026")</f>
        <v/>
      </c>
      <c r="AD36">
        <f>HYPERLINK("https://klasma.github.io/Logging_2082/tillsynsmail/A 11533-2026 tillsynsbegäran mail.docx", "A 11533-2026")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46321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46321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5232-2022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46321</v>
      </c>
      <c r="F39" t="inlineStr">
        <is>
          <t>DALARNAS LÄN</t>
        </is>
      </c>
      <c r="G39" t="inlineStr">
        <is>
          <t>SÄTER</t>
        </is>
      </c>
      <c r="I39" t="n">
        <v>2.5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Tvåblad</t>
        </is>
      </c>
      <c r="W39">
        <f>HYPERLINK("https://klasma.github.io/Logging_2082/artfynd/A 5232-2022 artfynd.xlsx", "A 5232-2022")</f>
        <v/>
      </c>
      <c r="X39">
        <f>HYPERLINK("https://klasma.github.io/Logging_2082/kartor/A 5232-2022 karta.png", "A 5232-2022")</f>
        <v/>
      </c>
      <c r="Y39">
        <f>HYPERLINK("https://klasma.github.io/Logging_2082/kartor_geotiff/A 5232-2022 georefererad karta.tif", "A 5232-2022")</f>
        <v/>
      </c>
      <c r="AA39">
        <f>HYPERLINK("https://klasma.github.io/Logging_2082/klagomål/A 5232-2022 FSC-klagomål.docx", "A 5232-2022")</f>
        <v/>
      </c>
      <c r="AB39">
        <f>HYPERLINK("https://klasma.github.io/Logging_2082/klagomålsmail/A 5232-2022 FSC-klagomål mail.docx", "A 5232-2022")</f>
        <v/>
      </c>
      <c r="AC39">
        <f>HYPERLINK("https://klasma.github.io/Logging_2082/tillsyn/A 5232-2022 tillsynsbegäran.docx", "A 5232-2022")</f>
        <v/>
      </c>
      <c r="AD39">
        <f>HYPERLINK("https://klasma.github.io/Logging_2082/tillsynsmail/A 5232-2022 tillsynsbegäran mail.docx", "A 5232-2022")</f>
        <v/>
      </c>
    </row>
    <row r="40" ht="15" customHeight="1">
      <c r="A40" t="inlineStr">
        <is>
          <t>A 36969-2026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46273</v>
      </c>
      <c r="E40" s="1" t="n">
        <v>46321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1.5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Bronshjon</t>
        </is>
      </c>
      <c r="W40">
        <f>HYPERLINK("https://klasma.github.io/Logging_2082/artfynd/A 36969-2026 artfynd.xlsx", "A 36969-2026")</f>
        <v/>
      </c>
      <c r="X40">
        <f>HYPERLINK("https://klasma.github.io/Logging_2082/kartor/A 36969-2026 karta.png", "A 36969-2026")</f>
        <v/>
      </c>
      <c r="Y40">
        <f>HYPERLINK("https://klasma.github.io/Logging_2082/kartor_geotiff/A 36969-2026 georefererad karta.tif", "A 36969-2026")</f>
        <v/>
      </c>
      <c r="AA40">
        <f>HYPERLINK("https://klasma.github.io/Logging_2082/klagomål/A 36969-2026 FSC-klagomål.docx", "A 36969-2026")</f>
        <v/>
      </c>
      <c r="AB40">
        <f>HYPERLINK("https://klasma.github.io/Logging_2082/klagomålsmail/A 36969-2026 FSC-klagomål mail.docx", "A 36969-2026")</f>
        <v/>
      </c>
      <c r="AC40">
        <f>HYPERLINK("https://klasma.github.io/Logging_2082/tillsyn/A 36969-2026 tillsynsbegäran.docx", "A 36969-2026")</f>
        <v/>
      </c>
      <c r="AD40">
        <f>HYPERLINK("https://klasma.github.io/Logging_2082/tillsynsmail/A 36969-2026 tillsynsbegäran mail.docx", "A 36969-2026")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46321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46321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32383-2022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46321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32383-2022 artfynd.xlsx", "A 32383-2022")</f>
        <v/>
      </c>
      <c r="X43">
        <f>HYPERLINK("https://klasma.github.io/Logging_2082/kartor/A 32383-2022 karta.png", "A 32383-2022")</f>
        <v/>
      </c>
      <c r="Y43">
        <f>HYPERLINK("https://klasma.github.io/Logging_2082/kartor_geotiff/A 32383-2022 georefererad karta.tif", "A 32383-2022")</f>
        <v/>
      </c>
      <c r="Z43">
        <f>HYPERLINK("https://klasma.github.io/Logging_2082/knärot/A 32383-2022 karta knärot.png", "A 32383-2022")</f>
        <v/>
      </c>
      <c r="AA43">
        <f>HYPERLINK("https://klasma.github.io/Logging_2082/klagomål/A 32383-2022 FSC-klagomål.docx", "A 32383-2022")</f>
        <v/>
      </c>
      <c r="AB43">
        <f>HYPERLINK("https://klasma.github.io/Logging_2082/klagomålsmail/A 32383-2022 FSC-klagomål mail.docx", "A 32383-2022")</f>
        <v/>
      </c>
      <c r="AC43">
        <f>HYPERLINK("https://klasma.github.io/Logging_2082/tillsyn/A 32383-2022 tillsynsbegäran.docx", "A 32383-2022")</f>
        <v/>
      </c>
      <c r="AD43">
        <f>HYPERLINK("https://klasma.github.io/Logging_2082/tillsynsmail/A 32383-2022 tillsynsbegäran mail.docx", "A 32383-2022")</f>
        <v/>
      </c>
    </row>
    <row r="44" ht="15" customHeight="1">
      <c r="A44" t="inlineStr">
        <is>
          <t>A 9682-2025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45716</v>
      </c>
      <c r="E44" s="1" t="n">
        <v>46321</v>
      </c>
      <c r="F44" t="inlineStr">
        <is>
          <t>DALARNAS LÄN</t>
        </is>
      </c>
      <c r="G44" t="inlineStr">
        <is>
          <t>SÄTER</t>
        </is>
      </c>
      <c r="I44" t="n">
        <v>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Ögonpyrola</t>
        </is>
      </c>
      <c r="W44">
        <f>HYPERLINK("https://klasma.github.io/Logging_2082/artfynd/A 9682-2025 artfynd.xlsx", "A 9682-2025")</f>
        <v/>
      </c>
      <c r="X44">
        <f>HYPERLINK("https://klasma.github.io/Logging_2082/kartor/A 9682-2025 karta.png", "A 9682-2025")</f>
        <v/>
      </c>
      <c r="Y44">
        <f>HYPERLINK("https://klasma.github.io/Logging_2082/kartor_geotiff/A 9682-2025 georefererad karta.tif", "A 9682-2025")</f>
        <v/>
      </c>
      <c r="AA44">
        <f>HYPERLINK("https://klasma.github.io/Logging_2082/klagomål/A 9682-2025 FSC-klagomål.docx", "A 9682-2025")</f>
        <v/>
      </c>
      <c r="AB44">
        <f>HYPERLINK("https://klasma.github.io/Logging_2082/klagomålsmail/A 9682-2025 FSC-klagomål mail.docx", "A 9682-2025")</f>
        <v/>
      </c>
      <c r="AC44">
        <f>HYPERLINK("https://klasma.github.io/Logging_2082/tillsyn/A 9682-2025 tillsynsbegäran.docx", "A 9682-2025")</f>
        <v/>
      </c>
      <c r="AD44">
        <f>HYPERLINK("https://klasma.github.io/Logging_2082/tillsynsmail/A 9682-2025 tillsynsbegäran mail.docx", "A 9682-2025")</f>
        <v/>
      </c>
    </row>
    <row r="45" ht="15" customHeight="1">
      <c r="A45" t="inlineStr">
        <is>
          <t>A 39406-2024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45551</v>
      </c>
      <c r="E45" s="1" t="n">
        <v>46321</v>
      </c>
      <c r="F45" t="inlineStr">
        <is>
          <t>DALARNAS LÄN</t>
        </is>
      </c>
      <c r="G45" t="inlineStr">
        <is>
          <t>SÄTER</t>
        </is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Sotriska</t>
        </is>
      </c>
      <c r="W45">
        <f>HYPERLINK("https://klasma.github.io/Logging_2082/artfynd/A 39406-2024 artfynd.xlsx", "A 39406-2024")</f>
        <v/>
      </c>
      <c r="X45">
        <f>HYPERLINK("https://klasma.github.io/Logging_2082/kartor/A 39406-2024 karta.png", "A 39406-2024")</f>
        <v/>
      </c>
      <c r="Y45">
        <f>HYPERLINK("https://klasma.github.io/Logging_2082/kartor_geotiff/A 39406-2024 georefererad karta.tif", "A 39406-2024")</f>
        <v/>
      </c>
      <c r="AA45">
        <f>HYPERLINK("https://klasma.github.io/Logging_2082/klagomål/A 39406-2024 FSC-klagomål.docx", "A 39406-2024")</f>
        <v/>
      </c>
      <c r="AB45">
        <f>HYPERLINK("https://klasma.github.io/Logging_2082/klagomålsmail/A 39406-2024 FSC-klagomål mail.docx", "A 39406-2024")</f>
        <v/>
      </c>
      <c r="AC45">
        <f>HYPERLINK("https://klasma.github.io/Logging_2082/tillsyn/A 39406-2024 tillsynsbegäran.docx", "A 39406-2024")</f>
        <v/>
      </c>
      <c r="AD45">
        <f>HYPERLINK("https://klasma.github.io/Logging_2082/tillsynsmail/A 39406-2024 tillsynsbegäran mail.docx", "A 39406-2024")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46321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44992-2024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45575</v>
      </c>
      <c r="E47" s="1" t="n">
        <v>46321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9.9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HYPERLINK("https://klasma.github.io/Logging_2082/artfynd/A 44992-2024 artfynd.xlsx", "A 44992-2024")</f>
        <v/>
      </c>
      <c r="X47">
        <f>HYPERLINK("https://klasma.github.io/Logging_2082/kartor/A 44992-2024 karta.png", "A 44992-2024")</f>
        <v/>
      </c>
      <c r="Y47">
        <f>HYPERLINK("https://klasma.github.io/Logging_2082/kartor_geotiff/A 44992-2024 georefererad karta.tif", "A 44992-2024")</f>
        <v/>
      </c>
      <c r="AA47">
        <f>HYPERLINK("https://klasma.github.io/Logging_2082/klagomål/A 44992-2024 FSC-klagomål.docx", "A 44992-2024")</f>
        <v/>
      </c>
      <c r="AB47">
        <f>HYPERLINK("https://klasma.github.io/Logging_2082/klagomålsmail/A 44992-2024 FSC-klagomål mail.docx", "A 44992-2024")</f>
        <v/>
      </c>
      <c r="AC47">
        <f>HYPERLINK("https://klasma.github.io/Logging_2082/tillsyn/A 44992-2024 tillsynsbegäran.docx", "A 44992-2024")</f>
        <v/>
      </c>
      <c r="AD47">
        <f>HYPERLINK("https://klasma.github.io/Logging_2082/tillsynsmail/A 44992-2024 tillsynsbegäran mail.docx", "A 44992-2024")</f>
        <v/>
      </c>
    </row>
    <row r="48" ht="15" customHeight="1">
      <c r="A48" t="inlineStr">
        <is>
          <t>A 27715-2023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45098</v>
      </c>
      <c r="E48" s="1" t="n">
        <v>46321</v>
      </c>
      <c r="F48" t="inlineStr">
        <is>
          <t>DALARNAS LÄN</t>
        </is>
      </c>
      <c r="G48" t="inlineStr">
        <is>
          <t>SÄTER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HYPERLINK("https://klasma.github.io/Logging_2082/artfynd/A 27715-2023 artfynd.xlsx", "A 27715-2023")</f>
        <v/>
      </c>
      <c r="X48">
        <f>HYPERLINK("https://klasma.github.io/Logging_2082/kartor/A 27715-2023 karta.png", "A 27715-2023")</f>
        <v/>
      </c>
      <c r="Y48">
        <f>HYPERLINK("https://klasma.github.io/Logging_2082/kartor_geotiff/A 27715-2023 georefererad karta.tif", "A 27715-2023")</f>
        <v/>
      </c>
      <c r="AA48">
        <f>HYPERLINK("https://klasma.github.io/Logging_2082/klagomål/A 27715-2023 FSC-klagomål.docx", "A 27715-2023")</f>
        <v/>
      </c>
      <c r="AB48">
        <f>HYPERLINK("https://klasma.github.io/Logging_2082/klagomålsmail/A 27715-2023 FSC-klagomål mail.docx", "A 27715-2023")</f>
        <v/>
      </c>
      <c r="AC48">
        <f>HYPERLINK("https://klasma.github.io/Logging_2082/tillsyn/A 27715-2023 tillsynsbegäran.docx", "A 27715-2023")</f>
        <v/>
      </c>
      <c r="AD48">
        <f>HYPERLINK("https://klasma.github.io/Logging_2082/tillsynsmail/A 27715-2023 tillsynsbegäran mail.docx", "A 27715-2023")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46321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46321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46321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46321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46321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46321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46321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46321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46321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46321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46321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46321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46321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46321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46321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46321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46321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46321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46321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46321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46321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46321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44953</v>
      </c>
      <c r="E71" s="1" t="n">
        <v>46321</v>
      </c>
      <c r="F71" t="inlineStr">
        <is>
          <t>DALARNAS LÄN</t>
        </is>
      </c>
      <c r="G71" t="inlineStr">
        <is>
          <t>SÄTER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46321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10.2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46321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46321</v>
      </c>
      <c r="F74" t="inlineStr">
        <is>
          <t>DALARNAS LÄN</t>
        </is>
      </c>
      <c r="G74" t="inlineStr">
        <is>
          <t>SÄTER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46321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46321</v>
      </c>
      <c r="F76" t="inlineStr">
        <is>
          <t>DALARNAS LÄN</t>
        </is>
      </c>
      <c r="G76" t="inlineStr">
        <is>
          <t>SÄTER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45883</v>
      </c>
      <c r="E77" s="1" t="n">
        <v>46321</v>
      </c>
      <c r="F77" t="inlineStr">
        <is>
          <t>DALARNAS LÄN</t>
        </is>
      </c>
      <c r="G77" t="inlineStr">
        <is>
          <t>SÄTER</t>
        </is>
      </c>
      <c r="I77" t="n">
        <v>10.8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46321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46321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46321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45546</v>
      </c>
      <c r="E81" s="1" t="n">
        <v>46321</v>
      </c>
      <c r="F81" t="inlineStr">
        <is>
          <t>DALARNAS LÄN</t>
        </is>
      </c>
      <c r="G81" t="inlineStr">
        <is>
          <t>SÄTER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46321</v>
      </c>
      <c r="F82" t="inlineStr">
        <is>
          <t>DALARNAS LÄN</t>
        </is>
      </c>
      <c r="G82" t="inlineStr">
        <is>
          <t>SÄTER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46321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46321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46087</v>
      </c>
      <c r="E85" s="1" t="n">
        <v>46321</v>
      </c>
      <c r="F85" t="inlineStr">
        <is>
          <t>DALARNAS LÄN</t>
        </is>
      </c>
      <c r="G85" t="inlineStr">
        <is>
          <t>SÄTER</t>
        </is>
      </c>
      <c r="H85" t="inlineStr">
        <is>
          <t>Kommuner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46321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46321</v>
      </c>
      <c r="F87" t="inlineStr">
        <is>
          <t>DALARNAS LÄN</t>
        </is>
      </c>
      <c r="G87" t="inlineStr">
        <is>
          <t>SÄTER</t>
        </is>
      </c>
      <c r="I87" t="n">
        <v>10.1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46321</v>
      </c>
      <c r="F88" t="inlineStr">
        <is>
          <t>DALARNAS LÄN</t>
        </is>
      </c>
      <c r="G88" t="inlineStr">
        <is>
          <t>SÄTER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23735-2026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46163</v>
      </c>
      <c r="E89" s="1" t="n">
        <v>46321</v>
      </c>
      <c r="F89" t="inlineStr">
        <is>
          <t>DALARNAS LÄN</t>
        </is>
      </c>
      <c r="G89" t="inlineStr">
        <is>
          <t>SÄTER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23736-2026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46163</v>
      </c>
      <c r="E90" s="1" t="n">
        <v>46321</v>
      </c>
      <c r="F90" t="inlineStr">
        <is>
          <t>DALARNAS LÄN</t>
        </is>
      </c>
      <c r="G90" t="inlineStr">
        <is>
          <t>SÄTER</t>
        </is>
      </c>
      <c r="H90" t="inlineStr">
        <is>
          <t>Bergvik skog väst AB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23736-2026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46321</v>
      </c>
      <c r="F91" t="inlineStr">
        <is>
          <t>DALARNAS LÄN</t>
        </is>
      </c>
      <c r="G91" t="inlineStr">
        <is>
          <t>SÄTER</t>
        </is>
      </c>
      <c r="H91" t="inlineStr">
        <is>
          <t>Bergvik skog väst AB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46163</v>
      </c>
      <c r="E92" s="1" t="n">
        <v>46321</v>
      </c>
      <c r="F92" t="inlineStr">
        <is>
          <t>DALARNAS LÄN</t>
        </is>
      </c>
      <c r="G92" t="inlineStr">
        <is>
          <t>SÄTER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46167</v>
      </c>
      <c r="E93" s="1" t="n">
        <v>46321</v>
      </c>
      <c r="F93" t="inlineStr">
        <is>
          <t>DALARNAS LÄN</t>
        </is>
      </c>
      <c r="G93" t="inlineStr">
        <is>
          <t>SÄTER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46321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46321</v>
      </c>
      <c r="F95" t="inlineStr">
        <is>
          <t>DALARNAS LÄN</t>
        </is>
      </c>
      <c r="G95" t="inlineStr">
        <is>
          <t>SÄTER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46321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46321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41.4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46321</v>
      </c>
      <c r="F98" t="inlineStr">
        <is>
          <t>DALARNAS LÄN</t>
        </is>
      </c>
      <c r="G98" t="inlineStr">
        <is>
          <t>SÄTER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46321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46321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46321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46321</v>
      </c>
      <c r="F102" t="inlineStr">
        <is>
          <t>DALARNAS LÄN</t>
        </is>
      </c>
      <c r="G102" t="inlineStr">
        <is>
          <t>SÄTER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46321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46321</v>
      </c>
      <c r="F104" t="inlineStr">
        <is>
          <t>DALARNAS LÄN</t>
        </is>
      </c>
      <c r="G104" t="inlineStr">
        <is>
          <t>SÄTER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46321</v>
      </c>
      <c r="F105" t="inlineStr">
        <is>
          <t>DALARNAS LÄN</t>
        </is>
      </c>
      <c r="G105" t="inlineStr">
        <is>
          <t>SÄTER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46321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50649-2025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45945</v>
      </c>
      <c r="E107" s="1" t="n">
        <v>46321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46321</v>
      </c>
      <c r="F108" t="inlineStr">
        <is>
          <t>DALARNAS LÄN</t>
        </is>
      </c>
      <c r="G108" t="inlineStr">
        <is>
          <t>SÄTER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46321</v>
      </c>
      <c r="F109" t="inlineStr">
        <is>
          <t>DALARNAS LÄN</t>
        </is>
      </c>
      <c r="G109" t="inlineStr">
        <is>
          <t>SÄTER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46321</v>
      </c>
      <c r="F110" t="inlineStr">
        <is>
          <t>DALARNAS LÄN</t>
        </is>
      </c>
      <c r="G110" t="inlineStr">
        <is>
          <t>SÄTER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46321</v>
      </c>
      <c r="F111" t="inlineStr">
        <is>
          <t>DALARNAS LÄN</t>
        </is>
      </c>
      <c r="G111" t="inlineStr">
        <is>
          <t>SÄTER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46321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46321</v>
      </c>
      <c r="F113" t="inlineStr">
        <is>
          <t>DALARNAS LÄN</t>
        </is>
      </c>
      <c r="G113" t="inlineStr">
        <is>
          <t>SÄTER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46321</v>
      </c>
      <c r="F114" t="inlineStr">
        <is>
          <t>DALARNAS LÄN</t>
        </is>
      </c>
      <c r="G114" t="inlineStr">
        <is>
          <t>SÄTER</t>
        </is>
      </c>
      <c r="H114" t="inlineStr">
        <is>
          <t>Övriga statliga verk och myndigheter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46076</v>
      </c>
      <c r="E115" s="1" t="n">
        <v>46321</v>
      </c>
      <c r="F115" t="inlineStr">
        <is>
          <t>DALARNAS LÄN</t>
        </is>
      </c>
      <c r="G115" t="inlineStr">
        <is>
          <t>SÄTER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46321</v>
      </c>
      <c r="F116" t="inlineStr">
        <is>
          <t>DALARNAS LÄN</t>
        </is>
      </c>
      <c r="G116" t="inlineStr">
        <is>
          <t>SÄTER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45599</v>
      </c>
      <c r="E117" s="1" t="n">
        <v>46321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51824-2025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46321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51826-2025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46321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46321</v>
      </c>
      <c r="F120" t="inlineStr">
        <is>
          <t>DALARNAS LÄN</t>
        </is>
      </c>
      <c r="G120" t="inlineStr">
        <is>
          <t>SÄTER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45411</v>
      </c>
      <c r="E121" s="1" t="n">
        <v>46321</v>
      </c>
      <c r="F121" t="inlineStr">
        <is>
          <t>DALARNAS LÄN</t>
        </is>
      </c>
      <c r="G121" t="inlineStr">
        <is>
          <t>SÄTER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45628</v>
      </c>
      <c r="E122" s="1" t="n">
        <v>46321</v>
      </c>
      <c r="F122" t="inlineStr">
        <is>
          <t>DALARNAS LÄN</t>
        </is>
      </c>
      <c r="G122" t="inlineStr">
        <is>
          <t>SÄTER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53559-2025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45960</v>
      </c>
      <c r="E123" s="1" t="n">
        <v>46321</v>
      </c>
      <c r="F123" t="inlineStr">
        <is>
          <t>DALARNAS LÄN</t>
        </is>
      </c>
      <c r="G123" t="inlineStr">
        <is>
          <t>SÄTER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46321</v>
      </c>
      <c r="F124" t="inlineStr">
        <is>
          <t>DALARNAS LÄN</t>
        </is>
      </c>
      <c r="G124" t="inlineStr">
        <is>
          <t>SÄTER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46321</v>
      </c>
      <c r="F125" t="inlineStr">
        <is>
          <t>DALARNAS LÄN</t>
        </is>
      </c>
      <c r="G125" t="inlineStr">
        <is>
          <t>SÄTER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46321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46321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46321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44982</v>
      </c>
      <c r="E129" s="1" t="n">
        <v>46321</v>
      </c>
      <c r="F129" t="inlineStr">
        <is>
          <t>DALARNAS LÄN</t>
        </is>
      </c>
      <c r="G129" t="inlineStr">
        <is>
          <t>SÄTER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46321</v>
      </c>
      <c r="F130" t="inlineStr">
        <is>
          <t>DALARNAS LÄN</t>
        </is>
      </c>
      <c r="G130" t="inlineStr">
        <is>
          <t>SÄTER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46191</v>
      </c>
      <c r="E131" s="1" t="n">
        <v>46321</v>
      </c>
      <c r="F131" t="inlineStr">
        <is>
          <t>DALARNAS LÄN</t>
        </is>
      </c>
      <c r="G131" t="inlineStr">
        <is>
          <t>SÄTER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46321</v>
      </c>
      <c r="F132" t="inlineStr">
        <is>
          <t>DALARNAS LÄN</t>
        </is>
      </c>
      <c r="G132" t="inlineStr">
        <is>
          <t>SÄTER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21766-2024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45442</v>
      </c>
      <c r="E133" s="1" t="n">
        <v>46321</v>
      </c>
      <c r="F133" t="inlineStr">
        <is>
          <t>DALARNAS LÄN</t>
        </is>
      </c>
      <c r="G133" t="inlineStr">
        <is>
          <t>SÄTER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46092</v>
      </c>
      <c r="E134" s="1" t="n">
        <v>46321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46321</v>
      </c>
      <c r="F135" t="inlineStr">
        <is>
          <t>DALARNAS LÄN</t>
        </is>
      </c>
      <c r="G135" t="inlineStr">
        <is>
          <t>SÄTER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55621-2025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46321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46321</v>
      </c>
      <c r="F137" t="inlineStr">
        <is>
          <t>DALARNAS LÄN</t>
        </is>
      </c>
      <c r="G137" t="inlineStr">
        <is>
          <t>SÄTER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44784</v>
      </c>
      <c r="E138" s="1" t="n">
        <v>46321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45527</v>
      </c>
      <c r="E139" s="1" t="n">
        <v>46321</v>
      </c>
      <c r="F139" t="inlineStr">
        <is>
          <t>DALARNAS LÄN</t>
        </is>
      </c>
      <c r="G139" t="inlineStr">
        <is>
          <t>SÄTER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46321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46321</v>
      </c>
      <c r="F141" t="inlineStr">
        <is>
          <t>DALARNAS LÄN</t>
        </is>
      </c>
      <c r="G141" t="inlineStr">
        <is>
          <t>SÄTER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44811</v>
      </c>
      <c r="E142" s="1" t="n">
        <v>46321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46321</v>
      </c>
      <c r="F143" t="inlineStr">
        <is>
          <t>DALARNAS LÄN</t>
        </is>
      </c>
      <c r="G143" t="inlineStr">
        <is>
          <t>SÄTER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46321</v>
      </c>
      <c r="F144" t="inlineStr">
        <is>
          <t>DALARNAS LÄN</t>
        </is>
      </c>
      <c r="G144" t="inlineStr">
        <is>
          <t>SÄTER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46321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44965</v>
      </c>
      <c r="E146" s="1" t="n">
        <v>46321</v>
      </c>
      <c r="F146" t="inlineStr">
        <is>
          <t>DALARNAS LÄN</t>
        </is>
      </c>
      <c r="G146" t="inlineStr">
        <is>
          <t>SÄTER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46321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46321</v>
      </c>
      <c r="F148" t="inlineStr">
        <is>
          <t>DALARNAS LÄN</t>
        </is>
      </c>
      <c r="G148" t="inlineStr">
        <is>
          <t>SÄTER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46321</v>
      </c>
      <c r="F149" t="inlineStr">
        <is>
          <t>DALARNAS LÄN</t>
        </is>
      </c>
      <c r="G149" t="inlineStr">
        <is>
          <t>SÄTER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46321</v>
      </c>
      <c r="F150" t="inlineStr">
        <is>
          <t>DALARNAS LÄN</t>
        </is>
      </c>
      <c r="G150" t="inlineStr">
        <is>
          <t>SÄTER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46321</v>
      </c>
      <c r="F151" t="inlineStr">
        <is>
          <t>DALARNAS LÄN</t>
        </is>
      </c>
      <c r="G151" t="inlineStr">
        <is>
          <t>SÄTER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45992</v>
      </c>
      <c r="E152" s="1" t="n">
        <v>46321</v>
      </c>
      <c r="F152" t="inlineStr">
        <is>
          <t>DALARNAS LÄN</t>
        </is>
      </c>
      <c r="G152" t="inlineStr">
        <is>
          <t>SÄTER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46211</v>
      </c>
      <c r="E153" s="1" t="n">
        <v>46321</v>
      </c>
      <c r="F153" t="inlineStr">
        <is>
          <t>DALARNAS LÄN</t>
        </is>
      </c>
      <c r="G153" t="inlineStr">
        <is>
          <t>SÄTER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51333-2024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45604</v>
      </c>
      <c r="E154" s="1" t="n">
        <v>46321</v>
      </c>
      <c r="F154" t="inlineStr">
        <is>
          <t>DALARNAS LÄN</t>
        </is>
      </c>
      <c r="G154" t="inlineStr">
        <is>
          <t>SÄTER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46321</v>
      </c>
      <c r="F155" t="inlineStr">
        <is>
          <t>DALARNAS LÄN</t>
        </is>
      </c>
      <c r="G155" t="inlineStr">
        <is>
          <t>SÄTER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45993</v>
      </c>
      <c r="E156" s="1" t="n">
        <v>46321</v>
      </c>
      <c r="F156" t="inlineStr">
        <is>
          <t>DALARNAS LÄN</t>
        </is>
      </c>
      <c r="G156" t="inlineStr">
        <is>
          <t>SÄTER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46321</v>
      </c>
      <c r="F157" t="inlineStr">
        <is>
          <t>DALARNAS LÄN</t>
        </is>
      </c>
      <c r="G157" t="inlineStr">
        <is>
          <t>SÄTER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46321</v>
      </c>
      <c r="F158" t="inlineStr">
        <is>
          <t>DALARNAS LÄN</t>
        </is>
      </c>
      <c r="G158" t="inlineStr">
        <is>
          <t>SÄTER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  <c r="Z158">
        <f>HYPERLINK("https://klasma.github.io/Logging_2082/knärot/A 498-2025 karta knärot.png", "A 498-2025")</f>
        <v/>
      </c>
      <c r="AA158">
        <f>HYPERLINK("https://klasma.github.io/Logging_2082/klagomål/A 498-2025 FSC-klagomål.docx", "A 498-2025")</f>
        <v/>
      </c>
      <c r="AB158">
        <f>HYPERLINK("https://klasma.github.io/Logging_2082/klagomålsmail/A 498-2025 FSC-klagomål mail.docx", "A 498-2025")</f>
        <v/>
      </c>
      <c r="AC158">
        <f>HYPERLINK("https://klasma.github.io/Logging_2082/tillsyn/A 498-2025 tillsynsbegäran.docx", "A 498-2025")</f>
        <v/>
      </c>
      <c r="AD158">
        <f>HYPERLINK("https://klasma.github.io/Logging_2082/tillsynsmail/A 498-2025 tillsynsbegäran mail.docx", "A 498-2025")</f>
        <v/>
      </c>
    </row>
    <row r="159" ht="15" customHeight="1">
      <c r="A159" t="inlineStr">
        <is>
          <t>A 61344-2023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46321</v>
      </c>
      <c r="F159" t="inlineStr">
        <is>
          <t>DALARNAS LÄN</t>
        </is>
      </c>
      <c r="G159" t="inlineStr">
        <is>
          <t>SÄTER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46321</v>
      </c>
      <c r="F160" t="inlineStr">
        <is>
          <t>DALARNAS LÄN</t>
        </is>
      </c>
      <c r="G160" t="inlineStr">
        <is>
          <t>SÄTER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46321</v>
      </c>
      <c r="F161" t="inlineStr">
        <is>
          <t>DALARNAS LÄN</t>
        </is>
      </c>
      <c r="G161" t="inlineStr">
        <is>
          <t>SÄTER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46174</v>
      </c>
      <c r="E162" s="1" t="n">
        <v>46321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45171</v>
      </c>
      <c r="E163" s="1" t="n">
        <v>46321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46321</v>
      </c>
      <c r="F164" t="inlineStr">
        <is>
          <t>DALARNAS LÄN</t>
        </is>
      </c>
      <c r="G164" t="inlineStr">
        <is>
          <t>SÄTER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45783</v>
      </c>
      <c r="E165" s="1" t="n">
        <v>46321</v>
      </c>
      <c r="F165" t="inlineStr">
        <is>
          <t>DALARNAS LÄN</t>
        </is>
      </c>
      <c r="G165" t="inlineStr">
        <is>
          <t>SÄTER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45428</v>
      </c>
      <c r="E166" s="1" t="n">
        <v>46321</v>
      </c>
      <c r="F166" t="inlineStr">
        <is>
          <t>DALARNAS LÄN</t>
        </is>
      </c>
      <c r="G166" t="inlineStr">
        <is>
          <t>SÄTER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46014</v>
      </c>
      <c r="E167" s="1" t="n">
        <v>46321</v>
      </c>
      <c r="F167" t="inlineStr">
        <is>
          <t>DALARNAS LÄN</t>
        </is>
      </c>
      <c r="G167" t="inlineStr">
        <is>
          <t>SÄTER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32122-2026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46234</v>
      </c>
      <c r="E168" s="1" t="n">
        <v>46321</v>
      </c>
      <c r="F168" t="inlineStr">
        <is>
          <t>DALARNAS LÄN</t>
        </is>
      </c>
      <c r="G168" t="inlineStr">
        <is>
          <t>SÄTER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46321</v>
      </c>
      <c r="F169" t="inlineStr">
        <is>
          <t>DALARNAS LÄN</t>
        </is>
      </c>
      <c r="G169" t="inlineStr">
        <is>
          <t>SÄTER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46321</v>
      </c>
      <c r="F170" t="inlineStr">
        <is>
          <t>DALARNAS LÄN</t>
        </is>
      </c>
      <c r="G170" t="inlineStr">
        <is>
          <t>SÄTER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46027</v>
      </c>
      <c r="E171" s="1" t="n">
        <v>46321</v>
      </c>
      <c r="F171" t="inlineStr">
        <is>
          <t>DALARNAS LÄN</t>
        </is>
      </c>
      <c r="G171" t="inlineStr">
        <is>
          <t>SÄTER</t>
        </is>
      </c>
      <c r="I171" t="n">
        <v>12.1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46026</v>
      </c>
      <c r="E172" s="1" t="n">
        <v>46321</v>
      </c>
      <c r="F172" t="inlineStr">
        <is>
          <t>DALARNAS LÄN</t>
        </is>
      </c>
      <c r="G172" t="inlineStr">
        <is>
          <t>SÄTER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45790</v>
      </c>
      <c r="E173" s="1" t="n">
        <v>46321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987-2026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46030</v>
      </c>
      <c r="E174" s="1" t="n">
        <v>46321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46321</v>
      </c>
      <c r="F175" t="inlineStr">
        <is>
          <t>DALARNAS LÄN</t>
        </is>
      </c>
      <c r="G175" t="inlineStr">
        <is>
          <t>SÄTER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46321</v>
      </c>
      <c r="F176" t="inlineStr">
        <is>
          <t>DALARNAS LÄN</t>
        </is>
      </c>
      <c r="G176" t="inlineStr">
        <is>
          <t>SÄTER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46321</v>
      </c>
      <c r="F177" t="inlineStr">
        <is>
          <t>DALARNAS LÄN</t>
        </is>
      </c>
      <c r="G177" t="inlineStr">
        <is>
          <t>SÄTER</t>
        </is>
      </c>
      <c r="H177" t="inlineStr">
        <is>
          <t>Kommuner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46321</v>
      </c>
      <c r="F178" t="inlineStr">
        <is>
          <t>DALARNAS LÄN</t>
        </is>
      </c>
      <c r="G178" t="inlineStr">
        <is>
          <t>SÄTER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46283</v>
      </c>
      <c r="E179" s="1" t="n">
        <v>46321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46321</v>
      </c>
      <c r="F180" t="inlineStr">
        <is>
          <t>DALARNAS LÄN</t>
        </is>
      </c>
      <c r="G180" t="inlineStr">
        <is>
          <t>SÄTER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45666</v>
      </c>
      <c r="E181" s="1" t="n">
        <v>46321</v>
      </c>
      <c r="F181" t="inlineStr">
        <is>
          <t>DALARNAS LÄN</t>
        </is>
      </c>
      <c r="G181" t="inlineStr">
        <is>
          <t>SÄTER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46321</v>
      </c>
      <c r="F182" t="inlineStr">
        <is>
          <t>DALARNAS LÄN</t>
        </is>
      </c>
      <c r="G182" t="inlineStr">
        <is>
          <t>SÄTER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46321</v>
      </c>
      <c r="F183" t="inlineStr">
        <is>
          <t>DALARNAS LÄN</t>
        </is>
      </c>
      <c r="G183" t="inlineStr">
        <is>
          <t>SÄTER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46321</v>
      </c>
      <c r="F184" t="inlineStr">
        <is>
          <t>DALARNAS LÄN</t>
        </is>
      </c>
      <c r="G184" t="inlineStr">
        <is>
          <t>SÄTER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46321</v>
      </c>
      <c r="F185" t="inlineStr">
        <is>
          <t>DALARNAS LÄN</t>
        </is>
      </c>
      <c r="G185" t="inlineStr">
        <is>
          <t>SÄTER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46321</v>
      </c>
      <c r="F186" t="inlineStr">
        <is>
          <t>DALARNAS LÄN</t>
        </is>
      </c>
      <c r="G186" t="inlineStr">
        <is>
          <t>SÄTER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46321</v>
      </c>
      <c r="F187" t="inlineStr">
        <is>
          <t>DALARNAS LÄN</t>
        </is>
      </c>
      <c r="G187" t="inlineStr">
        <is>
          <t>SÄTER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46321</v>
      </c>
      <c r="F188" t="inlineStr">
        <is>
          <t>DALARNAS LÄN</t>
        </is>
      </c>
      <c r="G188" t="inlineStr">
        <is>
          <t>SÄTER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46321</v>
      </c>
      <c r="F189" t="inlineStr">
        <is>
          <t>DALARNAS LÄN</t>
        </is>
      </c>
      <c r="G189" t="inlineStr">
        <is>
          <t>SÄTER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46321</v>
      </c>
      <c r="F190" t="inlineStr">
        <is>
          <t>DALARNAS LÄN</t>
        </is>
      </c>
      <c r="G190" t="inlineStr">
        <is>
          <t>SÄTER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46321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46321</v>
      </c>
      <c r="F192" t="inlineStr">
        <is>
          <t>DALARNAS LÄN</t>
        </is>
      </c>
      <c r="G192" t="inlineStr">
        <is>
          <t>SÄTER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46321</v>
      </c>
      <c r="F193" t="inlineStr">
        <is>
          <t>DALARNAS LÄN</t>
        </is>
      </c>
      <c r="G193" t="inlineStr">
        <is>
          <t>SÄTER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46321</v>
      </c>
      <c r="F194" t="inlineStr">
        <is>
          <t>DALARNAS LÄN</t>
        </is>
      </c>
      <c r="G194" t="inlineStr">
        <is>
          <t>SÄTER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46321</v>
      </c>
      <c r="F195" t="inlineStr">
        <is>
          <t>DALARNAS LÄN</t>
        </is>
      </c>
      <c r="G195" t="inlineStr">
        <is>
          <t>SÄTER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46321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46321</v>
      </c>
      <c r="F197" t="inlineStr">
        <is>
          <t>DALARNAS LÄN</t>
        </is>
      </c>
      <c r="G197" t="inlineStr">
        <is>
          <t>SÄTER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45804</v>
      </c>
      <c r="E198" s="1" t="n">
        <v>46321</v>
      </c>
      <c r="F198" t="inlineStr">
        <is>
          <t>DALARNAS LÄN</t>
        </is>
      </c>
      <c r="G198" t="inlineStr">
        <is>
          <t>SÄTER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46321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45804</v>
      </c>
      <c r="E200" s="1" t="n">
        <v>46321</v>
      </c>
      <c r="F200" t="inlineStr">
        <is>
          <t>DALARNAS LÄN</t>
        </is>
      </c>
      <c r="G200" t="inlineStr">
        <is>
          <t>SÄTER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46321</v>
      </c>
      <c r="F201" t="inlineStr">
        <is>
          <t>DALARNAS LÄN</t>
        </is>
      </c>
      <c r="G201" t="inlineStr">
        <is>
          <t>SÄTER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46321</v>
      </c>
      <c r="F202" t="inlineStr">
        <is>
          <t>DALARNAS LÄN</t>
        </is>
      </c>
      <c r="G202" t="inlineStr">
        <is>
          <t>SÄTER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46321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39883-2026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46290</v>
      </c>
      <c r="E204" s="1" t="n">
        <v>46321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46321</v>
      </c>
      <c r="F205" t="inlineStr">
        <is>
          <t>DALARNAS LÄN</t>
        </is>
      </c>
      <c r="G205" t="inlineStr">
        <is>
          <t>SÄTER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46321</v>
      </c>
      <c r="F206" t="inlineStr">
        <is>
          <t>DALARNAS LÄN</t>
        </is>
      </c>
      <c r="G206" t="inlineStr">
        <is>
          <t>SÄTER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46321</v>
      </c>
      <c r="F207" t="inlineStr">
        <is>
          <t>DALARNAS LÄN</t>
        </is>
      </c>
      <c r="G207" t="inlineStr">
        <is>
          <t>SÄTER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46321</v>
      </c>
      <c r="F208" t="inlineStr">
        <is>
          <t>DALARNAS LÄN</t>
        </is>
      </c>
      <c r="G208" t="inlineStr">
        <is>
          <t>SÄTER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46064</v>
      </c>
      <c r="E209" s="1" t="n">
        <v>46321</v>
      </c>
      <c r="F209" t="inlineStr">
        <is>
          <t>DALARNAS LÄN</t>
        </is>
      </c>
      <c r="G209" t="inlineStr">
        <is>
          <t>SÄTER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46321</v>
      </c>
      <c r="F210" t="inlineStr">
        <is>
          <t>DALARNAS LÄN</t>
        </is>
      </c>
      <c r="G210" t="inlineStr">
        <is>
          <t>SÄTER</t>
        </is>
      </c>
      <c r="I210" t="n">
        <v>9.9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46321</v>
      </c>
      <c r="F211" t="inlineStr">
        <is>
          <t>DALARNAS LÄN</t>
        </is>
      </c>
      <c r="G211" t="inlineStr">
        <is>
          <t>SÄTER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45282</v>
      </c>
      <c r="E212" s="1" t="n">
        <v>46321</v>
      </c>
      <c r="F212" t="inlineStr">
        <is>
          <t>DALARNAS LÄN</t>
        </is>
      </c>
      <c r="G212" t="inlineStr">
        <is>
          <t>SÄTER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28281-2026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46321</v>
      </c>
      <c r="F213" t="inlineStr">
        <is>
          <t>DALARNAS LÄN</t>
        </is>
      </c>
      <c r="G213" t="inlineStr">
        <is>
          <t>SÄTER</t>
        </is>
      </c>
      <c r="H213" t="inlineStr">
        <is>
          <t>Sveaskog</t>
        </is>
      </c>
      <c r="I213" t="n">
        <v>19.8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46293</v>
      </c>
      <c r="E214" s="1" t="n">
        <v>46321</v>
      </c>
      <c r="F214" t="inlineStr">
        <is>
          <t>DALARNAS LÄN</t>
        </is>
      </c>
      <c r="G214" t="inlineStr">
        <is>
          <t>SÄTER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46321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46321</v>
      </c>
      <c r="F216" t="inlineStr">
        <is>
          <t>DALARNAS LÄN</t>
        </is>
      </c>
      <c r="G216" t="inlineStr">
        <is>
          <t>SÄTER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46321</v>
      </c>
      <c r="F217" t="inlineStr">
        <is>
          <t>DALARNAS LÄN</t>
        </is>
      </c>
      <c r="G217" t="inlineStr">
        <is>
          <t>SÄTER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46076</v>
      </c>
      <c r="E218" s="1" t="n">
        <v>46321</v>
      </c>
      <c r="F218" t="inlineStr">
        <is>
          <t>DALARNAS LÄN</t>
        </is>
      </c>
      <c r="G218" t="inlineStr">
        <is>
          <t>SÄTER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46321</v>
      </c>
      <c r="F219" t="inlineStr">
        <is>
          <t>DALARNAS LÄN</t>
        </is>
      </c>
      <c r="G219" t="inlineStr">
        <is>
          <t>SÄTER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46321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46321</v>
      </c>
      <c r="F221" t="inlineStr">
        <is>
          <t>DALARNAS LÄN</t>
        </is>
      </c>
      <c r="G221" t="inlineStr">
        <is>
          <t>SÄTER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46321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46254</v>
      </c>
      <c r="E223" s="1" t="n">
        <v>46321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46321</v>
      </c>
      <c r="F224" t="inlineStr">
        <is>
          <t>DALARNAS LÄN</t>
        </is>
      </c>
      <c r="G224" t="inlineStr">
        <is>
          <t>SÄTER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46321</v>
      </c>
      <c r="F225" t="inlineStr">
        <is>
          <t>DALARNAS LÄN</t>
        </is>
      </c>
      <c r="G225" t="inlineStr">
        <is>
          <t>SÄTER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46321</v>
      </c>
      <c r="F226" t="inlineStr">
        <is>
          <t>DALARNAS LÄN</t>
        </is>
      </c>
      <c r="G226" t="inlineStr">
        <is>
          <t>SÄTER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46321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46321</v>
      </c>
      <c r="F228" t="inlineStr">
        <is>
          <t>DALARNAS LÄN</t>
        </is>
      </c>
      <c r="G228" t="inlineStr">
        <is>
          <t>SÄTER</t>
        </is>
      </c>
      <c r="H228" t="inlineStr">
        <is>
          <t>Kommuner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46321</v>
      </c>
      <c r="F229" t="inlineStr">
        <is>
          <t>DALARNAS LÄN</t>
        </is>
      </c>
      <c r="G229" t="inlineStr">
        <is>
          <t>SÄTER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46098</v>
      </c>
      <c r="E230" s="1" t="n">
        <v>46321</v>
      </c>
      <c r="F230" t="inlineStr">
        <is>
          <t>DALARNAS LÄN</t>
        </is>
      </c>
      <c r="G230" t="inlineStr">
        <is>
          <t>SÄTER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51323-2024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45604</v>
      </c>
      <c r="E231" s="1" t="n">
        <v>46321</v>
      </c>
      <c r="F231" t="inlineStr">
        <is>
          <t>DALARNAS LÄN</t>
        </is>
      </c>
      <c r="G231" t="inlineStr">
        <is>
          <t>SÄTER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44572</v>
      </c>
      <c r="E232" s="1" t="n">
        <v>46321</v>
      </c>
      <c r="F232" t="inlineStr">
        <is>
          <t>DALARNAS LÄN</t>
        </is>
      </c>
      <c r="G232" t="inlineStr">
        <is>
          <t>SÄTER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46321</v>
      </c>
      <c r="F233" t="inlineStr">
        <is>
          <t>DALARNAS LÄN</t>
        </is>
      </c>
      <c r="G233" t="inlineStr">
        <is>
          <t>SÄTER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45855</v>
      </c>
      <c r="E234" s="1" t="n">
        <v>46321</v>
      </c>
      <c r="F234" t="inlineStr">
        <is>
          <t>DALARNAS LÄN</t>
        </is>
      </c>
      <c r="G234" t="inlineStr">
        <is>
          <t>SÄTER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46321</v>
      </c>
      <c r="F235" t="inlineStr">
        <is>
          <t>DALARNAS LÄN</t>
        </is>
      </c>
      <c r="G235" t="inlineStr">
        <is>
          <t>SÄTER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50501-2022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44866</v>
      </c>
      <c r="E236" s="1" t="n">
        <v>46321</v>
      </c>
      <c r="F236" t="inlineStr">
        <is>
          <t>DALARNAS LÄN</t>
        </is>
      </c>
      <c r="G236" t="inlineStr">
        <is>
          <t>SÄTER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46321</v>
      </c>
      <c r="F237" t="inlineStr">
        <is>
          <t>DALARNAS LÄN</t>
        </is>
      </c>
      <c r="G237" t="inlineStr">
        <is>
          <t>SÄTER</t>
        </is>
      </c>
      <c r="H237" t="inlineStr">
        <is>
          <t>Kommuner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46261</v>
      </c>
      <c r="E238" s="1" t="n">
        <v>46321</v>
      </c>
      <c r="F238" t="inlineStr">
        <is>
          <t>DALARNAS LÄN</t>
        </is>
      </c>
      <c r="G238" t="inlineStr">
        <is>
          <t>SÄTER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45870</v>
      </c>
      <c r="E239" s="1" t="n">
        <v>46321</v>
      </c>
      <c r="F239" t="inlineStr">
        <is>
          <t>DALARNAS LÄN</t>
        </is>
      </c>
      <c r="G239" t="inlineStr">
        <is>
          <t>SÄTER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46321</v>
      </c>
      <c r="F240" t="inlineStr">
        <is>
          <t>DALARNAS LÄN</t>
        </is>
      </c>
      <c r="G240" t="inlineStr">
        <is>
          <t>SÄTER</t>
        </is>
      </c>
      <c r="I240" t="n">
        <v>15.2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45875</v>
      </c>
      <c r="E241" s="1" t="n">
        <v>46321</v>
      </c>
      <c r="F241" t="inlineStr">
        <is>
          <t>DALARNAS LÄN</t>
        </is>
      </c>
      <c r="G241" t="inlineStr">
        <is>
          <t>SÄTER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44595</v>
      </c>
      <c r="E242" s="1" t="n">
        <v>46321</v>
      </c>
      <c r="F242" t="inlineStr">
        <is>
          <t>DALARNAS LÄN</t>
        </is>
      </c>
      <c r="G242" t="inlineStr">
        <is>
          <t>SÄTER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46321</v>
      </c>
      <c r="F243" t="inlineStr">
        <is>
          <t>DALARNAS LÄN</t>
        </is>
      </c>
      <c r="G243" t="inlineStr">
        <is>
          <t>SÄTER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46321</v>
      </c>
      <c r="F244" t="inlineStr">
        <is>
          <t>DALARNAS LÄN</t>
        </is>
      </c>
      <c r="G244" t="inlineStr">
        <is>
          <t>SÄTER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46321</v>
      </c>
      <c r="F245" t="inlineStr">
        <is>
          <t>DALARNAS LÄN</t>
        </is>
      </c>
      <c r="G245" t="inlineStr">
        <is>
          <t>SÄTER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46321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44809</v>
      </c>
      <c r="E247" s="1" t="n">
        <v>46321</v>
      </c>
      <c r="F247" t="inlineStr">
        <is>
          <t>DALARNAS LÄN</t>
        </is>
      </c>
      <c r="G247" t="inlineStr">
        <is>
          <t>SÄTER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46321</v>
      </c>
      <c r="F248" t="inlineStr">
        <is>
          <t>DALARNAS LÄN</t>
        </is>
      </c>
      <c r="G248" t="inlineStr">
        <is>
          <t>SÄTER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35564-2026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46262</v>
      </c>
      <c r="E249" s="1" t="n">
        <v>46321</v>
      </c>
      <c r="F249" t="inlineStr">
        <is>
          <t>DALARNAS LÄN</t>
        </is>
      </c>
      <c r="G249" t="inlineStr">
        <is>
          <t>SÄTER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46321</v>
      </c>
      <c r="F250" t="inlineStr">
        <is>
          <t>DALARNAS LÄN</t>
        </is>
      </c>
      <c r="G250" t="inlineStr">
        <is>
          <t>SÄTER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46204</v>
      </c>
      <c r="E251" s="1" t="n">
        <v>46321</v>
      </c>
      <c r="F251" t="inlineStr">
        <is>
          <t>DALARNAS LÄN</t>
        </is>
      </c>
      <c r="G251" t="inlineStr">
        <is>
          <t>SÄTER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46321</v>
      </c>
      <c r="F252" t="inlineStr">
        <is>
          <t>DALARNAS LÄN</t>
        </is>
      </c>
      <c r="G252" t="inlineStr">
        <is>
          <t>SÄTER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46321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39998-2026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46293</v>
      </c>
      <c r="E254" s="1" t="n">
        <v>46321</v>
      </c>
      <c r="F254" t="inlineStr">
        <is>
          <t>DALARNAS LÄN</t>
        </is>
      </c>
      <c r="G254" t="inlineStr">
        <is>
          <t>SÄTER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44585</v>
      </c>
      <c r="E255" s="1" t="n">
        <v>46321</v>
      </c>
      <c r="F255" t="inlineStr">
        <is>
          <t>DALARNAS LÄN</t>
        </is>
      </c>
      <c r="G255" t="inlineStr">
        <is>
          <t>SÄTER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46321</v>
      </c>
      <c r="F256" t="inlineStr">
        <is>
          <t>DALARNAS LÄN</t>
        </is>
      </c>
      <c r="G256" t="inlineStr">
        <is>
          <t>SÄTER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46321</v>
      </c>
      <c r="F257" t="inlineStr">
        <is>
          <t>DALARNAS LÄN</t>
        </is>
      </c>
      <c r="G257" t="inlineStr">
        <is>
          <t>SÄTER</t>
        </is>
      </c>
      <c r="I257" t="n">
        <v>8.1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46321</v>
      </c>
      <c r="F258" t="inlineStr">
        <is>
          <t>DALARNAS LÄN</t>
        </is>
      </c>
      <c r="G258" t="inlineStr">
        <is>
          <t>SÄTER</t>
        </is>
      </c>
      <c r="H258" t="inlineStr">
        <is>
          <t>Kommuner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46321</v>
      </c>
      <c r="F259" t="inlineStr">
        <is>
          <t>DALARNAS LÄN</t>
        </is>
      </c>
      <c r="G259" t="inlineStr">
        <is>
          <t>SÄTER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46314</v>
      </c>
      <c r="E260" s="1" t="n">
        <v>46321</v>
      </c>
      <c r="F260" t="inlineStr">
        <is>
          <t>DALARNAS LÄN</t>
        </is>
      </c>
      <c r="G260" t="inlineStr">
        <is>
          <t>SÄTER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46321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46321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46321</v>
      </c>
      <c r="F263" t="inlineStr">
        <is>
          <t>DALARNAS LÄN</t>
        </is>
      </c>
      <c r="G263" t="inlineStr">
        <is>
          <t>SÄTER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46321</v>
      </c>
      <c r="F264" t="inlineStr">
        <is>
          <t>DALARNAS LÄN</t>
        </is>
      </c>
      <c r="G264" t="inlineStr">
        <is>
          <t>SÄTER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46321</v>
      </c>
      <c r="F265" t="inlineStr">
        <is>
          <t>DALARNAS LÄN</t>
        </is>
      </c>
      <c r="G265" t="inlineStr">
        <is>
          <t>SÄTER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46321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46321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43125-2024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45567</v>
      </c>
      <c r="E268" s="1" t="n">
        <v>46321</v>
      </c>
      <c r="F268" t="inlineStr">
        <is>
          <t>DALARNAS LÄN</t>
        </is>
      </c>
      <c r="G268" t="inlineStr">
        <is>
          <t>SÄTER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45811</v>
      </c>
      <c r="E269" s="1" t="n">
        <v>46321</v>
      </c>
      <c r="F269" t="inlineStr">
        <is>
          <t>DALARNAS LÄN</t>
        </is>
      </c>
      <c r="G269" t="inlineStr">
        <is>
          <t>SÄTER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46321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46321</v>
      </c>
      <c r="F271" t="inlineStr">
        <is>
          <t>DALARNAS LÄN</t>
        </is>
      </c>
      <c r="G271" t="inlineStr">
        <is>
          <t>SÄTER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46321</v>
      </c>
      <c r="F272" t="inlineStr">
        <is>
          <t>DALARNAS LÄN</t>
        </is>
      </c>
      <c r="G272" t="inlineStr">
        <is>
          <t>SÄTER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46321</v>
      </c>
      <c r="F273" t="inlineStr">
        <is>
          <t>DALARNAS LÄN</t>
        </is>
      </c>
      <c r="G273" t="inlineStr">
        <is>
          <t>SÄTER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46321</v>
      </c>
      <c r="F274" t="inlineStr">
        <is>
          <t>DALARNAS LÄN</t>
        </is>
      </c>
      <c r="G274" t="inlineStr">
        <is>
          <t>SÄTER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45569</v>
      </c>
      <c r="E275" s="1" t="n">
        <v>46321</v>
      </c>
      <c r="F275" t="inlineStr">
        <is>
          <t>DALARNAS LÄN</t>
        </is>
      </c>
      <c r="G275" t="inlineStr">
        <is>
          <t>SÄTER</t>
        </is>
      </c>
      <c r="I275" t="n">
        <v>13.2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46321</v>
      </c>
      <c r="F276" t="inlineStr">
        <is>
          <t>DALARNAS LÄN</t>
        </is>
      </c>
      <c r="G276" t="inlineStr">
        <is>
          <t>SÄTER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45911</v>
      </c>
      <c r="E277" s="1" t="n">
        <v>46321</v>
      </c>
      <c r="F277" t="inlineStr">
        <is>
          <t>DALARNAS LÄN</t>
        </is>
      </c>
      <c r="G277" t="inlineStr">
        <is>
          <t>SÄTER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46051</v>
      </c>
      <c r="E278" s="1" t="n">
        <v>46321</v>
      </c>
      <c r="F278" t="inlineStr">
        <is>
          <t>DALARNAS LÄN</t>
        </is>
      </c>
      <c r="G278" t="inlineStr">
        <is>
          <t>SÄTER</t>
        </is>
      </c>
      <c r="H278" t="inlineStr">
        <is>
          <t>Kommuner</t>
        </is>
      </c>
      <c r="I278" t="n">
        <v>42.6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46321</v>
      </c>
      <c r="F279" t="inlineStr">
        <is>
          <t>DALARNAS LÄN</t>
        </is>
      </c>
      <c r="G279" t="inlineStr">
        <is>
          <t>SÄTER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46321</v>
      </c>
      <c r="F280" t="inlineStr">
        <is>
          <t>DALARNAS LÄN</t>
        </is>
      </c>
      <c r="G280" t="inlineStr">
        <is>
          <t>SÄTER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46275</v>
      </c>
      <c r="E281" s="1" t="n">
        <v>46321</v>
      </c>
      <c r="F281" t="inlineStr">
        <is>
          <t>DALARNAS LÄN</t>
        </is>
      </c>
      <c r="G281" t="inlineStr">
        <is>
          <t>SÄTER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46275</v>
      </c>
      <c r="E282" s="1" t="n">
        <v>46321</v>
      </c>
      <c r="F282" t="inlineStr">
        <is>
          <t>DALARNAS LÄN</t>
        </is>
      </c>
      <c r="G282" t="inlineStr">
        <is>
          <t>SÄTER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46321</v>
      </c>
      <c r="F283" t="inlineStr">
        <is>
          <t>DALARNAS LÄN</t>
        </is>
      </c>
      <c r="G283" t="inlineStr">
        <is>
          <t>SÄTER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46321</v>
      </c>
      <c r="F284" t="inlineStr">
        <is>
          <t>DALARNAS LÄN</t>
        </is>
      </c>
      <c r="G284" t="inlineStr">
        <is>
          <t>SÄTER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46321</v>
      </c>
      <c r="F285" t="inlineStr">
        <is>
          <t>DALARNAS LÄN</t>
        </is>
      </c>
      <c r="G285" t="inlineStr">
        <is>
          <t>SÄTER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46321</v>
      </c>
      <c r="F286" t="inlineStr">
        <is>
          <t>DALARNAS LÄN</t>
        </is>
      </c>
      <c r="G286" t="inlineStr">
        <is>
          <t>SÄTER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45476-2024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45576</v>
      </c>
      <c r="E287" s="1" t="n">
        <v>46321</v>
      </c>
      <c r="F287" t="inlineStr">
        <is>
          <t>DALARNAS LÄN</t>
        </is>
      </c>
      <c r="G287" t="inlineStr">
        <is>
          <t>SÄTER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46321</v>
      </c>
      <c r="F288" t="inlineStr">
        <is>
          <t>DALARNAS LÄN</t>
        </is>
      </c>
      <c r="G288" t="inlineStr">
        <is>
          <t>SÄTER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46321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46321</v>
      </c>
      <c r="F290" t="inlineStr">
        <is>
          <t>DALARNAS LÄN</t>
        </is>
      </c>
      <c r="G290" t="inlineStr">
        <is>
          <t>SÄTER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42998-2023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45182</v>
      </c>
      <c r="E291" s="1" t="n">
        <v>46321</v>
      </c>
      <c r="F291" t="inlineStr">
        <is>
          <t>DALARNAS LÄN</t>
        </is>
      </c>
      <c r="G291" t="inlineStr">
        <is>
          <t>SÄTER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46321</v>
      </c>
      <c r="F292" t="inlineStr">
        <is>
          <t>DALARNAS LÄN</t>
        </is>
      </c>
      <c r="G292" t="inlineStr">
        <is>
          <t>SÄTER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51320-2024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45604</v>
      </c>
      <c r="E293" s="1" t="n">
        <v>46321</v>
      </c>
      <c r="F293" t="inlineStr">
        <is>
          <t>DALARNAS LÄN</t>
        </is>
      </c>
      <c r="G293" t="inlineStr">
        <is>
          <t>SÄTER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51324-2024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45604</v>
      </c>
      <c r="E294" s="1" t="n">
        <v>46321</v>
      </c>
      <c r="F294" t="inlineStr">
        <is>
          <t>DALARNAS LÄN</t>
        </is>
      </c>
      <c r="G294" t="inlineStr">
        <is>
          <t>SÄTER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45063</v>
      </c>
      <c r="E295" s="1" t="n">
        <v>46321</v>
      </c>
      <c r="F295" t="inlineStr">
        <is>
          <t>DALARNAS LÄN</t>
        </is>
      </c>
      <c r="G295" t="inlineStr">
        <is>
          <t>SÄTER</t>
        </is>
      </c>
      <c r="H295" t="inlineStr">
        <is>
          <t>Kommuner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45453</v>
      </c>
      <c r="E296" s="1" t="n">
        <v>46321</v>
      </c>
      <c r="F296" t="inlineStr">
        <is>
          <t>DALARNAS LÄN</t>
        </is>
      </c>
      <c r="G296" t="inlineStr">
        <is>
          <t>SÄTER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45628</v>
      </c>
      <c r="E297" s="1" t="n">
        <v>46321</v>
      </c>
      <c r="F297" t="inlineStr">
        <is>
          <t>DALARNAS LÄN</t>
        </is>
      </c>
      <c r="G297" t="inlineStr">
        <is>
          <t>SÄTER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46321</v>
      </c>
      <c r="F298" t="inlineStr">
        <is>
          <t>DALARNAS LÄN</t>
        </is>
      </c>
      <c r="G298" t="inlineStr">
        <is>
          <t>SÄTER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45006</v>
      </c>
      <c r="E299" s="1" t="n">
        <v>46321</v>
      </c>
      <c r="F299" t="inlineStr">
        <is>
          <t>DALARNAS LÄN</t>
        </is>
      </c>
      <c r="G299" t="inlineStr">
        <is>
          <t>SÄTER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45638</v>
      </c>
      <c r="E300" s="1" t="n">
        <v>46321</v>
      </c>
      <c r="F300" t="inlineStr">
        <is>
          <t>DALARNAS LÄN</t>
        </is>
      </c>
      <c r="G300" t="inlineStr">
        <is>
          <t>SÄTER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46321</v>
      </c>
      <c r="F301" t="inlineStr">
        <is>
          <t>DALARNAS LÄN</t>
        </is>
      </c>
      <c r="G301" t="inlineStr">
        <is>
          <t>SÄTER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45638</v>
      </c>
      <c r="E302" s="1" t="n">
        <v>46321</v>
      </c>
      <c r="F302" t="inlineStr">
        <is>
          <t>DALARNAS LÄN</t>
        </is>
      </c>
      <c r="G302" t="inlineStr">
        <is>
          <t>SÄTER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46321</v>
      </c>
      <c r="F303" t="inlineStr">
        <is>
          <t>DALARNAS LÄN</t>
        </is>
      </c>
      <c r="G303" t="inlineStr">
        <is>
          <t>SÄTER</t>
        </is>
      </c>
      <c r="I303" t="n">
        <v>10.9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46321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51468-2024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45604</v>
      </c>
      <c r="E305" s="1" t="n">
        <v>46321</v>
      </c>
      <c r="F305" t="inlineStr">
        <is>
          <t>DALARNAS LÄN</t>
        </is>
      </c>
      <c r="G305" t="inlineStr">
        <is>
          <t>SÄTER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46321</v>
      </c>
      <c r="F306" t="inlineStr">
        <is>
          <t>DALARNAS LÄN</t>
        </is>
      </c>
      <c r="G306" t="inlineStr">
        <is>
          <t>SÄTER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28549-2022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44748</v>
      </c>
      <c r="E307" s="1" t="n">
        <v>46321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46321</v>
      </c>
      <c r="F308" t="inlineStr">
        <is>
          <t>DALARNAS LÄN</t>
        </is>
      </c>
      <c r="G308" t="inlineStr">
        <is>
          <t>SÄTER</t>
        </is>
      </c>
      <c r="I308" t="n">
        <v>8.6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45201</v>
      </c>
      <c r="E309" s="1" t="n">
        <v>46321</v>
      </c>
      <c r="F309" t="inlineStr">
        <is>
          <t>DALARNAS LÄN</t>
        </is>
      </c>
      <c r="G309" t="inlineStr">
        <is>
          <t>SÄTER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46321</v>
      </c>
      <c r="F310" t="inlineStr">
        <is>
          <t>DALARNAS LÄN</t>
        </is>
      </c>
      <c r="G310" t="inlineStr">
        <is>
          <t>SÄTER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  <c r="Z310">
        <f>HYPERLINK("https://klasma.github.io/Logging_2082/knärot/A 57416-2022 karta knärot.png", "A 57416-2022")</f>
        <v/>
      </c>
      <c r="AA310">
        <f>HYPERLINK("https://klasma.github.io/Logging_2082/klagomål/A 57416-2022 FSC-klagomål.docx", "A 57416-2022")</f>
        <v/>
      </c>
      <c r="AB310">
        <f>HYPERLINK("https://klasma.github.io/Logging_2082/klagomålsmail/A 57416-2022 FSC-klagomål mail.docx", "A 57416-2022")</f>
        <v/>
      </c>
      <c r="AC310">
        <f>HYPERLINK("https://klasma.github.io/Logging_2082/tillsyn/A 57416-2022 tillsynsbegäran.docx", "A 57416-2022")</f>
        <v/>
      </c>
      <c r="AD310">
        <f>HYPERLINK("https://klasma.github.io/Logging_2082/tillsynsmail/A 57416-2022 tillsynsbegäran mail.docx", "A 57416-2022")</f>
        <v/>
      </c>
    </row>
    <row r="311" ht="15" customHeight="1">
      <c r="A311" t="inlineStr">
        <is>
          <t>A 27910-2023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45098</v>
      </c>
      <c r="E311" s="1" t="n">
        <v>46321</v>
      </c>
      <c r="F311" t="inlineStr">
        <is>
          <t>DALARNAS LÄN</t>
        </is>
      </c>
      <c r="G311" t="inlineStr">
        <is>
          <t>SÄTER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33473-2022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44788</v>
      </c>
      <c r="E312" s="1" t="n">
        <v>46321</v>
      </c>
      <c r="F312" t="inlineStr">
        <is>
          <t>DALARNAS LÄN</t>
        </is>
      </c>
      <c r="G312" t="inlineStr">
        <is>
          <t>SÄTER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45236</v>
      </c>
      <c r="E313" s="1" t="n">
        <v>46321</v>
      </c>
      <c r="F313" t="inlineStr">
        <is>
          <t>DALARNAS LÄN</t>
        </is>
      </c>
      <c r="G313" t="inlineStr">
        <is>
          <t>SÄTER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69744-2021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44532</v>
      </c>
      <c r="E314" s="1" t="n">
        <v>46321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46321</v>
      </c>
      <c r="F315" t="inlineStr">
        <is>
          <t>DALARNAS LÄN</t>
        </is>
      </c>
      <c r="G315" t="inlineStr">
        <is>
          <t>SÄTER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45342</v>
      </c>
      <c r="E316" s="1" t="n">
        <v>46321</v>
      </c>
      <c r="F316" t="inlineStr">
        <is>
          <t>DALARNAS LÄN</t>
        </is>
      </c>
      <c r="G316" t="inlineStr">
        <is>
          <t>SÄTER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46321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46321</v>
      </c>
      <c r="F318" t="inlineStr">
        <is>
          <t>DALARNAS LÄN</t>
        </is>
      </c>
      <c r="G318" t="inlineStr">
        <is>
          <t>SÄTER</t>
        </is>
      </c>
      <c r="H318" t="inlineStr">
        <is>
          <t>Kommuner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45527</v>
      </c>
      <c r="E319" s="1" t="n">
        <v>46321</v>
      </c>
      <c r="F319" t="inlineStr">
        <is>
          <t>DALARNAS LÄN</t>
        </is>
      </c>
      <c r="G319" t="inlineStr">
        <is>
          <t>SÄTER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46321</v>
      </c>
      <c r="F320" t="inlineStr">
        <is>
          <t>DALARNAS LÄN</t>
        </is>
      </c>
      <c r="G320" t="inlineStr">
        <is>
          <t>SÄTER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45140</v>
      </c>
      <c r="E321" s="1" t="n">
        <v>46321</v>
      </c>
      <c r="F321" t="inlineStr">
        <is>
          <t>DALARNAS LÄN</t>
        </is>
      </c>
      <c r="G321" t="inlineStr">
        <is>
          <t>SÄTER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46321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44572</v>
      </c>
      <c r="E323" s="1" t="n">
        <v>46321</v>
      </c>
      <c r="F323" t="inlineStr">
        <is>
          <t>DALARNAS LÄN</t>
        </is>
      </c>
      <c r="G323" t="inlineStr">
        <is>
          <t>SÄTER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45665</v>
      </c>
      <c r="E324" s="1" t="n">
        <v>46321</v>
      </c>
      <c r="F324" t="inlineStr">
        <is>
          <t>DALARNAS LÄN</t>
        </is>
      </c>
      <c r="G324" t="inlineStr">
        <is>
          <t>SÄTER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45484</v>
      </c>
      <c r="E325" s="1" t="n">
        <v>46321</v>
      </c>
      <c r="F325" t="inlineStr">
        <is>
          <t>DALARNAS LÄN</t>
        </is>
      </c>
      <c r="G325" t="inlineStr">
        <is>
          <t>SÄTER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46321</v>
      </c>
      <c r="F326" t="inlineStr">
        <is>
          <t>DALARNAS LÄN</t>
        </is>
      </c>
      <c r="G326" t="inlineStr">
        <is>
          <t>SÄTER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44630</v>
      </c>
      <c r="E327" s="1" t="n">
        <v>46321</v>
      </c>
      <c r="F327" t="inlineStr">
        <is>
          <t>DALARNAS LÄN</t>
        </is>
      </c>
      <c r="G327" t="inlineStr">
        <is>
          <t>SÄTER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45163</v>
      </c>
      <c r="E328" s="1" t="n">
        <v>46321</v>
      </c>
      <c r="F328" t="inlineStr">
        <is>
          <t>DALARNAS LÄN</t>
        </is>
      </c>
      <c r="G328" t="inlineStr">
        <is>
          <t>SÄTER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46321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45604</v>
      </c>
      <c r="E330" s="1" t="n">
        <v>46321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45190</v>
      </c>
      <c r="E331" s="1" t="n">
        <v>46321</v>
      </c>
      <c r="F331" t="inlineStr">
        <is>
          <t>DALARNAS LÄN</t>
        </is>
      </c>
      <c r="G331" t="inlineStr">
        <is>
          <t>SÄTER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18974-2024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45427</v>
      </c>
      <c r="E332" s="1" t="n">
        <v>46321</v>
      </c>
      <c r="F332" t="inlineStr">
        <is>
          <t>DALARNAS LÄN</t>
        </is>
      </c>
      <c r="G332" t="inlineStr">
        <is>
          <t>SÄTER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46321</v>
      </c>
      <c r="F333" t="inlineStr">
        <is>
          <t>DALARNAS LÄN</t>
        </is>
      </c>
      <c r="G333" t="inlineStr">
        <is>
          <t>SÄTER</t>
        </is>
      </c>
      <c r="H333" t="inlineStr">
        <is>
          <t>Kommuner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44691</v>
      </c>
      <c r="E334" s="1" t="n">
        <v>46321</v>
      </c>
      <c r="F334" t="inlineStr">
        <is>
          <t>DALARNAS LÄN</t>
        </is>
      </c>
      <c r="G334" t="inlineStr">
        <is>
          <t>SÄTER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46321</v>
      </c>
      <c r="F335" t="inlineStr">
        <is>
          <t>DALARNAS LÄN</t>
        </is>
      </c>
      <c r="G335" t="inlineStr">
        <is>
          <t>SÄTER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46321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46321</v>
      </c>
      <c r="F337" t="inlineStr">
        <is>
          <t>DALARNAS LÄN</t>
        </is>
      </c>
      <c r="G337" t="inlineStr">
        <is>
          <t>SÄTER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45154</v>
      </c>
      <c r="E338" s="1" t="n">
        <v>46321</v>
      </c>
      <c r="F338" t="inlineStr">
        <is>
          <t>DALARNAS LÄN</t>
        </is>
      </c>
      <c r="G338" t="inlineStr">
        <is>
          <t>SÄTER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45574</v>
      </c>
      <c r="E339" s="1" t="n">
        <v>46321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45622</v>
      </c>
      <c r="E340" s="1" t="n">
        <v>46321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45670</v>
      </c>
      <c r="E341" s="1" t="n">
        <v>46321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18888-2022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44690</v>
      </c>
      <c r="E342" s="1" t="n">
        <v>46321</v>
      </c>
      <c r="F342" t="inlineStr">
        <is>
          <t>DALARNAS LÄN</t>
        </is>
      </c>
      <c r="G342" t="inlineStr">
        <is>
          <t>SÄTER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44727</v>
      </c>
      <c r="E343" s="1" t="n">
        <v>46321</v>
      </c>
      <c r="F343" t="inlineStr">
        <is>
          <t>DALARNAS LÄN</t>
        </is>
      </c>
      <c r="G343" t="inlineStr">
        <is>
          <t>SÄTER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44711</v>
      </c>
      <c r="E344" s="1" t="n">
        <v>46321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45247</v>
      </c>
      <c r="E345" s="1" t="n">
        <v>46321</v>
      </c>
      <c r="F345" t="inlineStr">
        <is>
          <t>DALARNAS LÄN</t>
        </is>
      </c>
      <c r="G345" t="inlineStr">
        <is>
          <t>SÄTER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44732</v>
      </c>
      <c r="E346" s="1" t="n">
        <v>46321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46321</v>
      </c>
      <c r="F347" t="inlineStr">
        <is>
          <t>DALARNAS LÄN</t>
        </is>
      </c>
      <c r="G347" t="inlineStr">
        <is>
          <t>SÄTER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46321</v>
      </c>
      <c r="F348" t="inlineStr">
        <is>
          <t>DALARNAS LÄN</t>
        </is>
      </c>
      <c r="G348" t="inlineStr">
        <is>
          <t>SÄTER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61743-2023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46321</v>
      </c>
      <c r="F349" t="inlineStr">
        <is>
          <t>DALARNAS LÄN</t>
        </is>
      </c>
      <c r="G349" t="inlineStr">
        <is>
          <t>SÄTER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63152-2023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46321</v>
      </c>
      <c r="F350" t="inlineStr">
        <is>
          <t>DALARNAS LÄN</t>
        </is>
      </c>
      <c r="G350" t="inlineStr">
        <is>
          <t>SÄTER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46321</v>
      </c>
      <c r="F351" t="inlineStr">
        <is>
          <t>DALARNAS LÄN</t>
        </is>
      </c>
      <c r="G351" t="inlineStr">
        <is>
          <t>SÄTER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46321</v>
      </c>
      <c r="F352" t="inlineStr">
        <is>
          <t>DALARNAS LÄN</t>
        </is>
      </c>
      <c r="G352" t="inlineStr">
        <is>
          <t>SÄTER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46321</v>
      </c>
      <c r="F353" t="inlineStr">
        <is>
          <t>DALARNAS LÄN</t>
        </is>
      </c>
      <c r="G353" t="inlineStr">
        <is>
          <t>SÄTER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46321</v>
      </c>
      <c r="F354" t="inlineStr">
        <is>
          <t>DALARNAS LÄN</t>
        </is>
      </c>
      <c r="G354" t="inlineStr">
        <is>
          <t>SÄTER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46321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44581</v>
      </c>
      <c r="E356" s="1" t="n">
        <v>46321</v>
      </c>
      <c r="F356" t="inlineStr">
        <is>
          <t>DALARNAS LÄN</t>
        </is>
      </c>
      <c r="G356" t="inlineStr">
        <is>
          <t>SÄTER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46321</v>
      </c>
      <c r="F357" t="inlineStr">
        <is>
          <t>DALARNAS LÄN</t>
        </is>
      </c>
      <c r="G357" t="inlineStr">
        <is>
          <t>SÄTER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44960</v>
      </c>
      <c r="E358" s="1" t="n">
        <v>46321</v>
      </c>
      <c r="F358" t="inlineStr">
        <is>
          <t>DALARNAS LÄN</t>
        </is>
      </c>
      <c r="G358" t="inlineStr">
        <is>
          <t>SÄTER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46321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46321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46321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46321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46321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46321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46321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46321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46321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2026-10-26T03:09:58Z</dcterms:created>
  <dcterms:modified xmlns:dcterms="http://purl.org/dc/terms/" xmlns:xsi="http://www.w3.org/2001/XMLSchema-instance" xsi:type="dcterms:W3CDTF">2026-10-26T03:09:58Z</dcterms:modified>
</cp:coreProperties>
</file>