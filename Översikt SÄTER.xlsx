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46203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46203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46203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46203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Knärot
Laxporing
Rosenticka
Rynkskinn
Ullticka
Trådticka
Spillkråka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46203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46203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46203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46203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46203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46203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2</v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Garnlav
Knärot
Nästrot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12817-2026</t>
        </is>
      </c>
      <c r="B12" s="1" t="n">
        <v>46091</v>
      </c>
      <c r="C12" s="1" t="n">
        <v>46203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28.2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Grönsångare
Kransmossa</t>
        </is>
      </c>
      <c r="S12">
        <f>HYPERLINK("https://klasma.github.io/Logging_2082/artfynd/A 12817-2026 artfynd.xlsx", "A 12817-2026")</f>
        <v/>
      </c>
      <c r="T12">
        <f>HYPERLINK("https://klasma.github.io/Logging_2082/kartor/A 12817-2026 karta.png", "A 12817-2026")</f>
        <v/>
      </c>
      <c r="V12">
        <f>HYPERLINK("https://klasma.github.io/Logging_2082/klagomål/A 12817-2026 FSC-klagomål.docx", "A 12817-2026")</f>
        <v/>
      </c>
      <c r="W12">
        <f>HYPERLINK("https://klasma.github.io/Logging_2082/klagomålsmail/A 12817-2026 FSC-klagomål mail.docx", "A 12817-2026")</f>
        <v/>
      </c>
      <c r="X12">
        <f>HYPERLINK("https://klasma.github.io/Logging_2082/tillsyn/A 12817-2026 tillsynsbegäran.docx", "A 12817-2026")</f>
        <v/>
      </c>
      <c r="Y12">
        <f>HYPERLINK("https://klasma.github.io/Logging_2082/tillsynsmail/A 12817-2026 tillsynsbegäran mail.docx", "A 12817-2026")</f>
        <v/>
      </c>
      <c r="Z12">
        <f>HYPERLINK("https://klasma.github.io/Logging_2082/fåglar/A 12817-2026 prioriterade fågelarter.docx", "A 12817-2026")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46203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46203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42492-2025</t>
        </is>
      </c>
      <c r="B15" s="1" t="n">
        <v>45904</v>
      </c>
      <c r="C15" s="1" t="n">
        <v>46203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14.9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Stuplav
Kungsfågel</t>
        </is>
      </c>
      <c r="S15">
        <f>HYPERLINK("https://klasma.github.io/Logging_2082/artfynd/A 42492-2025 artfynd.xlsx", "A 42492-2025")</f>
        <v/>
      </c>
      <c r="T15">
        <f>HYPERLINK("https://klasma.github.io/Logging_2082/kartor/A 42492-2025 karta.png", "A 42492-2025")</f>
        <v/>
      </c>
      <c r="V15">
        <f>HYPERLINK("https://klasma.github.io/Logging_2082/klagomål/A 42492-2025 FSC-klagomål.docx", "A 42492-2025")</f>
        <v/>
      </c>
      <c r="W15">
        <f>HYPERLINK("https://klasma.github.io/Logging_2082/klagomålsmail/A 42492-2025 FSC-klagomål mail.docx", "A 42492-2025")</f>
        <v/>
      </c>
      <c r="X15">
        <f>HYPERLINK("https://klasma.github.io/Logging_2082/tillsyn/A 42492-2025 tillsynsbegäran.docx", "A 42492-2025")</f>
        <v/>
      </c>
      <c r="Y15">
        <f>HYPERLINK("https://klasma.github.io/Logging_2082/tillsynsmail/A 42492-2025 tillsynsbegäran mail.docx", "A 42492-2025")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46203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</v>
      </c>
      <c r="C17" s="1" t="n">
        <v>46203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46203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46203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193-2022</t>
        </is>
      </c>
      <c r="B20" s="1" t="n">
        <v>44564</v>
      </c>
      <c r="C20" s="1" t="n">
        <v>46203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Dropptaggsvamp
Talltita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46203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46203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Jungfrulin
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23917-2024</t>
        </is>
      </c>
      <c r="B23" s="1" t="n">
        <v>45455</v>
      </c>
      <c r="C23" s="1" t="n">
        <v>46203</v>
      </c>
      <c r="D23" t="inlineStr">
        <is>
          <t>DALARNAS LÄN</t>
        </is>
      </c>
      <c r="E23" t="inlineStr">
        <is>
          <t>SÄTER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HYPERLINK("https://klasma.github.io/Logging_2082/artfynd/A 23917-2024 artfynd.xlsx", "A 23917-2024")</f>
        <v/>
      </c>
      <c r="T23">
        <f>HYPERLINK("https://klasma.github.io/Logging_2082/kartor/A 23917-2024 karta.png", "A 23917-2024")</f>
        <v/>
      </c>
      <c r="V23">
        <f>HYPERLINK("https://klasma.github.io/Logging_2082/klagomål/A 23917-2024 FSC-klagomål.docx", "A 23917-2024")</f>
        <v/>
      </c>
      <c r="W23">
        <f>HYPERLINK("https://klasma.github.io/Logging_2082/klagomålsmail/A 23917-2024 FSC-klagomål mail.docx", "A 23917-2024")</f>
        <v/>
      </c>
      <c r="X23">
        <f>HYPERLINK("https://klasma.github.io/Logging_2082/tillsyn/A 23917-2024 tillsynsbegäran.docx", "A 23917-2024")</f>
        <v/>
      </c>
      <c r="Y23">
        <f>HYPERLINK("https://klasma.github.io/Logging_2082/tillsynsmail/A 23917-2024 tillsynsbegäran mail.docx", "A 23917-2024")</f>
        <v/>
      </c>
    </row>
    <row r="24" ht="15" customHeight="1">
      <c r="A24" t="inlineStr">
        <is>
          <t>A 47661-2025</t>
        </is>
      </c>
      <c r="B24" s="1" t="n">
        <v>45931</v>
      </c>
      <c r="C24" s="1" t="n">
        <v>46203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HYPERLINK("https://klasma.github.io/Logging_2082/artfynd/A 47661-2025 artfynd.xlsx", "A 47661-2025")</f>
        <v/>
      </c>
      <c r="T24">
        <f>HYPERLINK("https://klasma.github.io/Logging_2082/kartor/A 47661-2025 karta.png", "A 47661-2025")</f>
        <v/>
      </c>
      <c r="V24">
        <f>HYPERLINK("https://klasma.github.io/Logging_2082/klagomål/A 47661-2025 FSC-klagomål.docx", "A 47661-2025")</f>
        <v/>
      </c>
      <c r="W24">
        <f>HYPERLINK("https://klasma.github.io/Logging_2082/klagomålsmail/A 47661-2025 FSC-klagomål mail.docx", "A 47661-2025")</f>
        <v/>
      </c>
      <c r="X24">
        <f>HYPERLINK("https://klasma.github.io/Logging_2082/tillsyn/A 47661-2025 tillsynsbegäran.docx", "A 47661-2025")</f>
        <v/>
      </c>
      <c r="Y24">
        <f>HYPERLINK("https://klasma.github.io/Logging_2082/tillsynsmail/A 47661-2025 tillsynsbegäran mail.docx", "A 47661-2025")</f>
        <v/>
      </c>
      <c r="Z24">
        <f>HYPERLINK("https://klasma.github.io/Logging_2082/fåglar/A 47661-2025 prioriterade fågelarter.docx", "A 47661-2025")</f>
        <v/>
      </c>
    </row>
    <row r="25" ht="15" customHeight="1">
      <c r="A25" t="inlineStr">
        <is>
          <t>A 33605-2022</t>
        </is>
      </c>
      <c r="B25" s="1" t="n">
        <v>44789</v>
      </c>
      <c r="C25" s="1" t="n">
        <v>46203</v>
      </c>
      <c r="D25" t="inlineStr">
        <is>
          <t>DALARNAS LÄN</t>
        </is>
      </c>
      <c r="E25" t="inlineStr">
        <is>
          <t>SÄTER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33605-2022 artfynd.xlsx", "A 33605-2022")</f>
        <v/>
      </c>
      <c r="T25">
        <f>HYPERLINK("https://klasma.github.io/Logging_2082/kartor/A 33605-2022 karta.png", "A 33605-2022")</f>
        <v/>
      </c>
      <c r="V25">
        <f>HYPERLINK("https://klasma.github.io/Logging_2082/klagomål/A 33605-2022 FSC-klagomål.docx", "A 33605-2022")</f>
        <v/>
      </c>
      <c r="W25">
        <f>HYPERLINK("https://klasma.github.io/Logging_2082/klagomålsmail/A 33605-2022 FSC-klagomål mail.docx", "A 33605-2022")</f>
        <v/>
      </c>
      <c r="X25">
        <f>HYPERLINK("https://klasma.github.io/Logging_2082/tillsyn/A 33605-2022 tillsynsbegäran.docx", "A 33605-2022")</f>
        <v/>
      </c>
      <c r="Y25">
        <f>HYPERLINK("https://klasma.github.io/Logging_2082/tillsynsmail/A 33605-2022 tillsynsbegäran mail.docx", "A 33605-2022")</f>
        <v/>
      </c>
    </row>
    <row r="26" ht="15" customHeight="1">
      <c r="A26" t="inlineStr">
        <is>
          <t>A 49653-2025</t>
        </is>
      </c>
      <c r="B26" s="1" t="n">
        <v>45939</v>
      </c>
      <c r="C26" s="1" t="n">
        <v>46203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49653-2025 artfynd.xlsx", "A 49653-2025")</f>
        <v/>
      </c>
      <c r="T26">
        <f>HYPERLINK("https://klasma.github.io/Logging_2082/kartor/A 49653-2025 karta.png", "A 49653-2025")</f>
        <v/>
      </c>
      <c r="V26">
        <f>HYPERLINK("https://klasma.github.io/Logging_2082/klagomål/A 49653-2025 FSC-klagomål.docx", "A 49653-2025")</f>
        <v/>
      </c>
      <c r="W26">
        <f>HYPERLINK("https://klasma.github.io/Logging_2082/klagomålsmail/A 49653-2025 FSC-klagomål mail.docx", "A 49653-2025")</f>
        <v/>
      </c>
      <c r="X26">
        <f>HYPERLINK("https://klasma.github.io/Logging_2082/tillsyn/A 49653-2025 tillsynsbegäran.docx", "A 49653-2025")</f>
        <v/>
      </c>
      <c r="Y26">
        <f>HYPERLINK("https://klasma.github.io/Logging_2082/tillsynsmail/A 49653-2025 tillsynsbegäran mail.docx", "A 49653-2025")</f>
        <v/>
      </c>
    </row>
    <row r="27" ht="15" customHeight="1">
      <c r="A27" t="inlineStr">
        <is>
          <t>A 61197-2025</t>
        </is>
      </c>
      <c r="B27" s="1" t="n">
        <v>46000</v>
      </c>
      <c r="C27" s="1" t="n">
        <v>46203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34938-2025</t>
        </is>
      </c>
      <c r="B28" s="1" t="n">
        <v>45849</v>
      </c>
      <c r="C28" s="1" t="n">
        <v>46203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34938-2025 artfynd.xlsx", "A 34938-2025")</f>
        <v/>
      </c>
      <c r="T28">
        <f>HYPERLINK("https://klasma.github.io/Logging_2082/kartor/A 34938-2025 karta.png", "A 34938-2025")</f>
        <v/>
      </c>
      <c r="V28">
        <f>HYPERLINK("https://klasma.github.io/Logging_2082/klagomål/A 34938-2025 FSC-klagomål.docx", "A 34938-2025")</f>
        <v/>
      </c>
      <c r="W28">
        <f>HYPERLINK("https://klasma.github.io/Logging_2082/klagomålsmail/A 34938-2025 FSC-klagomål mail.docx", "A 34938-2025")</f>
        <v/>
      </c>
      <c r="X28">
        <f>HYPERLINK("https://klasma.github.io/Logging_2082/tillsyn/A 34938-2025 tillsynsbegäran.docx", "A 34938-2025")</f>
        <v/>
      </c>
      <c r="Y28">
        <f>HYPERLINK("https://klasma.github.io/Logging_2082/tillsynsmail/A 34938-2025 tillsynsbegäran mail.docx", "A 34938-2025")</f>
        <v/>
      </c>
    </row>
    <row r="29" ht="15" customHeight="1">
      <c r="A29" t="inlineStr">
        <is>
          <t>A 35221-2025</t>
        </is>
      </c>
      <c r="B29" s="1" t="n">
        <v>45853</v>
      </c>
      <c r="C29" s="1" t="n">
        <v>46203</v>
      </c>
      <c r="D29" t="inlineStr">
        <is>
          <t>DALARNAS LÄN</t>
        </is>
      </c>
      <c r="E29" t="inlineStr">
        <is>
          <t>SÄTER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Vedskivlav</t>
        </is>
      </c>
      <c r="S29">
        <f>HYPERLINK("https://klasma.github.io/Logging_2082/artfynd/A 35221-2025 artfynd.xlsx", "A 35221-2025")</f>
        <v/>
      </c>
      <c r="T29">
        <f>HYPERLINK("https://klasma.github.io/Logging_2082/kartor/A 35221-2025 karta.png", "A 35221-2025")</f>
        <v/>
      </c>
      <c r="V29">
        <f>HYPERLINK("https://klasma.github.io/Logging_2082/klagomål/A 35221-2025 FSC-klagomål.docx", "A 35221-2025")</f>
        <v/>
      </c>
      <c r="W29">
        <f>HYPERLINK("https://klasma.github.io/Logging_2082/klagomålsmail/A 35221-2025 FSC-klagomål mail.docx", "A 35221-2025")</f>
        <v/>
      </c>
      <c r="X29">
        <f>HYPERLINK("https://klasma.github.io/Logging_2082/tillsyn/A 35221-2025 tillsynsbegäran.docx", "A 35221-2025")</f>
        <v/>
      </c>
      <c r="Y29">
        <f>HYPERLINK("https://klasma.github.io/Logging_2082/tillsynsmail/A 35221-2025 tillsynsbegäran mail.docx", "A 35221-2025")</f>
        <v/>
      </c>
    </row>
    <row r="30" ht="15" customHeight="1">
      <c r="A30" t="inlineStr">
        <is>
          <t>A 5232-2022</t>
        </is>
      </c>
      <c r="B30" s="1" t="n">
        <v>44594</v>
      </c>
      <c r="C30" s="1" t="n">
        <v>46203</v>
      </c>
      <c r="D30" t="inlineStr">
        <is>
          <t>DALARNAS LÄN</t>
        </is>
      </c>
      <c r="E30" t="inlineStr">
        <is>
          <t>SÄTER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Tvåblad</t>
        </is>
      </c>
      <c r="S30">
        <f>HYPERLINK("https://klasma.github.io/Logging_2082/artfynd/A 5232-2022 artfynd.xlsx", "A 5232-2022")</f>
        <v/>
      </c>
      <c r="T30">
        <f>HYPERLINK("https://klasma.github.io/Logging_2082/kartor/A 5232-2022 karta.png", "A 5232-2022")</f>
        <v/>
      </c>
      <c r="V30">
        <f>HYPERLINK("https://klasma.github.io/Logging_2082/klagomål/A 5232-2022 FSC-klagomål.docx", "A 5232-2022")</f>
        <v/>
      </c>
      <c r="W30">
        <f>HYPERLINK("https://klasma.github.io/Logging_2082/klagomålsmail/A 5232-2022 FSC-klagomål mail.docx", "A 5232-2022")</f>
        <v/>
      </c>
      <c r="X30">
        <f>HYPERLINK("https://klasma.github.io/Logging_2082/tillsyn/A 5232-2022 tillsynsbegäran.docx", "A 5232-2022")</f>
        <v/>
      </c>
      <c r="Y30">
        <f>HYPERLINK("https://klasma.github.io/Logging_2082/tillsynsmail/A 5232-2022 tillsynsbegäran mail.docx", "A 5232-2022")</f>
        <v/>
      </c>
    </row>
    <row r="31" ht="15" customHeight="1">
      <c r="A31" t="inlineStr">
        <is>
          <t>A 32383-2022</t>
        </is>
      </c>
      <c r="B31" s="1" t="n">
        <v>44781</v>
      </c>
      <c r="C31" s="1" t="n">
        <v>46203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4.1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32383-2022 artfynd.xlsx", "A 32383-2022")</f>
        <v/>
      </c>
      <c r="T31">
        <f>HYPERLINK("https://klasma.github.io/Logging_2082/kartor/A 32383-2022 karta.png", "A 32383-2022")</f>
        <v/>
      </c>
      <c r="U31">
        <f>HYPERLINK("https://klasma.github.io/Logging_2082/knärot/A 32383-2022 karta knärot.png", "A 32383-2022")</f>
        <v/>
      </c>
      <c r="V31">
        <f>HYPERLINK("https://klasma.github.io/Logging_2082/klagomål/A 32383-2022 FSC-klagomål.docx", "A 32383-2022")</f>
        <v/>
      </c>
      <c r="W31">
        <f>HYPERLINK("https://klasma.github.io/Logging_2082/klagomålsmail/A 32383-2022 FSC-klagomål mail.docx", "A 32383-2022")</f>
        <v/>
      </c>
      <c r="X31">
        <f>HYPERLINK("https://klasma.github.io/Logging_2082/tillsyn/A 32383-2022 tillsynsbegäran.docx", "A 32383-2022")</f>
        <v/>
      </c>
      <c r="Y31">
        <f>HYPERLINK("https://klasma.github.io/Logging_2082/tillsynsmail/A 32383-2022 tillsynsbegäran mail.docx", "A 32383-2022")</f>
        <v/>
      </c>
    </row>
    <row r="32" ht="15" customHeight="1">
      <c r="A32" t="inlineStr">
        <is>
          <t>A 21120-2026</t>
        </is>
      </c>
      <c r="B32" s="1" t="n">
        <v>46146</v>
      </c>
      <c r="C32" s="1" t="n">
        <v>46203</v>
      </c>
      <c r="D32" t="inlineStr">
        <is>
          <t>DALARNAS LÄN</t>
        </is>
      </c>
      <c r="E32" t="inlineStr">
        <is>
          <t>SÄTER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HYPERLINK("https://klasma.github.io/Logging_2082/artfynd/A 21120-2026 artfynd.xlsx", "A 21120-2026")</f>
        <v/>
      </c>
      <c r="T32">
        <f>HYPERLINK("https://klasma.github.io/Logging_2082/kartor/A 21120-2026 karta.png", "A 21120-2026")</f>
        <v/>
      </c>
      <c r="U32">
        <f>HYPERLINK("https://klasma.github.io/Logging_2082/knärot/A 21120-2026 karta knärot.png", "A 21120-2026")</f>
        <v/>
      </c>
      <c r="V32">
        <f>HYPERLINK("https://klasma.github.io/Logging_2082/klagomål/A 21120-2026 FSC-klagomål.docx", "A 21120-2026")</f>
        <v/>
      </c>
      <c r="W32">
        <f>HYPERLINK("https://klasma.github.io/Logging_2082/klagomålsmail/A 21120-2026 FSC-klagomål mail.docx", "A 21120-2026")</f>
        <v/>
      </c>
      <c r="X32">
        <f>HYPERLINK("https://klasma.github.io/Logging_2082/tillsyn/A 21120-2026 tillsynsbegäran.docx", "A 21120-2026")</f>
        <v/>
      </c>
      <c r="Y32">
        <f>HYPERLINK("https://klasma.github.io/Logging_2082/tillsynsmail/A 21120-2026 tillsynsbegäran mail.docx", "A 21120-2026")</f>
        <v/>
      </c>
    </row>
    <row r="33" ht="15" customHeight="1">
      <c r="A33" t="inlineStr">
        <is>
          <t>A 21111-2026</t>
        </is>
      </c>
      <c r="B33" s="1" t="n">
        <v>46146</v>
      </c>
      <c r="C33" s="1" t="n">
        <v>46203</v>
      </c>
      <c r="D33" t="inlineStr">
        <is>
          <t>DALARNAS LÄN</t>
        </is>
      </c>
      <c r="E33" t="inlineStr">
        <is>
          <t>SÄTER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HYPERLINK("https://klasma.github.io/Logging_2082/artfynd/A 21111-2026 artfynd.xlsx", "A 21111-2026")</f>
        <v/>
      </c>
      <c r="T33">
        <f>HYPERLINK("https://klasma.github.io/Logging_2082/kartor/A 21111-2026 karta.png", "A 21111-2026")</f>
        <v/>
      </c>
      <c r="V33">
        <f>HYPERLINK("https://klasma.github.io/Logging_2082/klagomål/A 21111-2026 FSC-klagomål.docx", "A 21111-2026")</f>
        <v/>
      </c>
      <c r="W33">
        <f>HYPERLINK("https://klasma.github.io/Logging_2082/klagomålsmail/A 21111-2026 FSC-klagomål mail.docx", "A 21111-2026")</f>
        <v/>
      </c>
      <c r="X33">
        <f>HYPERLINK("https://klasma.github.io/Logging_2082/tillsyn/A 21111-2026 tillsynsbegäran.docx", "A 21111-2026")</f>
        <v/>
      </c>
      <c r="Y33">
        <f>HYPERLINK("https://klasma.github.io/Logging_2082/tillsynsmail/A 21111-2026 tillsynsbegäran mail.docx", "A 21111-2026")</f>
        <v/>
      </c>
    </row>
    <row r="34" ht="15" customHeight="1">
      <c r="A34" t="inlineStr">
        <is>
          <t>A 9682-2025</t>
        </is>
      </c>
      <c r="B34" s="1" t="n">
        <v>45716</v>
      </c>
      <c r="C34" s="1" t="n">
        <v>46203</v>
      </c>
      <c r="D34" t="inlineStr">
        <is>
          <t>DALARNAS LÄN</t>
        </is>
      </c>
      <c r="E34" t="inlineStr">
        <is>
          <t>SÄTER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Ögonpyrola</t>
        </is>
      </c>
      <c r="S34">
        <f>HYPERLINK("https://klasma.github.io/Logging_2082/artfynd/A 9682-2025 artfynd.xlsx", "A 9682-2025")</f>
        <v/>
      </c>
      <c r="T34">
        <f>HYPERLINK("https://klasma.github.io/Logging_2082/kartor/A 9682-2025 karta.png", "A 9682-2025")</f>
        <v/>
      </c>
      <c r="V34">
        <f>HYPERLINK("https://klasma.github.io/Logging_2082/klagomål/A 9682-2025 FSC-klagomål.docx", "A 9682-2025")</f>
        <v/>
      </c>
      <c r="W34">
        <f>HYPERLINK("https://klasma.github.io/Logging_2082/klagomålsmail/A 9682-2025 FSC-klagomål mail.docx", "A 9682-2025")</f>
        <v/>
      </c>
      <c r="X34">
        <f>HYPERLINK("https://klasma.github.io/Logging_2082/tillsyn/A 9682-2025 tillsynsbegäran.docx", "A 9682-2025")</f>
        <v/>
      </c>
      <c r="Y34">
        <f>HYPERLINK("https://klasma.github.io/Logging_2082/tillsynsmail/A 9682-2025 tillsynsbegäran mail.docx", "A 9682-2025")</f>
        <v/>
      </c>
    </row>
    <row r="35" ht="15" customHeight="1">
      <c r="A35" t="inlineStr">
        <is>
          <t>A 39406-2024</t>
        </is>
      </c>
      <c r="B35" s="1" t="n">
        <v>45551</v>
      </c>
      <c r="C35" s="1" t="n">
        <v>46203</v>
      </c>
      <c r="D35" t="inlineStr">
        <is>
          <t>DALARNAS LÄN</t>
        </is>
      </c>
      <c r="E35" t="inlineStr">
        <is>
          <t>SÄTER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Sotriska</t>
        </is>
      </c>
      <c r="S35">
        <f>HYPERLINK("https://klasma.github.io/Logging_2082/artfynd/A 39406-2024 artfynd.xlsx", "A 39406-2024")</f>
        <v/>
      </c>
      <c r="T35">
        <f>HYPERLINK("https://klasma.github.io/Logging_2082/kartor/A 39406-2024 karta.png", "A 39406-2024")</f>
        <v/>
      </c>
      <c r="V35">
        <f>HYPERLINK("https://klasma.github.io/Logging_2082/klagomål/A 39406-2024 FSC-klagomål.docx", "A 39406-2024")</f>
        <v/>
      </c>
      <c r="W35">
        <f>HYPERLINK("https://klasma.github.io/Logging_2082/klagomålsmail/A 39406-2024 FSC-klagomål mail.docx", "A 39406-2024")</f>
        <v/>
      </c>
      <c r="X35">
        <f>HYPERLINK("https://klasma.github.io/Logging_2082/tillsyn/A 39406-2024 tillsynsbegäran.docx", "A 39406-2024")</f>
        <v/>
      </c>
      <c r="Y35">
        <f>HYPERLINK("https://klasma.github.io/Logging_2082/tillsynsmail/A 39406-2024 tillsynsbegäran mail.docx", "A 39406-2024")</f>
        <v/>
      </c>
    </row>
    <row r="36" ht="15" customHeight="1">
      <c r="A36" t="inlineStr">
        <is>
          <t>A 57427-2022</t>
        </is>
      </c>
      <c r="B36" s="1" t="n">
        <v>44896</v>
      </c>
      <c r="C36" s="1" t="n">
        <v>46203</v>
      </c>
      <c r="D36" t="inlineStr">
        <is>
          <t>DALARNAS LÄN</t>
        </is>
      </c>
      <c r="E36" t="inlineStr">
        <is>
          <t>SÄTER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HYPERLINK("https://klasma.github.io/Logging_2082/artfynd/A 57427-2022 artfynd.xlsx", "A 57427-2022")</f>
        <v/>
      </c>
      <c r="T36">
        <f>HYPERLINK("https://klasma.github.io/Logging_2082/kartor/A 57427-2022 karta.png", "A 57427-2022")</f>
        <v/>
      </c>
      <c r="V36">
        <f>HYPERLINK("https://klasma.github.io/Logging_2082/klagomål/A 57427-2022 FSC-klagomål.docx", "A 57427-2022")</f>
        <v/>
      </c>
      <c r="W36">
        <f>HYPERLINK("https://klasma.github.io/Logging_2082/klagomålsmail/A 57427-2022 FSC-klagomål mail.docx", "A 57427-2022")</f>
        <v/>
      </c>
      <c r="X36">
        <f>HYPERLINK("https://klasma.github.io/Logging_2082/tillsyn/A 57427-2022 tillsynsbegäran.docx", "A 57427-2022")</f>
        <v/>
      </c>
      <c r="Y36">
        <f>HYPERLINK("https://klasma.github.io/Logging_2082/tillsynsmail/A 57427-2022 tillsynsbegäran mail.docx", "A 57427-2022")</f>
        <v/>
      </c>
    </row>
    <row r="37" ht="15" customHeight="1">
      <c r="A37" t="inlineStr">
        <is>
          <t>A 68448-2021</t>
        </is>
      </c>
      <c r="B37" s="1" t="n">
        <v>44529</v>
      </c>
      <c r="C37" s="1" t="n">
        <v>46203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HYPERLINK("https://klasma.github.io/Logging_2082/artfynd/A 68448-2021 artfynd.xlsx", "A 68448-2021")</f>
        <v/>
      </c>
      <c r="T37">
        <f>HYPERLINK("https://klasma.github.io/Logging_2082/kartor/A 68448-2021 karta.png", "A 68448-2021")</f>
        <v/>
      </c>
      <c r="U37">
        <f>HYPERLINK("https://klasma.github.io/Logging_2082/knärot/A 68448-2021 karta knärot.png", "A 68448-2021")</f>
        <v/>
      </c>
      <c r="V37">
        <f>HYPERLINK("https://klasma.github.io/Logging_2082/klagomål/A 68448-2021 FSC-klagomål.docx", "A 68448-2021")</f>
        <v/>
      </c>
      <c r="W37">
        <f>HYPERLINK("https://klasma.github.io/Logging_2082/klagomålsmail/A 68448-2021 FSC-klagomål mail.docx", "A 68448-2021")</f>
        <v/>
      </c>
      <c r="X37">
        <f>HYPERLINK("https://klasma.github.io/Logging_2082/tillsyn/A 68448-2021 tillsynsbegäran.docx", "A 68448-2021")</f>
        <v/>
      </c>
      <c r="Y37">
        <f>HYPERLINK("https://klasma.github.io/Logging_2082/tillsynsmail/A 68448-2021 tillsynsbegäran mail.docx", "A 68448-2021")</f>
        <v/>
      </c>
    </row>
    <row r="38" ht="15" customHeight="1">
      <c r="A38" t="inlineStr">
        <is>
          <t>A 44992-2024</t>
        </is>
      </c>
      <c r="B38" s="1" t="n">
        <v>45575</v>
      </c>
      <c r="C38" s="1" t="n">
        <v>46203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9.9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HYPERLINK("https://klasma.github.io/Logging_2082/artfynd/A 44992-2024 artfynd.xlsx", "A 44992-2024")</f>
        <v/>
      </c>
      <c r="T38">
        <f>HYPERLINK("https://klasma.github.io/Logging_2082/kartor/A 44992-2024 karta.png", "A 44992-2024")</f>
        <v/>
      </c>
      <c r="V38">
        <f>HYPERLINK("https://klasma.github.io/Logging_2082/klagomål/A 44992-2024 FSC-klagomål.docx", "A 44992-2024")</f>
        <v/>
      </c>
      <c r="W38">
        <f>HYPERLINK("https://klasma.github.io/Logging_2082/klagomålsmail/A 44992-2024 FSC-klagomål mail.docx", "A 44992-2024")</f>
        <v/>
      </c>
      <c r="X38">
        <f>HYPERLINK("https://klasma.github.io/Logging_2082/tillsyn/A 44992-2024 tillsynsbegäran.docx", "A 44992-2024")</f>
        <v/>
      </c>
      <c r="Y38">
        <f>HYPERLINK("https://klasma.github.io/Logging_2082/tillsynsmail/A 44992-2024 tillsynsbegäran mail.docx", "A 44992-2024")</f>
        <v/>
      </c>
    </row>
    <row r="39" ht="15" customHeight="1">
      <c r="A39" t="inlineStr">
        <is>
          <t>A 47064-2021</t>
        </is>
      </c>
      <c r="B39" s="1" t="n">
        <v>44446</v>
      </c>
      <c r="C39" s="1" t="n">
        <v>46203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Sädesärla</t>
        </is>
      </c>
      <c r="S39">
        <f>HYPERLINK("https://klasma.github.io/Logging_2082/artfynd/A 47064-2021 artfynd.xlsx", "A 47064-2021")</f>
        <v/>
      </c>
      <c r="T39">
        <f>HYPERLINK("https://klasma.github.io/Logging_2082/kartor/A 47064-2021 karta.png", "A 47064-2021")</f>
        <v/>
      </c>
      <c r="V39">
        <f>HYPERLINK("https://klasma.github.io/Logging_2082/klagomål/A 47064-2021 FSC-klagomål.docx", "A 47064-2021")</f>
        <v/>
      </c>
      <c r="W39">
        <f>HYPERLINK("https://klasma.github.io/Logging_2082/klagomålsmail/A 47064-2021 FSC-klagomål mail.docx", "A 47064-2021")</f>
        <v/>
      </c>
      <c r="X39">
        <f>HYPERLINK("https://klasma.github.io/Logging_2082/tillsyn/A 47064-2021 tillsynsbegäran.docx", "A 47064-2021")</f>
        <v/>
      </c>
      <c r="Y39">
        <f>HYPERLINK("https://klasma.github.io/Logging_2082/tillsynsmail/A 47064-2021 tillsynsbegäran mail.docx", "A 47064-2021")</f>
        <v/>
      </c>
      <c r="Z39">
        <f>HYPERLINK("https://klasma.github.io/Logging_2082/fåglar/A 47064-2021 prioriterade fågelarter.docx", "A 47064-2021")</f>
        <v/>
      </c>
    </row>
    <row r="40" ht="15" customHeight="1">
      <c r="A40" t="inlineStr">
        <is>
          <t>A 27715-2023</t>
        </is>
      </c>
      <c r="B40" s="1" t="n">
        <v>45098</v>
      </c>
      <c r="C40" s="1" t="n">
        <v>46203</v>
      </c>
      <c r="D40" t="inlineStr">
        <is>
          <t>DALARNAS LÄN</t>
        </is>
      </c>
      <c r="E40" t="inlineStr">
        <is>
          <t>SÄTER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HYPERLINK("https://klasma.github.io/Logging_2082/artfynd/A 27715-2023 artfynd.xlsx", "A 27715-2023")</f>
        <v/>
      </c>
      <c r="T40">
        <f>HYPERLINK("https://klasma.github.io/Logging_2082/kartor/A 27715-2023 karta.png", "A 27715-2023")</f>
        <v/>
      </c>
      <c r="V40">
        <f>HYPERLINK("https://klasma.github.io/Logging_2082/klagomål/A 27715-2023 FSC-klagomål.docx", "A 27715-2023")</f>
        <v/>
      </c>
      <c r="W40">
        <f>HYPERLINK("https://klasma.github.io/Logging_2082/klagomålsmail/A 27715-2023 FSC-klagomål mail.docx", "A 27715-2023")</f>
        <v/>
      </c>
      <c r="X40">
        <f>HYPERLINK("https://klasma.github.io/Logging_2082/tillsyn/A 27715-2023 tillsynsbegäran.docx", "A 27715-2023")</f>
        <v/>
      </c>
      <c r="Y40">
        <f>HYPERLINK("https://klasma.github.io/Logging_2082/tillsynsmail/A 27715-2023 tillsynsbegäran mail.docx", "A 27715-2023")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46203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46203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46203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46203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46203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46203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52262-2021</t>
        </is>
      </c>
      <c r="B47" s="1" t="n">
        <v>44463</v>
      </c>
      <c r="C47" s="1" t="n">
        <v>46203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41573-2021</t>
        </is>
      </c>
      <c r="B48" s="1" t="n">
        <v>44425</v>
      </c>
      <c r="C48" s="1" t="n">
        <v>46203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72987-2021</t>
        </is>
      </c>
      <c r="B49" s="1" t="n">
        <v>44549</v>
      </c>
      <c r="C49" s="1" t="n">
        <v>46203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46203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46203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</v>
      </c>
      <c r="C52" s="1" t="n">
        <v>46203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</v>
      </c>
      <c r="C53" s="1" t="n">
        <v>46203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46203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</v>
      </c>
      <c r="C55" s="1" t="n">
        <v>46203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46203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46203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62389-2021</t>
        </is>
      </c>
      <c r="B58" s="1" t="n">
        <v>44503</v>
      </c>
      <c r="C58" s="1" t="n">
        <v>46203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46203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46203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</v>
      </c>
      <c r="C61" s="1" t="n">
        <v>46203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46203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46203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</v>
      </c>
      <c r="C64" s="1" t="n">
        <v>46203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13900-2022</t>
        </is>
      </c>
      <c r="B65" s="1" t="n">
        <v>44650</v>
      </c>
      <c r="C65" s="1" t="n">
        <v>46203</v>
      </c>
      <c r="D65" t="inlineStr">
        <is>
          <t>DALARNAS LÄN</t>
        </is>
      </c>
      <c r="E65" t="inlineStr">
        <is>
          <t>SÄTER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46203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46203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38243-2022</t>
        </is>
      </c>
      <c r="B68" s="1" t="n">
        <v>44812</v>
      </c>
      <c r="C68" s="1" t="n">
        <v>46203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46577-2023</t>
        </is>
      </c>
      <c r="B69" s="1" t="n">
        <v>45198</v>
      </c>
      <c r="C69" s="1" t="n">
        <v>46203</v>
      </c>
      <c r="D69" t="inlineStr">
        <is>
          <t>DALARNAS LÄN</t>
        </is>
      </c>
      <c r="E69" t="inlineStr">
        <is>
          <t>SÄTER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3637-2024</t>
        </is>
      </c>
      <c r="B70" s="1" t="n">
        <v>45321</v>
      </c>
      <c r="C70" s="1" t="n">
        <v>46203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</v>
      </c>
      <c r="C71" s="1" t="n">
        <v>46203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30256-2023</t>
        </is>
      </c>
      <c r="B72" s="1" t="n">
        <v>45110</v>
      </c>
      <c r="C72" s="1" t="n">
        <v>46203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51333-2024</t>
        </is>
      </c>
      <c r="B73" s="1" t="n">
        <v>45604</v>
      </c>
      <c r="C73" s="1" t="n">
        <v>46203</v>
      </c>
      <c r="D73" t="inlineStr">
        <is>
          <t>DALARNAS LÄN</t>
        </is>
      </c>
      <c r="E73" t="inlineStr">
        <is>
          <t>SÄTER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41643-2023</t>
        </is>
      </c>
      <c r="B74" s="1" t="n">
        <v>45175</v>
      </c>
      <c r="C74" s="1" t="n">
        <v>46203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</v>
      </c>
      <c r="C75" s="1" t="n">
        <v>46203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61344-2023</t>
        </is>
      </c>
      <c r="B76" s="1" t="n">
        <v>45264</v>
      </c>
      <c r="C76" s="1" t="n">
        <v>46203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10150-2025</t>
        </is>
      </c>
      <c r="B77" s="1" t="n">
        <v>45719</v>
      </c>
      <c r="C77" s="1" t="n">
        <v>46203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54312-2023</t>
        </is>
      </c>
      <c r="B78" s="1" t="n">
        <v>45232</v>
      </c>
      <c r="C78" s="1" t="n">
        <v>46203</v>
      </c>
      <c r="D78" t="inlineStr">
        <is>
          <t>DALARNAS LÄN</t>
        </is>
      </c>
      <c r="E78" t="inlineStr">
        <is>
          <t>SÄTER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48507-2025</t>
        </is>
      </c>
      <c r="B79" s="1" t="n">
        <v>45936</v>
      </c>
      <c r="C79" s="1" t="n">
        <v>46203</v>
      </c>
      <c r="D79" t="inlineStr">
        <is>
          <t>DALARNAS LÄN</t>
        </is>
      </c>
      <c r="E79" t="inlineStr">
        <is>
          <t>SÄTER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38264-2025</t>
        </is>
      </c>
      <c r="B80" s="1" t="n">
        <v>45883</v>
      </c>
      <c r="C80" s="1" t="n">
        <v>46203</v>
      </c>
      <c r="D80" t="inlineStr">
        <is>
          <t>DALARNAS LÄN</t>
        </is>
      </c>
      <c r="E80" t="inlineStr">
        <is>
          <t>SÄTER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48862-2025</t>
        </is>
      </c>
      <c r="B81" s="1" t="n">
        <v>45937</v>
      </c>
      <c r="C81" s="1" t="n">
        <v>46203</v>
      </c>
      <c r="D81" t="inlineStr">
        <is>
          <t>DALARNAS LÄN</t>
        </is>
      </c>
      <c r="E81" t="inlineStr">
        <is>
          <t>SÄTER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49599-2025</t>
        </is>
      </c>
      <c r="B82" s="1" t="n">
        <v>45939</v>
      </c>
      <c r="C82" s="1" t="n">
        <v>46203</v>
      </c>
      <c r="D82" t="inlineStr">
        <is>
          <t>DALARNAS LÄN</t>
        </is>
      </c>
      <c r="E82" t="inlineStr">
        <is>
          <t>SÄTER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41471-2023</t>
        </is>
      </c>
      <c r="B83" s="1" t="n">
        <v>45171</v>
      </c>
      <c r="C83" s="1" t="n">
        <v>46203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49684-2024</t>
        </is>
      </c>
      <c r="B84" s="1" t="n">
        <v>45596</v>
      </c>
      <c r="C84" s="1" t="n">
        <v>46203</v>
      </c>
      <c r="D84" t="inlineStr">
        <is>
          <t>DALARNAS LÄN</t>
        </is>
      </c>
      <c r="E84" t="inlineStr">
        <is>
          <t>SÄTER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21583-2025</t>
        </is>
      </c>
      <c r="B85" s="1" t="n">
        <v>45783</v>
      </c>
      <c r="C85" s="1" t="n">
        <v>46203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19322-2024</t>
        </is>
      </c>
      <c r="B86" s="1" t="n">
        <v>45428</v>
      </c>
      <c r="C86" s="1" t="n">
        <v>46203</v>
      </c>
      <c r="D86" t="inlineStr">
        <is>
          <t>DALARNAS LÄN</t>
        </is>
      </c>
      <c r="E86" t="inlineStr">
        <is>
          <t>SÄTER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50649-2025</t>
        </is>
      </c>
      <c r="B87" s="1" t="n">
        <v>45945</v>
      </c>
      <c r="C87" s="1" t="n">
        <v>46203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45225-2022</t>
        </is>
      </c>
      <c r="B88" s="1" t="n">
        <v>44840</v>
      </c>
      <c r="C88" s="1" t="n">
        <v>46203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19767-2024</t>
        </is>
      </c>
      <c r="B89" s="1" t="n">
        <v>45432</v>
      </c>
      <c r="C89" s="1" t="n">
        <v>46203</v>
      </c>
      <c r="D89" t="inlineStr">
        <is>
          <t>DALARNAS LÄN</t>
        </is>
      </c>
      <c r="E89" t="inlineStr">
        <is>
          <t>SÄTER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20337-2024</t>
        </is>
      </c>
      <c r="B90" s="1" t="n">
        <v>45435</v>
      </c>
      <c r="C90" s="1" t="n">
        <v>46203</v>
      </c>
      <c r="D90" t="inlineStr">
        <is>
          <t>DALARNAS LÄN</t>
        </is>
      </c>
      <c r="E90" t="inlineStr">
        <is>
          <t>SÄTER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50533-2025</t>
        </is>
      </c>
      <c r="B91" s="1" t="n">
        <v>45945</v>
      </c>
      <c r="C91" s="1" t="n">
        <v>46203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22970-2025</t>
        </is>
      </c>
      <c r="B92" s="1" t="n">
        <v>45790</v>
      </c>
      <c r="C92" s="1" t="n">
        <v>46203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54440-2022</t>
        </is>
      </c>
      <c r="B93" s="1" t="n">
        <v>44882</v>
      </c>
      <c r="C93" s="1" t="n">
        <v>46203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51824-2025</t>
        </is>
      </c>
      <c r="B94" s="1" t="n">
        <v>45951</v>
      </c>
      <c r="C94" s="1" t="n">
        <v>46203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51826-2025</t>
        </is>
      </c>
      <c r="B95" s="1" t="n">
        <v>45951</v>
      </c>
      <c r="C95" s="1" t="n">
        <v>46203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52422-2025</t>
        </is>
      </c>
      <c r="B96" s="1" t="n">
        <v>45954</v>
      </c>
      <c r="C96" s="1" t="n">
        <v>46203</v>
      </c>
      <c r="D96" t="inlineStr">
        <is>
          <t>DALARNAS LÄN</t>
        </is>
      </c>
      <c r="E96" t="inlineStr">
        <is>
          <t>SÄTER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6640-2025</t>
        </is>
      </c>
      <c r="B97" s="1" t="n">
        <v>45700</v>
      </c>
      <c r="C97" s="1" t="n">
        <v>46203</v>
      </c>
      <c r="D97" t="inlineStr">
        <is>
          <t>DALARNAS LÄN</t>
        </is>
      </c>
      <c r="E97" t="inlineStr">
        <is>
          <t>SÄTER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51405-2022</t>
        </is>
      </c>
      <c r="B98" s="1" t="n">
        <v>44869</v>
      </c>
      <c r="C98" s="1" t="n">
        <v>46203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36939-2025</t>
        </is>
      </c>
      <c r="B99" s="1" t="n">
        <v>45874</v>
      </c>
      <c r="C99" s="1" t="n">
        <v>46203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1123-2025</t>
        </is>
      </c>
      <c r="B100" s="1" t="n">
        <v>45666</v>
      </c>
      <c r="C100" s="1" t="n">
        <v>46203</v>
      </c>
      <c r="D100" t="inlineStr">
        <is>
          <t>DALARNAS LÄN</t>
        </is>
      </c>
      <c r="E100" t="inlineStr">
        <is>
          <t>SÄTER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10404-2024</t>
        </is>
      </c>
      <c r="B101" s="1" t="n">
        <v>45365</v>
      </c>
      <c r="C101" s="1" t="n">
        <v>46203</v>
      </c>
      <c r="D101" t="inlineStr">
        <is>
          <t>DALARNAS LÄN</t>
        </is>
      </c>
      <c r="E101" t="inlineStr">
        <is>
          <t>SÄTER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21911-2024</t>
        </is>
      </c>
      <c r="B102" s="1" t="n">
        <v>45443</v>
      </c>
      <c r="C102" s="1" t="n">
        <v>46203</v>
      </c>
      <c r="D102" t="inlineStr">
        <is>
          <t>DALARNAS LÄN</t>
        </is>
      </c>
      <c r="E102" t="inlineStr">
        <is>
          <t>SÄTER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53559-2025</t>
        </is>
      </c>
      <c r="B103" s="1" t="n">
        <v>45960</v>
      </c>
      <c r="C103" s="1" t="n">
        <v>46203</v>
      </c>
      <c r="D103" t="inlineStr">
        <is>
          <t>DALARNAS LÄN</t>
        </is>
      </c>
      <c r="E103" t="inlineStr">
        <is>
          <t>SÄTER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53540-2025</t>
        </is>
      </c>
      <c r="B104" s="1" t="n">
        <v>45960</v>
      </c>
      <c r="C104" s="1" t="n">
        <v>46203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33482-2023</t>
        </is>
      </c>
      <c r="B105" s="1" t="n">
        <v>45118</v>
      </c>
      <c r="C105" s="1" t="n">
        <v>46203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37440-2022</t>
        </is>
      </c>
      <c r="B106" s="1" t="n">
        <v>44809</v>
      </c>
      <c r="C106" s="1" t="n">
        <v>46203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16832-2024</t>
        </is>
      </c>
      <c r="B107" s="1" t="n">
        <v>45411</v>
      </c>
      <c r="C107" s="1" t="n">
        <v>46203</v>
      </c>
      <c r="D107" t="inlineStr">
        <is>
          <t>DALARNAS LÄN</t>
        </is>
      </c>
      <c r="E107" t="inlineStr">
        <is>
          <t>SÄTER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23810-2024</t>
        </is>
      </c>
      <c r="B108" s="1" t="n">
        <v>45455</v>
      </c>
      <c r="C108" s="1" t="n">
        <v>46203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53878-2025</t>
        </is>
      </c>
      <c r="B109" s="1" t="n">
        <v>45961</v>
      </c>
      <c r="C109" s="1" t="n">
        <v>46203</v>
      </c>
      <c r="D109" t="inlineStr">
        <is>
          <t>DALARNAS LÄN</t>
        </is>
      </c>
      <c r="E109" t="inlineStr">
        <is>
          <t>SÄTER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42674-2025</t>
        </is>
      </c>
      <c r="B110" s="1" t="n">
        <v>45905</v>
      </c>
      <c r="C110" s="1" t="n">
        <v>46203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54246-2025</t>
        </is>
      </c>
      <c r="B111" s="1" t="n">
        <v>45964</v>
      </c>
      <c r="C111" s="1" t="n">
        <v>46203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42691-2025</t>
        </is>
      </c>
      <c r="B112" s="1" t="n">
        <v>45905</v>
      </c>
      <c r="C112" s="1" t="n">
        <v>46203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25294-2024</t>
        </is>
      </c>
      <c r="B113" s="1" t="n">
        <v>45462</v>
      </c>
      <c r="C113" s="1" t="n">
        <v>46203</v>
      </c>
      <c r="D113" t="inlineStr">
        <is>
          <t>DALARNAS LÄN</t>
        </is>
      </c>
      <c r="E113" t="inlineStr">
        <is>
          <t>SÄTER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12285-2024</t>
        </is>
      </c>
      <c r="B114" s="1" t="n">
        <v>45377</v>
      </c>
      <c r="C114" s="1" t="n">
        <v>46203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59707-2022</t>
        </is>
      </c>
      <c r="B115" s="1" t="n">
        <v>44908</v>
      </c>
      <c r="C115" s="1" t="n">
        <v>46203</v>
      </c>
      <c r="D115" t="inlineStr">
        <is>
          <t>DALARNAS LÄN</t>
        </is>
      </c>
      <c r="E115" t="inlineStr">
        <is>
          <t>SÄTER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49661-2021</t>
        </is>
      </c>
      <c r="B116" s="1" t="n">
        <v>44455</v>
      </c>
      <c r="C116" s="1" t="n">
        <v>46203</v>
      </c>
      <c r="D116" t="inlineStr">
        <is>
          <t>DALARNAS LÄN</t>
        </is>
      </c>
      <c r="E116" t="inlineStr">
        <is>
          <t>SÄTER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43553-2025</t>
        </is>
      </c>
      <c r="B117" s="1" t="n">
        <v>45911</v>
      </c>
      <c r="C117" s="1" t="n">
        <v>46203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55621-2025</t>
        </is>
      </c>
      <c r="B118" s="1" t="n">
        <v>45971</v>
      </c>
      <c r="C118" s="1" t="n">
        <v>46203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25793-2025</t>
        </is>
      </c>
      <c r="B119" s="1" t="n">
        <v>45804</v>
      </c>
      <c r="C119" s="1" t="n">
        <v>46203</v>
      </c>
      <c r="D119" t="inlineStr">
        <is>
          <t>DALARNAS LÄN</t>
        </is>
      </c>
      <c r="E119" t="inlineStr">
        <is>
          <t>SÄTER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26057-2025</t>
        </is>
      </c>
      <c r="B120" s="1" t="n">
        <v>45804</v>
      </c>
      <c r="C120" s="1" t="n">
        <v>46203</v>
      </c>
      <c r="D120" t="inlineStr">
        <is>
          <t>DALARNAS LÄN</t>
        </is>
      </c>
      <c r="E120" t="inlineStr">
        <is>
          <t>SÄTER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</v>
      </c>
      <c r="C121" s="1" t="n">
        <v>46203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32886-2022</t>
        </is>
      </c>
      <c r="B122" s="1" t="n">
        <v>44784</v>
      </c>
      <c r="C122" s="1" t="n">
        <v>46203</v>
      </c>
      <c r="D122" t="inlineStr">
        <is>
          <t>DALARNAS LÄN</t>
        </is>
      </c>
      <c r="E122" t="inlineStr">
        <is>
          <t>SÄTER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27057-2025</t>
        </is>
      </c>
      <c r="B123" s="1" t="n">
        <v>45811</v>
      </c>
      <c r="C123" s="1" t="n">
        <v>46203</v>
      </c>
      <c r="D123" t="inlineStr">
        <is>
          <t>DALARNAS LÄN</t>
        </is>
      </c>
      <c r="E123" t="inlineStr">
        <is>
          <t>SÄTER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39780-2024</t>
        </is>
      </c>
      <c r="B124" s="1" t="n">
        <v>45552</v>
      </c>
      <c r="C124" s="1" t="n">
        <v>46203</v>
      </c>
      <c r="D124" t="inlineStr">
        <is>
          <t>DALARNAS LÄN</t>
        </is>
      </c>
      <c r="E124" t="inlineStr">
        <is>
          <t>SÄTER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27006-2025</t>
        </is>
      </c>
      <c r="B125" s="1" t="n">
        <v>45811</v>
      </c>
      <c r="C125" s="1" t="n">
        <v>46203</v>
      </c>
      <c r="D125" t="inlineStr">
        <is>
          <t>DALARNAS LÄN</t>
        </is>
      </c>
      <c r="E125" t="inlineStr">
        <is>
          <t>SÄTER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19747-2025</t>
        </is>
      </c>
      <c r="B126" s="1" t="n">
        <v>45771</v>
      </c>
      <c r="C126" s="1" t="n">
        <v>46203</v>
      </c>
      <c r="D126" t="inlineStr">
        <is>
          <t>DALARNAS LÄN</t>
        </is>
      </c>
      <c r="E126" t="inlineStr">
        <is>
          <t>SÄTER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46494-2025</t>
        </is>
      </c>
      <c r="B127" s="1" t="n">
        <v>45925</v>
      </c>
      <c r="C127" s="1" t="n">
        <v>46203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46495-2025</t>
        </is>
      </c>
      <c r="B128" s="1" t="n">
        <v>45925</v>
      </c>
      <c r="C128" s="1" t="n">
        <v>46203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41.4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47280-2025</t>
        </is>
      </c>
      <c r="B129" s="1" t="n">
        <v>45930</v>
      </c>
      <c r="C129" s="1" t="n">
        <v>46203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46891-2025</t>
        </is>
      </c>
      <c r="B130" s="1" t="n">
        <v>45929</v>
      </c>
      <c r="C130" s="1" t="n">
        <v>46203</v>
      </c>
      <c r="D130" t="inlineStr">
        <is>
          <t>DALARNAS LÄN</t>
        </is>
      </c>
      <c r="E130" t="inlineStr">
        <is>
          <t>SÄTER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58325-2025</t>
        </is>
      </c>
      <c r="B131" s="1" t="n">
        <v>45985</v>
      </c>
      <c r="C131" s="1" t="n">
        <v>46203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28852-2025</t>
        </is>
      </c>
      <c r="B132" s="1" t="n">
        <v>45820</v>
      </c>
      <c r="C132" s="1" t="n">
        <v>46203</v>
      </c>
      <c r="D132" t="inlineStr">
        <is>
          <t>DALARNAS LÄN</t>
        </is>
      </c>
      <c r="E132" t="inlineStr">
        <is>
          <t>SÄTER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64565-2023</t>
        </is>
      </c>
      <c r="B133" s="1" t="n">
        <v>45281</v>
      </c>
      <c r="C133" s="1" t="n">
        <v>46203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64610-2023</t>
        </is>
      </c>
      <c r="B134" s="1" t="n">
        <v>45281</v>
      </c>
      <c r="C134" s="1" t="n">
        <v>46203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53706-2025</t>
        </is>
      </c>
      <c r="B135" s="1" t="n">
        <v>45960</v>
      </c>
      <c r="C135" s="1" t="n">
        <v>46203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29522-2025</t>
        </is>
      </c>
      <c r="B136" s="1" t="n">
        <v>45825</v>
      </c>
      <c r="C136" s="1" t="n">
        <v>46203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59854-2025</t>
        </is>
      </c>
      <c r="B137" s="1" t="n">
        <v>45992</v>
      </c>
      <c r="C137" s="1" t="n">
        <v>46203</v>
      </c>
      <c r="D137" t="inlineStr">
        <is>
          <t>DALARNAS LÄN</t>
        </is>
      </c>
      <c r="E137" t="inlineStr">
        <is>
          <t>SÄTER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16840-2024</t>
        </is>
      </c>
      <c r="B138" s="1" t="n">
        <v>45411</v>
      </c>
      <c r="C138" s="1" t="n">
        <v>46203</v>
      </c>
      <c r="D138" t="inlineStr">
        <is>
          <t>DALARNAS LÄN</t>
        </is>
      </c>
      <c r="E138" t="inlineStr">
        <is>
          <t>SÄTER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59974-2025</t>
        </is>
      </c>
      <c r="B139" s="1" t="n">
        <v>45993</v>
      </c>
      <c r="C139" s="1" t="n">
        <v>46203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4407-2023</t>
        </is>
      </c>
      <c r="B140" s="1" t="n">
        <v>44956</v>
      </c>
      <c r="C140" s="1" t="n">
        <v>46203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61228-2025</t>
        </is>
      </c>
      <c r="B141" s="1" t="n">
        <v>46000</v>
      </c>
      <c r="C141" s="1" t="n">
        <v>46203</v>
      </c>
      <c r="D141" t="inlineStr">
        <is>
          <t>DALARNAS LÄN</t>
        </is>
      </c>
      <c r="E141" t="inlineStr">
        <is>
          <t>SÄTER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64788-2023</t>
        </is>
      </c>
      <c r="B142" s="1" t="n">
        <v>45282</v>
      </c>
      <c r="C142" s="1" t="n">
        <v>46203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63350-2025</t>
        </is>
      </c>
      <c r="B143" s="1" t="n">
        <v>46010</v>
      </c>
      <c r="C143" s="1" t="n">
        <v>46203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5698-2024</t>
        </is>
      </c>
      <c r="B144" s="1" t="n">
        <v>45334</v>
      </c>
      <c r="C144" s="1" t="n">
        <v>46203</v>
      </c>
      <c r="D144" t="inlineStr">
        <is>
          <t>DALARNAS LÄN</t>
        </is>
      </c>
      <c r="E144" t="inlineStr">
        <is>
          <t>SÄTER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51323-2024</t>
        </is>
      </c>
      <c r="B145" s="1" t="n">
        <v>45604</v>
      </c>
      <c r="C145" s="1" t="n">
        <v>46203</v>
      </c>
      <c r="D145" t="inlineStr">
        <is>
          <t>DALARNAS LÄN</t>
        </is>
      </c>
      <c r="E145" t="inlineStr">
        <is>
          <t>SÄTER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63684-2025</t>
        </is>
      </c>
      <c r="B146" s="1" t="n">
        <v>46014</v>
      </c>
      <c r="C146" s="1" t="n">
        <v>46203</v>
      </c>
      <c r="D146" t="inlineStr">
        <is>
          <t>DALARNAS LÄN</t>
        </is>
      </c>
      <c r="E146" t="inlineStr">
        <is>
          <t>SÄTER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1276-2022</t>
        </is>
      </c>
      <c r="B147" s="1" t="n">
        <v>44572</v>
      </c>
      <c r="C147" s="1" t="n">
        <v>46203</v>
      </c>
      <c r="D147" t="inlineStr">
        <is>
          <t>DALARNAS LÄN</t>
        </is>
      </c>
      <c r="E147" t="inlineStr">
        <is>
          <t>SÄTER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35409-2025</t>
        </is>
      </c>
      <c r="B148" s="1" t="n">
        <v>45855</v>
      </c>
      <c r="C148" s="1" t="n">
        <v>46203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35410-2025</t>
        </is>
      </c>
      <c r="B149" s="1" t="n">
        <v>45855</v>
      </c>
      <c r="C149" s="1" t="n">
        <v>46203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50501-2022</t>
        </is>
      </c>
      <c r="B150" s="1" t="n">
        <v>44866</v>
      </c>
      <c r="C150" s="1" t="n">
        <v>46203</v>
      </c>
      <c r="D150" t="inlineStr">
        <is>
          <t>DALARNAS LÄN</t>
        </is>
      </c>
      <c r="E150" t="inlineStr">
        <is>
          <t>SÄTER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49586-2025</t>
        </is>
      </c>
      <c r="B151" s="1" t="n">
        <v>45939</v>
      </c>
      <c r="C151" s="1" t="n">
        <v>46203</v>
      </c>
      <c r="D151" t="inlineStr">
        <is>
          <t>DALARNAS LÄN</t>
        </is>
      </c>
      <c r="E151" t="inlineStr">
        <is>
          <t>SÄTER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264-2026</t>
        </is>
      </c>
      <c r="B152" s="1" t="n">
        <v>46027</v>
      </c>
      <c r="C152" s="1" t="n">
        <v>46203</v>
      </c>
      <c r="D152" t="inlineStr">
        <is>
          <t>DALARNAS LÄN</t>
        </is>
      </c>
      <c r="E152" t="inlineStr">
        <is>
          <t>SÄTER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220-2026</t>
        </is>
      </c>
      <c r="B153" s="1" t="n">
        <v>46026</v>
      </c>
      <c r="C153" s="1" t="n">
        <v>46203</v>
      </c>
      <c r="D153" t="inlineStr">
        <is>
          <t>DALARNAS LÄN</t>
        </is>
      </c>
      <c r="E153" t="inlineStr">
        <is>
          <t>SÄTER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5543-2022</t>
        </is>
      </c>
      <c r="B154" s="1" t="n">
        <v>44595</v>
      </c>
      <c r="C154" s="1" t="n">
        <v>46203</v>
      </c>
      <c r="D154" t="inlineStr">
        <is>
          <t>DALARNAS LÄN</t>
        </is>
      </c>
      <c r="E154" t="inlineStr">
        <is>
          <t>SÄTER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8117-2022</t>
        </is>
      </c>
      <c r="B155" s="1" t="n">
        <v>44609</v>
      </c>
      <c r="C155" s="1" t="n">
        <v>46203</v>
      </c>
      <c r="D155" t="inlineStr">
        <is>
          <t>DALARNAS LÄN</t>
        </is>
      </c>
      <c r="E155" t="inlineStr">
        <is>
          <t>SÄTER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46203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987-2026</t>
        </is>
      </c>
      <c r="B157" s="1" t="n">
        <v>46030</v>
      </c>
      <c r="C157" s="1" t="n">
        <v>46203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41556-2021</t>
        </is>
      </c>
      <c r="B158" s="1" t="n">
        <v>44425</v>
      </c>
      <c r="C158" s="1" t="n">
        <v>46203</v>
      </c>
      <c r="D158" t="inlineStr">
        <is>
          <t>DALARNAS LÄN</t>
        </is>
      </c>
      <c r="E158" t="inlineStr">
        <is>
          <t>SÄTER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7562-2023</t>
        </is>
      </c>
      <c r="B159" s="1" t="n">
        <v>44972</v>
      </c>
      <c r="C159" s="1" t="n">
        <v>46203</v>
      </c>
      <c r="D159" t="inlineStr">
        <is>
          <t>DALARNAS LÄN</t>
        </is>
      </c>
      <c r="E159" t="inlineStr">
        <is>
          <t>SÄTER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1326-2026</t>
        </is>
      </c>
      <c r="B160" s="1" t="n">
        <v>46031</v>
      </c>
      <c r="C160" s="1" t="n">
        <v>46203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1343-2026</t>
        </is>
      </c>
      <c r="B161" s="1" t="n">
        <v>46031</v>
      </c>
      <c r="C161" s="1" t="n">
        <v>46203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52161-2025</t>
        </is>
      </c>
      <c r="B162" s="1" t="n">
        <v>45953</v>
      </c>
      <c r="C162" s="1" t="n">
        <v>46203</v>
      </c>
      <c r="D162" t="inlineStr">
        <is>
          <t>DALARNAS LÄN</t>
        </is>
      </c>
      <c r="E162" t="inlineStr">
        <is>
          <t>SÄTER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36549-2025</t>
        </is>
      </c>
      <c r="B163" s="1" t="n">
        <v>45870</v>
      </c>
      <c r="C163" s="1" t="n">
        <v>46203</v>
      </c>
      <c r="D163" t="inlineStr">
        <is>
          <t>DALARNAS LÄN</t>
        </is>
      </c>
      <c r="E163" t="inlineStr">
        <is>
          <t>SÄTER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2047-2026</t>
        </is>
      </c>
      <c r="B164" s="1" t="n">
        <v>46031</v>
      </c>
      <c r="C164" s="1" t="n">
        <v>46203</v>
      </c>
      <c r="D164" t="inlineStr">
        <is>
          <t>DALARNAS LÄN</t>
        </is>
      </c>
      <c r="E164" t="inlineStr">
        <is>
          <t>SÄTER</t>
        </is>
      </c>
      <c r="F164" t="inlineStr">
        <is>
          <t>Kommuner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1711-2026</t>
        </is>
      </c>
      <c r="B165" s="1" t="n">
        <v>46034</v>
      </c>
      <c r="C165" s="1" t="n">
        <v>46203</v>
      </c>
      <c r="D165" t="inlineStr">
        <is>
          <t>DALARNAS LÄN</t>
        </is>
      </c>
      <c r="E165" t="inlineStr">
        <is>
          <t>SÄTER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2087-2026</t>
        </is>
      </c>
      <c r="B166" s="1" t="n">
        <v>46036</v>
      </c>
      <c r="C166" s="1" t="n">
        <v>46203</v>
      </c>
      <c r="D166" t="inlineStr">
        <is>
          <t>DALARNAS LÄN</t>
        </is>
      </c>
      <c r="E166" t="inlineStr">
        <is>
          <t>SÄTER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2298-2026</t>
        </is>
      </c>
      <c r="B167" s="1" t="n">
        <v>46036</v>
      </c>
      <c r="C167" s="1" t="n">
        <v>46203</v>
      </c>
      <c r="D167" t="inlineStr">
        <is>
          <t>DALARNAS LÄN</t>
        </is>
      </c>
      <c r="E167" t="inlineStr">
        <is>
          <t>SÄTER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2098-2026</t>
        </is>
      </c>
      <c r="B168" s="1" t="n">
        <v>46036</v>
      </c>
      <c r="C168" s="1" t="n">
        <v>46203</v>
      </c>
      <c r="D168" t="inlineStr">
        <is>
          <t>DALARNAS LÄN</t>
        </is>
      </c>
      <c r="E168" t="inlineStr">
        <is>
          <t>SÄTER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2169-2026</t>
        </is>
      </c>
      <c r="B169" s="1" t="n">
        <v>46036</v>
      </c>
      <c r="C169" s="1" t="n">
        <v>46203</v>
      </c>
      <c r="D169" t="inlineStr">
        <is>
          <t>DALARNAS LÄN</t>
        </is>
      </c>
      <c r="E169" t="inlineStr">
        <is>
          <t>SÄTER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2507-2026</t>
        </is>
      </c>
      <c r="B170" s="1" t="n">
        <v>46037</v>
      </c>
      <c r="C170" s="1" t="n">
        <v>46203</v>
      </c>
      <c r="D170" t="inlineStr">
        <is>
          <t>DALARNAS LÄN</t>
        </is>
      </c>
      <c r="E170" t="inlineStr">
        <is>
          <t>SÄTER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37075-2025</t>
        </is>
      </c>
      <c r="B171" s="1" t="n">
        <v>45875</v>
      </c>
      <c r="C171" s="1" t="n">
        <v>46203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34196-2023</t>
        </is>
      </c>
      <c r="B172" s="1" t="n">
        <v>45138</v>
      </c>
      <c r="C172" s="1" t="n">
        <v>46203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3423-2026</t>
        </is>
      </c>
      <c r="B173" s="1" t="n">
        <v>46042</v>
      </c>
      <c r="C173" s="1" t="n">
        <v>46203</v>
      </c>
      <c r="D173" t="inlineStr">
        <is>
          <t>DALARNAS LÄN</t>
        </is>
      </c>
      <c r="E173" t="inlineStr">
        <is>
          <t>SÄTER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3445-2026</t>
        </is>
      </c>
      <c r="B174" s="1" t="n">
        <v>46042</v>
      </c>
      <c r="C174" s="1" t="n">
        <v>46203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3342-2022</t>
        </is>
      </c>
      <c r="B175" s="1" t="n">
        <v>44585</v>
      </c>
      <c r="C175" s="1" t="n">
        <v>46203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4346-2026</t>
        </is>
      </c>
      <c r="B176" s="1" t="n">
        <v>46045</v>
      </c>
      <c r="C176" s="1" t="n">
        <v>46203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4345-2026</t>
        </is>
      </c>
      <c r="B177" s="1" t="n">
        <v>46045</v>
      </c>
      <c r="C177" s="1" t="n">
        <v>46203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39262-2021</t>
        </is>
      </c>
      <c r="B178" s="1" t="n">
        <v>44413</v>
      </c>
      <c r="C178" s="1" t="n">
        <v>46203</v>
      </c>
      <c r="D178" t="inlineStr">
        <is>
          <t>DALARNAS LÄN</t>
        </is>
      </c>
      <c r="E178" t="inlineStr">
        <is>
          <t>SÄTER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55428-2025</t>
        </is>
      </c>
      <c r="B179" s="1" t="n">
        <v>45971</v>
      </c>
      <c r="C179" s="1" t="n">
        <v>46203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5723-2026</t>
        </is>
      </c>
      <c r="B180" s="1" t="n">
        <v>46051</v>
      </c>
      <c r="C180" s="1" t="n">
        <v>46203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59386-2024</t>
        </is>
      </c>
      <c r="B181" s="1" t="n">
        <v>45638</v>
      </c>
      <c r="C181" s="1" t="n">
        <v>46203</v>
      </c>
      <c r="D181" t="inlineStr">
        <is>
          <t>DALARNAS LÄN</t>
        </is>
      </c>
      <c r="E181" t="inlineStr">
        <is>
          <t>SÄTER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42806-2024</t>
        </is>
      </c>
      <c r="B182" s="1" t="n">
        <v>45566</v>
      </c>
      <c r="C182" s="1" t="n">
        <v>46203</v>
      </c>
      <c r="D182" t="inlineStr">
        <is>
          <t>DALARNAS LÄN</t>
        </is>
      </c>
      <c r="E182" t="inlineStr">
        <is>
          <t>SÄTER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6845-2026</t>
        </is>
      </c>
      <c r="B183" s="1" t="n">
        <v>46057</v>
      </c>
      <c r="C183" s="1" t="n">
        <v>46203</v>
      </c>
      <c r="D183" t="inlineStr">
        <is>
          <t>DALARNAS LÄN</t>
        </is>
      </c>
      <c r="E183" t="inlineStr">
        <is>
          <t>SÄTER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6856-2026</t>
        </is>
      </c>
      <c r="B184" s="1" t="n">
        <v>46057</v>
      </c>
      <c r="C184" s="1" t="n">
        <v>46203</v>
      </c>
      <c r="D184" t="inlineStr">
        <is>
          <t>DALARNAS LÄN</t>
        </is>
      </c>
      <c r="E184" t="inlineStr">
        <is>
          <t>SÄTER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8355-2026</t>
        </is>
      </c>
      <c r="B185" s="1" t="n">
        <v>46064</v>
      </c>
      <c r="C185" s="1" t="n">
        <v>46203</v>
      </c>
      <c r="D185" t="inlineStr">
        <is>
          <t>DALARNAS LÄN</t>
        </is>
      </c>
      <c r="E185" t="inlineStr">
        <is>
          <t>SÄTER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8435-2026</t>
        </is>
      </c>
      <c r="B186" s="1" t="n">
        <v>46065</v>
      </c>
      <c r="C186" s="1" t="n">
        <v>46203</v>
      </c>
      <c r="D186" t="inlineStr">
        <is>
          <t>DALARNAS LÄN</t>
        </is>
      </c>
      <c r="E186" t="inlineStr">
        <is>
          <t>SÄTER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35163-2023</t>
        </is>
      </c>
      <c r="B187" s="1" t="n">
        <v>45145</v>
      </c>
      <c r="C187" s="1" t="n">
        <v>46203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8810-2026</t>
        </is>
      </c>
      <c r="B188" s="1" t="n">
        <v>46066</v>
      </c>
      <c r="C188" s="1" t="n">
        <v>46203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43770-2024</t>
        </is>
      </c>
      <c r="B189" s="1" t="n">
        <v>45569</v>
      </c>
      <c r="C189" s="1" t="n">
        <v>46203</v>
      </c>
      <c r="D189" t="inlineStr">
        <is>
          <t>DALARNAS LÄN</t>
        </is>
      </c>
      <c r="E189" t="inlineStr">
        <is>
          <t>SÄTER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10214-2026</t>
        </is>
      </c>
      <c r="B190" s="1" t="n">
        <v>46076</v>
      </c>
      <c r="C190" s="1" t="n">
        <v>46203</v>
      </c>
      <c r="D190" t="inlineStr">
        <is>
          <t>DALARNAS LÄN</t>
        </is>
      </c>
      <c r="E190" t="inlineStr">
        <is>
          <t>SÄTER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10146-2026</t>
        </is>
      </c>
      <c r="B191" s="1" t="n">
        <v>46076</v>
      </c>
      <c r="C191" s="1" t="n">
        <v>46203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10173-2026</t>
        </is>
      </c>
      <c r="B192" s="1" t="n">
        <v>46076</v>
      </c>
      <c r="C192" s="1" t="n">
        <v>46203</v>
      </c>
      <c r="D192" t="inlineStr">
        <is>
          <t>DALARNAS LÄN</t>
        </is>
      </c>
      <c r="E192" t="inlineStr">
        <is>
          <t>SÄTER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63377-2025</t>
        </is>
      </c>
      <c r="B193" s="1" t="n">
        <v>46010</v>
      </c>
      <c r="C193" s="1" t="n">
        <v>46203</v>
      </c>
      <c r="D193" t="inlineStr">
        <is>
          <t>DALARNAS LÄN</t>
        </is>
      </c>
      <c r="E193" t="inlineStr">
        <is>
          <t>SÄTER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11405-2026</t>
        </is>
      </c>
      <c r="B194" s="1" t="n">
        <v>46083</v>
      </c>
      <c r="C194" s="1" t="n">
        <v>46203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14931-2024</t>
        </is>
      </c>
      <c r="B195" s="1" t="n">
        <v>45398</v>
      </c>
      <c r="C195" s="1" t="n">
        <v>46203</v>
      </c>
      <c r="D195" t="inlineStr">
        <is>
          <t>DALARNAS LÄN</t>
        </is>
      </c>
      <c r="E195" t="inlineStr">
        <is>
          <t>SÄTER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45476-2024</t>
        </is>
      </c>
      <c r="B196" s="1" t="n">
        <v>45576</v>
      </c>
      <c r="C196" s="1" t="n">
        <v>46203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10552-2026</t>
        </is>
      </c>
      <c r="B197" s="1" t="n">
        <v>46077</v>
      </c>
      <c r="C197" s="1" t="n">
        <v>46203</v>
      </c>
      <c r="D197" t="inlineStr">
        <is>
          <t>DALARNAS LÄN</t>
        </is>
      </c>
      <c r="E197" t="inlineStr">
        <is>
          <t>SÄTER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40671-2023</t>
        </is>
      </c>
      <c r="B198" s="1" t="n">
        <v>45170</v>
      </c>
      <c r="C198" s="1" t="n">
        <v>46203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42998-2023</t>
        </is>
      </c>
      <c r="B199" s="1" t="n">
        <v>45182</v>
      </c>
      <c r="C199" s="1" t="n">
        <v>46203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12322-2026</t>
        </is>
      </c>
      <c r="B200" s="1" t="n">
        <v>46087</v>
      </c>
      <c r="C200" s="1" t="n">
        <v>46203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11533-2026</t>
        </is>
      </c>
      <c r="B201" s="1" t="n">
        <v>46083</v>
      </c>
      <c r="C201" s="1" t="n">
        <v>46203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13265-2026</t>
        </is>
      </c>
      <c r="B202" s="1" t="n">
        <v>46093</v>
      </c>
      <c r="C202" s="1" t="n">
        <v>46203</v>
      </c>
      <c r="D202" t="inlineStr">
        <is>
          <t>DALARNAS LÄN</t>
        </is>
      </c>
      <c r="E202" t="inlineStr">
        <is>
          <t>SÄTER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12965-2026</t>
        </is>
      </c>
      <c r="B203" s="1" t="n">
        <v>46092</v>
      </c>
      <c r="C203" s="1" t="n">
        <v>46203</v>
      </c>
      <c r="D203" t="inlineStr">
        <is>
          <t>DALARNAS LÄN</t>
        </is>
      </c>
      <c r="E203" t="inlineStr">
        <is>
          <t>SÄTER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12957-2026</t>
        </is>
      </c>
      <c r="B204" s="1" t="n">
        <v>46092</v>
      </c>
      <c r="C204" s="1" t="n">
        <v>46203</v>
      </c>
      <c r="D204" t="inlineStr">
        <is>
          <t>DALARNAS LÄN</t>
        </is>
      </c>
      <c r="E204" t="inlineStr">
        <is>
          <t>SÄTER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51320-2024</t>
        </is>
      </c>
      <c r="B205" s="1" t="n">
        <v>45604</v>
      </c>
      <c r="C205" s="1" t="n">
        <v>46203</v>
      </c>
      <c r="D205" t="inlineStr">
        <is>
          <t>DALARNAS LÄN</t>
        </is>
      </c>
      <c r="E205" t="inlineStr">
        <is>
          <t>SÄTER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51324-2024</t>
        </is>
      </c>
      <c r="B206" s="1" t="n">
        <v>45604</v>
      </c>
      <c r="C206" s="1" t="n">
        <v>46203</v>
      </c>
      <c r="D206" t="inlineStr">
        <is>
          <t>DALARNAS LÄN</t>
        </is>
      </c>
      <c r="E206" t="inlineStr">
        <is>
          <t>SÄTER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21696-2023</t>
        </is>
      </c>
      <c r="B207" s="1" t="n">
        <v>45063</v>
      </c>
      <c r="C207" s="1" t="n">
        <v>46203</v>
      </c>
      <c r="D207" t="inlineStr">
        <is>
          <t>DALARNAS LÄN</t>
        </is>
      </c>
      <c r="E207" t="inlineStr">
        <is>
          <t>SÄTER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23262-2024</t>
        </is>
      </c>
      <c r="B208" s="1" t="n">
        <v>45453</v>
      </c>
      <c r="C208" s="1" t="n">
        <v>46203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13532-2026</t>
        </is>
      </c>
      <c r="B209" s="1" t="n">
        <v>46094</v>
      </c>
      <c r="C209" s="1" t="n">
        <v>46203</v>
      </c>
      <c r="D209" t="inlineStr">
        <is>
          <t>DALARNAS LÄN</t>
        </is>
      </c>
      <c r="E209" t="inlineStr">
        <is>
          <t>SÄTER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13526-2026</t>
        </is>
      </c>
      <c r="B210" s="1" t="n">
        <v>46094</v>
      </c>
      <c r="C210" s="1" t="n">
        <v>46203</v>
      </c>
      <c r="D210" t="inlineStr">
        <is>
          <t>DALARNAS LÄN</t>
        </is>
      </c>
      <c r="E210" t="inlineStr">
        <is>
          <t>SÄTER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13888-2026</t>
        </is>
      </c>
      <c r="B211" s="1" t="n">
        <v>46098</v>
      </c>
      <c r="C211" s="1" t="n">
        <v>46203</v>
      </c>
      <c r="D211" t="inlineStr">
        <is>
          <t>DALARNAS LÄN</t>
        </is>
      </c>
      <c r="E211" t="inlineStr">
        <is>
          <t>SÄTER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13899-2026</t>
        </is>
      </c>
      <c r="B212" s="1" t="n">
        <v>46098</v>
      </c>
      <c r="C212" s="1" t="n">
        <v>46203</v>
      </c>
      <c r="D212" t="inlineStr">
        <is>
          <t>DALARNAS LÄN</t>
        </is>
      </c>
      <c r="E212" t="inlineStr">
        <is>
          <t>SÄTER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56823-2024</t>
        </is>
      </c>
      <c r="B213" s="1" t="n">
        <v>45628</v>
      </c>
      <c r="C213" s="1" t="n">
        <v>46203</v>
      </c>
      <c r="D213" t="inlineStr">
        <is>
          <t>DALARNAS LÄN</t>
        </is>
      </c>
      <c r="E213" t="inlineStr">
        <is>
          <t>SÄTER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</v>
      </c>
      <c r="C214" s="1" t="n">
        <v>46203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</v>
      </c>
      <c r="C215" s="1" t="n">
        <v>46203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59390-2024</t>
        </is>
      </c>
      <c r="B216" s="1" t="n">
        <v>45638</v>
      </c>
      <c r="C216" s="1" t="n">
        <v>46203</v>
      </c>
      <c r="D216" t="inlineStr">
        <is>
          <t>DALARNAS LÄN</t>
        </is>
      </c>
      <c r="E216" t="inlineStr">
        <is>
          <t>SÄTER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</v>
      </c>
      <c r="C217" s="1" t="n">
        <v>46203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</v>
      </c>
      <c r="C218" s="1" t="n">
        <v>46203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58864-2024</t>
        </is>
      </c>
      <c r="B219" s="1" t="n">
        <v>45636</v>
      </c>
      <c r="C219" s="1" t="n">
        <v>46203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29833-2023</t>
        </is>
      </c>
      <c r="B220" s="1" t="n">
        <v>45107</v>
      </c>
      <c r="C220" s="1" t="n">
        <v>46203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51468-2024</t>
        </is>
      </c>
      <c r="B221" s="1" t="n">
        <v>45604</v>
      </c>
      <c r="C221" s="1" t="n">
        <v>46203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16836-2024</t>
        </is>
      </c>
      <c r="B222" s="1" t="n">
        <v>45411</v>
      </c>
      <c r="C222" s="1" t="n">
        <v>46203</v>
      </c>
      <c r="D222" t="inlineStr">
        <is>
          <t>DALARNAS LÄN</t>
        </is>
      </c>
      <c r="E222" t="inlineStr">
        <is>
          <t>SÄTER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16698-2026</t>
        </is>
      </c>
      <c r="B223" s="1" t="n">
        <v>46113</v>
      </c>
      <c r="C223" s="1" t="n">
        <v>46203</v>
      </c>
      <c r="D223" t="inlineStr">
        <is>
          <t>DALARNAS LÄN</t>
        </is>
      </c>
      <c r="E223" t="inlineStr">
        <is>
          <t>SÄTER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11164-2023</t>
        </is>
      </c>
      <c r="B224" s="1" t="n">
        <v>44992</v>
      </c>
      <c r="C224" s="1" t="n">
        <v>46203</v>
      </c>
      <c r="D224" t="inlineStr">
        <is>
          <t>DALARNAS LÄN</t>
        </is>
      </c>
      <c r="E224" t="inlineStr">
        <is>
          <t>SÄTER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17253-2026</t>
        </is>
      </c>
      <c r="B225" s="1" t="n">
        <v>46119</v>
      </c>
      <c r="C225" s="1" t="n">
        <v>46203</v>
      </c>
      <c r="D225" t="inlineStr">
        <is>
          <t>DALARNAS LÄN</t>
        </is>
      </c>
      <c r="E225" t="inlineStr">
        <is>
          <t>SÄTER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23547-2026</t>
        </is>
      </c>
      <c r="B226" s="1" t="n">
        <v>46163</v>
      </c>
      <c r="C226" s="1" t="n">
        <v>46203</v>
      </c>
      <c r="D226" t="inlineStr">
        <is>
          <t>DALARNAS LÄN</t>
        </is>
      </c>
      <c r="E226" t="inlineStr">
        <is>
          <t>SÄTER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10222-2026</t>
        </is>
      </c>
      <c r="B227" s="1" t="n">
        <v>46076</v>
      </c>
      <c r="C227" s="1" t="n">
        <v>46203</v>
      </c>
      <c r="D227" t="inlineStr">
        <is>
          <t>DALARNAS LÄN</t>
        </is>
      </c>
      <c r="E227" t="inlineStr">
        <is>
          <t>SÄTER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23736-2026</t>
        </is>
      </c>
      <c r="B228" s="1" t="n">
        <v>46163</v>
      </c>
      <c r="C228" s="1" t="n">
        <v>46203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23736-2026</t>
        </is>
      </c>
      <c r="B229" s="1" t="n">
        <v>46163</v>
      </c>
      <c r="C229" s="1" t="n">
        <v>46203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23679-2026</t>
        </is>
      </c>
      <c r="B230" s="1" t="n">
        <v>46164</v>
      </c>
      <c r="C230" s="1" t="n">
        <v>46203</v>
      </c>
      <c r="D230" t="inlineStr">
        <is>
          <t>DALARNAS LÄN</t>
        </is>
      </c>
      <c r="E230" t="inlineStr">
        <is>
          <t>SÄTER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23735-2026</t>
        </is>
      </c>
      <c r="B231" s="1" t="n">
        <v>46163</v>
      </c>
      <c r="C231" s="1" t="n">
        <v>46203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23737-2026</t>
        </is>
      </c>
      <c r="B232" s="1" t="n">
        <v>46163</v>
      </c>
      <c r="C232" s="1" t="n">
        <v>46203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28549-2022</t>
        </is>
      </c>
      <c r="B233" s="1" t="n">
        <v>44748</v>
      </c>
      <c r="C233" s="1" t="n">
        <v>46203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12938-2026</t>
        </is>
      </c>
      <c r="B234" s="1" t="n">
        <v>46092</v>
      </c>
      <c r="C234" s="1" t="n">
        <v>46203</v>
      </c>
      <c r="D234" t="inlineStr">
        <is>
          <t>DALARNAS LÄN</t>
        </is>
      </c>
      <c r="E234" t="inlineStr">
        <is>
          <t>SÄTER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13339-2023</t>
        </is>
      </c>
      <c r="B235" s="1" t="n">
        <v>45005</v>
      </c>
      <c r="C235" s="1" t="n">
        <v>46203</v>
      </c>
      <c r="D235" t="inlineStr">
        <is>
          <t>DALARNAS LÄN</t>
        </is>
      </c>
      <c r="E235" t="inlineStr">
        <is>
          <t>SÄTER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13362-2026</t>
        </is>
      </c>
      <c r="B236" s="1" t="n">
        <v>46094</v>
      </c>
      <c r="C236" s="1" t="n">
        <v>46203</v>
      </c>
      <c r="D236" t="inlineStr">
        <is>
          <t>DALARNAS LÄN</t>
        </is>
      </c>
      <c r="E236" t="inlineStr">
        <is>
          <t>SÄTER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47044-2023</t>
        </is>
      </c>
      <c r="B237" s="1" t="n">
        <v>45201</v>
      </c>
      <c r="C237" s="1" t="n">
        <v>46203</v>
      </c>
      <c r="D237" t="inlineStr">
        <is>
          <t>DALARNAS LÄN</t>
        </is>
      </c>
      <c r="E237" t="inlineStr">
        <is>
          <t>SÄTER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25033-2026</t>
        </is>
      </c>
      <c r="B238" s="1" t="n">
        <v>46174</v>
      </c>
      <c r="C238" s="1" t="n">
        <v>46203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12942-2026</t>
        </is>
      </c>
      <c r="B239" s="1" t="n">
        <v>46092</v>
      </c>
      <c r="C239" s="1" t="n">
        <v>46203</v>
      </c>
      <c r="D239" t="inlineStr">
        <is>
          <t>DALARNAS LÄN</t>
        </is>
      </c>
      <c r="E239" t="inlineStr">
        <is>
          <t>SÄTER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57416-2022</t>
        </is>
      </c>
      <c r="B240" s="1" t="n">
        <v>44896</v>
      </c>
      <c r="C240" s="1" t="n">
        <v>46203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HYPERLINK("https://klasma.github.io/Logging_2082/knärot/A 57416-2022 karta knärot.png", "A 57416-2022")</f>
        <v/>
      </c>
      <c r="V240">
        <f>HYPERLINK("https://klasma.github.io/Logging_2082/klagomål/A 57416-2022 FSC-klagomål.docx", "A 57416-2022")</f>
        <v/>
      </c>
      <c r="W240">
        <f>HYPERLINK("https://klasma.github.io/Logging_2082/klagomålsmail/A 57416-2022 FSC-klagomål mail.docx", "A 57416-2022")</f>
        <v/>
      </c>
      <c r="X240">
        <f>HYPERLINK("https://klasma.github.io/Logging_2082/tillsyn/A 57416-2022 tillsynsbegäran.docx", "A 57416-2022")</f>
        <v/>
      </c>
      <c r="Y240">
        <f>HYPERLINK("https://klasma.github.io/Logging_2082/tillsynsmail/A 57416-2022 tillsynsbegäran mail.docx", "A 57416-2022")</f>
        <v/>
      </c>
    </row>
    <row r="241" ht="15" customHeight="1">
      <c r="A241" t="inlineStr">
        <is>
          <t>A 27910-2023</t>
        </is>
      </c>
      <c r="B241" s="1" t="n">
        <v>45098</v>
      </c>
      <c r="C241" s="1" t="n">
        <v>46203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20056-2026</t>
        </is>
      </c>
      <c r="B242" s="1" t="n">
        <v>46136</v>
      </c>
      <c r="C242" s="1" t="n">
        <v>46203</v>
      </c>
      <c r="D242" t="inlineStr">
        <is>
          <t>DALARNAS LÄN</t>
        </is>
      </c>
      <c r="E242" t="inlineStr">
        <is>
          <t>SÄTER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20057-2026</t>
        </is>
      </c>
      <c r="B243" s="1" t="n">
        <v>46136</v>
      </c>
      <c r="C243" s="1" t="n">
        <v>46203</v>
      </c>
      <c r="D243" t="inlineStr">
        <is>
          <t>DALARNAS LÄN</t>
        </is>
      </c>
      <c r="E243" t="inlineStr">
        <is>
          <t>SÄTER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1517-2026</t>
        </is>
      </c>
      <c r="B244" s="1" t="n">
        <v>46034</v>
      </c>
      <c r="C244" s="1" t="n">
        <v>46203</v>
      </c>
      <c r="D244" t="inlineStr">
        <is>
          <t>DALARNAS LÄN</t>
        </is>
      </c>
      <c r="E244" t="inlineStr">
        <is>
          <t>SÄTER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11733-2026</t>
        </is>
      </c>
      <c r="B245" s="1" t="n">
        <v>46084</v>
      </c>
      <c r="C245" s="1" t="n">
        <v>46203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10101-2026</t>
        </is>
      </c>
      <c r="B246" s="1" t="n">
        <v>46073</v>
      </c>
      <c r="C246" s="1" t="n">
        <v>46203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41951-2024</t>
        </is>
      </c>
      <c r="B247" s="1" t="n">
        <v>45561</v>
      </c>
      <c r="C247" s="1" t="n">
        <v>46203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41954-2024</t>
        </is>
      </c>
      <c r="B248" s="1" t="n">
        <v>45561</v>
      </c>
      <c r="C248" s="1" t="n">
        <v>46203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63654-2025</t>
        </is>
      </c>
      <c r="B249" s="1" t="n">
        <v>46014</v>
      </c>
      <c r="C249" s="1" t="n">
        <v>46203</v>
      </c>
      <c r="D249" t="inlineStr">
        <is>
          <t>DALARNAS LÄN</t>
        </is>
      </c>
      <c r="E249" t="inlineStr">
        <is>
          <t>SÄTER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33473-2022</t>
        </is>
      </c>
      <c r="B250" s="1" t="n">
        <v>44788</v>
      </c>
      <c r="C250" s="1" t="n">
        <v>46203</v>
      </c>
      <c r="D250" t="inlineStr">
        <is>
          <t>DALARNAS LÄN</t>
        </is>
      </c>
      <c r="E250" t="inlineStr">
        <is>
          <t>SÄTER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41959-2024</t>
        </is>
      </c>
      <c r="B251" s="1" t="n">
        <v>45561</v>
      </c>
      <c r="C251" s="1" t="n">
        <v>46203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44724-2024</t>
        </is>
      </c>
      <c r="B252" s="1" t="n">
        <v>45574</v>
      </c>
      <c r="C252" s="1" t="n">
        <v>46203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43125-2024</t>
        </is>
      </c>
      <c r="B253" s="1" t="n">
        <v>45567</v>
      </c>
      <c r="C253" s="1" t="n">
        <v>46203</v>
      </c>
      <c r="D253" t="inlineStr">
        <is>
          <t>DALARNAS LÄN</t>
        </is>
      </c>
      <c r="E253" t="inlineStr">
        <is>
          <t>SÄTER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27018-2025</t>
        </is>
      </c>
      <c r="B254" s="1" t="n">
        <v>45811</v>
      </c>
      <c r="C254" s="1" t="n">
        <v>46203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44719-2024</t>
        </is>
      </c>
      <c r="B255" s="1" t="n">
        <v>45574</v>
      </c>
      <c r="C255" s="1" t="n">
        <v>46203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20490-2026</t>
        </is>
      </c>
      <c r="B256" s="1" t="n">
        <v>46140</v>
      </c>
      <c r="C256" s="1" t="n">
        <v>46203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8991-2026</t>
        </is>
      </c>
      <c r="B257" s="1" t="n">
        <v>46069</v>
      </c>
      <c r="C257" s="1" t="n">
        <v>46203</v>
      </c>
      <c r="D257" t="inlineStr">
        <is>
          <t>DALARNAS LÄN</t>
        </is>
      </c>
      <c r="E257" t="inlineStr">
        <is>
          <t>SÄTER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3751-2026</t>
        </is>
      </c>
      <c r="B258" s="1" t="n">
        <v>46043</v>
      </c>
      <c r="C258" s="1" t="n">
        <v>46203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54826-2023</t>
        </is>
      </c>
      <c r="B259" s="1" t="n">
        <v>45236</v>
      </c>
      <c r="C259" s="1" t="n">
        <v>46203</v>
      </c>
      <c r="D259" t="inlineStr">
        <is>
          <t>DALARNAS LÄN</t>
        </is>
      </c>
      <c r="E259" t="inlineStr">
        <is>
          <t>SÄTER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10285-2026</t>
        </is>
      </c>
      <c r="B260" s="1" t="n">
        <v>46076</v>
      </c>
      <c r="C260" s="1" t="n">
        <v>46203</v>
      </c>
      <c r="D260" t="inlineStr">
        <is>
          <t>DALARNAS LÄN</t>
        </is>
      </c>
      <c r="E260" t="inlineStr">
        <is>
          <t>SÄTER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12330-2026</t>
        </is>
      </c>
      <c r="B261" s="1" t="n">
        <v>46087</v>
      </c>
      <c r="C261" s="1" t="n">
        <v>46203</v>
      </c>
      <c r="D261" t="inlineStr">
        <is>
          <t>DALARNAS LÄN</t>
        </is>
      </c>
      <c r="E261" t="inlineStr">
        <is>
          <t>SÄTER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43610-2025</t>
        </is>
      </c>
      <c r="B262" s="1" t="n">
        <v>45911</v>
      </c>
      <c r="C262" s="1" t="n">
        <v>46203</v>
      </c>
      <c r="D262" t="inlineStr">
        <is>
          <t>DALARNAS LÄN</t>
        </is>
      </c>
      <c r="E262" t="inlineStr">
        <is>
          <t>SÄTER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6318-2026</t>
        </is>
      </c>
      <c r="B263" s="1" t="n">
        <v>46051</v>
      </c>
      <c r="C263" s="1" t="n">
        <v>46203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42.6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9408-2026</t>
        </is>
      </c>
      <c r="B264" s="1" t="n">
        <v>46071</v>
      </c>
      <c r="C264" s="1" t="n">
        <v>46203</v>
      </c>
      <c r="D264" t="inlineStr">
        <is>
          <t>DALARNAS LÄN</t>
        </is>
      </c>
      <c r="E264" t="inlineStr">
        <is>
          <t>SÄTER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14019-2026</t>
        </is>
      </c>
      <c r="B265" s="1" t="n">
        <v>46098</v>
      </c>
      <c r="C265" s="1" t="n">
        <v>46203</v>
      </c>
      <c r="D265" t="inlineStr">
        <is>
          <t>DALARNAS LÄN</t>
        </is>
      </c>
      <c r="E265" t="inlineStr">
        <is>
          <t>SÄTER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26940-2025</t>
        </is>
      </c>
      <c r="B266" s="1" t="n">
        <v>45811</v>
      </c>
      <c r="C266" s="1" t="n">
        <v>46203</v>
      </c>
      <c r="D266" t="inlineStr">
        <is>
          <t>DALARNAS LÄN</t>
        </is>
      </c>
      <c r="E266" t="inlineStr">
        <is>
          <t>SÄTER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12646-2026</t>
        </is>
      </c>
      <c r="B267" s="1" t="n">
        <v>46091</v>
      </c>
      <c r="C267" s="1" t="n">
        <v>46203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4050-2026</t>
        </is>
      </c>
      <c r="B268" s="1" t="n">
        <v>46044</v>
      </c>
      <c r="C268" s="1" t="n">
        <v>46203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69744-2021</t>
        </is>
      </c>
      <c r="B269" s="1" t="n">
        <v>44532</v>
      </c>
      <c r="C269" s="1" t="n">
        <v>46203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27771-2026</t>
        </is>
      </c>
      <c r="B270" s="1" t="n">
        <v>46191</v>
      </c>
      <c r="C270" s="1" t="n">
        <v>46203</v>
      </c>
      <c r="D270" t="inlineStr">
        <is>
          <t>DALARNAS LÄN</t>
        </is>
      </c>
      <c r="E270" t="inlineStr">
        <is>
          <t>SÄTER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22028-2026</t>
        </is>
      </c>
      <c r="B271" s="1" t="n">
        <v>46153</v>
      </c>
      <c r="C271" s="1" t="n">
        <v>46203</v>
      </c>
      <c r="D271" t="inlineStr">
        <is>
          <t>DALARNAS LÄN</t>
        </is>
      </c>
      <c r="E271" t="inlineStr">
        <is>
          <t>SÄTER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22148-2026</t>
        </is>
      </c>
      <c r="B272" s="1" t="n">
        <v>46153</v>
      </c>
      <c r="C272" s="1" t="n">
        <v>46203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28281-2026</t>
        </is>
      </c>
      <c r="B273" s="1" t="n">
        <v>46196</v>
      </c>
      <c r="C273" s="1" t="n">
        <v>46203</v>
      </c>
      <c r="D273" t="inlineStr">
        <is>
          <t>DALARNAS LÄN</t>
        </is>
      </c>
      <c r="E273" t="inlineStr">
        <is>
          <t>SÄTER</t>
        </is>
      </c>
      <c r="F273" t="inlineStr">
        <is>
          <t>Sveaskog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22261-2026</t>
        </is>
      </c>
      <c r="B274" s="1" t="n">
        <v>46154</v>
      </c>
      <c r="C274" s="1" t="n">
        <v>46203</v>
      </c>
      <c r="D274" t="inlineStr">
        <is>
          <t>DALARNAS LÄN</t>
        </is>
      </c>
      <c r="E274" t="inlineStr">
        <is>
          <t>SÄTER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28613-2026</t>
        </is>
      </c>
      <c r="B275" s="1" t="n">
        <v>46190</v>
      </c>
      <c r="C275" s="1" t="n">
        <v>46203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22850-2026</t>
        </is>
      </c>
      <c r="B276" s="1" t="n">
        <v>46155</v>
      </c>
      <c r="C276" s="1" t="n">
        <v>46203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16843-2024</t>
        </is>
      </c>
      <c r="B277" s="1" t="n">
        <v>45411</v>
      </c>
      <c r="C277" s="1" t="n">
        <v>46203</v>
      </c>
      <c r="D277" t="inlineStr">
        <is>
          <t>DALARNAS LÄN</t>
        </is>
      </c>
      <c r="E277" t="inlineStr">
        <is>
          <t>SÄTER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24376-2026</t>
        </is>
      </c>
      <c r="B278" s="1" t="n">
        <v>46167</v>
      </c>
      <c r="C278" s="1" t="n">
        <v>46203</v>
      </c>
      <c r="D278" t="inlineStr">
        <is>
          <t>DALARNAS LÄN</t>
        </is>
      </c>
      <c r="E278" t="inlineStr">
        <is>
          <t>SÄTER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45161-2021</t>
        </is>
      </c>
      <c r="B279" s="1" t="n">
        <v>44439</v>
      </c>
      <c r="C279" s="1" t="n">
        <v>46203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12265-2026</t>
        </is>
      </c>
      <c r="B280" s="1" t="n">
        <v>46087</v>
      </c>
      <c r="C280" s="1" t="n">
        <v>46203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6767-2024</t>
        </is>
      </c>
      <c r="B281" s="1" t="n">
        <v>45342</v>
      </c>
      <c r="C281" s="1" t="n">
        <v>46203</v>
      </c>
      <c r="D281" t="inlineStr">
        <is>
          <t>DALARNAS LÄN</t>
        </is>
      </c>
      <c r="E281" t="inlineStr">
        <is>
          <t>SÄTER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41961-2024</t>
        </is>
      </c>
      <c r="B282" s="1" t="n">
        <v>45561</v>
      </c>
      <c r="C282" s="1" t="n">
        <v>46203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41564-2021</t>
        </is>
      </c>
      <c r="B283" s="1" t="n">
        <v>44425</v>
      </c>
      <c r="C283" s="1" t="n">
        <v>46203</v>
      </c>
      <c r="D283" t="inlineStr">
        <is>
          <t>DALARNAS LÄN</t>
        </is>
      </c>
      <c r="E283" t="inlineStr">
        <is>
          <t>SÄTER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62470-2022</t>
        </is>
      </c>
      <c r="B284" s="1" t="n">
        <v>44924</v>
      </c>
      <c r="C284" s="1" t="n">
        <v>46203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35005-2024</t>
        </is>
      </c>
      <c r="B285" s="1" t="n">
        <v>45527</v>
      </c>
      <c r="C285" s="1" t="n">
        <v>46203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5196-2024</t>
        </is>
      </c>
      <c r="B286" s="1" t="n">
        <v>45330</v>
      </c>
      <c r="C286" s="1" t="n">
        <v>46203</v>
      </c>
      <c r="D286" t="inlineStr">
        <is>
          <t>DALARNAS LÄN</t>
        </is>
      </c>
      <c r="E286" t="inlineStr">
        <is>
          <t>SÄTER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34497-2023</t>
        </is>
      </c>
      <c r="B287" s="1" t="n">
        <v>45140</v>
      </c>
      <c r="C287" s="1" t="n">
        <v>46203</v>
      </c>
      <c r="D287" t="inlineStr">
        <is>
          <t>DALARNAS LÄN</t>
        </is>
      </c>
      <c r="E287" t="inlineStr">
        <is>
          <t>SÄTER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52220-2021</t>
        </is>
      </c>
      <c r="B288" s="1" t="n">
        <v>44462</v>
      </c>
      <c r="C288" s="1" t="n">
        <v>46203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50366-2023</t>
        </is>
      </c>
      <c r="B289" s="1" t="n">
        <v>45216</v>
      </c>
      <c r="C289" s="1" t="n">
        <v>46203</v>
      </c>
      <c r="D289" t="inlineStr">
        <is>
          <t>DALARNAS LÄN</t>
        </is>
      </c>
      <c r="E289" t="inlineStr">
        <is>
          <t>SÄTER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1305-2022</t>
        </is>
      </c>
      <c r="B290" s="1" t="n">
        <v>44572</v>
      </c>
      <c r="C290" s="1" t="n">
        <v>46203</v>
      </c>
      <c r="D290" t="inlineStr">
        <is>
          <t>DALARNAS LÄN</t>
        </is>
      </c>
      <c r="E290" t="inlineStr">
        <is>
          <t>SÄTER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847-2025</t>
        </is>
      </c>
      <c r="B291" s="1" t="n">
        <v>45665</v>
      </c>
      <c r="C291" s="1" t="n">
        <v>46203</v>
      </c>
      <c r="D291" t="inlineStr">
        <is>
          <t>DALARNAS LÄN</t>
        </is>
      </c>
      <c r="E291" t="inlineStr">
        <is>
          <t>SÄTER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29635-2024</t>
        </is>
      </c>
      <c r="B292" s="1" t="n">
        <v>45484</v>
      </c>
      <c r="C292" s="1" t="n">
        <v>46203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19979-2025</t>
        </is>
      </c>
      <c r="B293" s="1" t="n">
        <v>45771</v>
      </c>
      <c r="C293" s="1" t="n">
        <v>46203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11416-2022</t>
        </is>
      </c>
      <c r="B294" s="1" t="n">
        <v>44630</v>
      </c>
      <c r="C294" s="1" t="n">
        <v>46203</v>
      </c>
      <c r="D294" t="inlineStr">
        <is>
          <t>DALARNAS LÄN</t>
        </is>
      </c>
      <c r="E294" t="inlineStr">
        <is>
          <t>SÄTER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38700-2023</t>
        </is>
      </c>
      <c r="B295" s="1" t="n">
        <v>45163</v>
      </c>
      <c r="C295" s="1" t="n">
        <v>46203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60655-2024</t>
        </is>
      </c>
      <c r="B296" s="1" t="n">
        <v>45644</v>
      </c>
      <c r="C296" s="1" t="n">
        <v>46203</v>
      </c>
      <c r="D296" t="inlineStr">
        <is>
          <t>DALARNAS LÄN</t>
        </is>
      </c>
      <c r="E296" t="inlineStr">
        <is>
          <t>SÄTER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51847-2024</t>
        </is>
      </c>
      <c r="B297" s="1" t="n">
        <v>45604</v>
      </c>
      <c r="C297" s="1" t="n">
        <v>46203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44803-2023</t>
        </is>
      </c>
      <c r="B298" s="1" t="n">
        <v>45190</v>
      </c>
      <c r="C298" s="1" t="n">
        <v>46203</v>
      </c>
      <c r="D298" t="inlineStr">
        <is>
          <t>DALARNAS LÄN</t>
        </is>
      </c>
      <c r="E298" t="inlineStr">
        <is>
          <t>SÄTER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18974-2024</t>
        </is>
      </c>
      <c r="B299" s="1" t="n">
        <v>45427</v>
      </c>
      <c r="C299" s="1" t="n">
        <v>46203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21697-2023</t>
        </is>
      </c>
      <c r="B300" s="1" t="n">
        <v>45063</v>
      </c>
      <c r="C300" s="1" t="n">
        <v>46203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19162-2022</t>
        </is>
      </c>
      <c r="B301" s="1" t="n">
        <v>44691</v>
      </c>
      <c r="C301" s="1" t="n">
        <v>46203</v>
      </c>
      <c r="D301" t="inlineStr">
        <is>
          <t>DALARNAS LÄN</t>
        </is>
      </c>
      <c r="E301" t="inlineStr">
        <is>
          <t>SÄTER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29846-2023</t>
        </is>
      </c>
      <c r="B302" s="1" t="n">
        <v>45107</v>
      </c>
      <c r="C302" s="1" t="n">
        <v>46203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54310-2023</t>
        </is>
      </c>
      <c r="B303" s="1" t="n">
        <v>45232</v>
      </c>
      <c r="C303" s="1" t="n">
        <v>46203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56225-2023</t>
        </is>
      </c>
      <c r="B304" s="1" t="n">
        <v>45240</v>
      </c>
      <c r="C304" s="1" t="n">
        <v>46203</v>
      </c>
      <c r="D304" t="inlineStr">
        <is>
          <t>DALARNAS LÄN</t>
        </is>
      </c>
      <c r="E304" t="inlineStr">
        <is>
          <t>SÄTER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36847-2023</t>
        </is>
      </c>
      <c r="B305" s="1" t="n">
        <v>45154</v>
      </c>
      <c r="C305" s="1" t="n">
        <v>46203</v>
      </c>
      <c r="D305" t="inlineStr">
        <is>
          <t>DALARNAS LÄN</t>
        </is>
      </c>
      <c r="E305" t="inlineStr">
        <is>
          <t>SÄTER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44729-2024</t>
        </is>
      </c>
      <c r="B306" s="1" t="n">
        <v>45574</v>
      </c>
      <c r="C306" s="1" t="n">
        <v>46203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55650-2024</t>
        </is>
      </c>
      <c r="B307" s="1" t="n">
        <v>45622</v>
      </c>
      <c r="C307" s="1" t="n">
        <v>46203</v>
      </c>
      <c r="D307" t="inlineStr">
        <is>
          <t>DALARNAS LÄN</t>
        </is>
      </c>
      <c r="E307" t="inlineStr">
        <is>
          <t>SÄTER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1594-2025</t>
        </is>
      </c>
      <c r="B308" s="1" t="n">
        <v>45670</v>
      </c>
      <c r="C308" s="1" t="n">
        <v>46203</v>
      </c>
      <c r="D308" t="inlineStr">
        <is>
          <t>DALARNAS LÄN</t>
        </is>
      </c>
      <c r="E308" t="inlineStr">
        <is>
          <t>SÄTER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18888-2022</t>
        </is>
      </c>
      <c r="B309" s="1" t="n">
        <v>44690</v>
      </c>
      <c r="C309" s="1" t="n">
        <v>46203</v>
      </c>
      <c r="D309" t="inlineStr">
        <is>
          <t>DALARNAS LÄN</t>
        </is>
      </c>
      <c r="E309" t="inlineStr">
        <is>
          <t>SÄTER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24617-2022</t>
        </is>
      </c>
      <c r="B310" s="1" t="n">
        <v>44727</v>
      </c>
      <c r="C310" s="1" t="n">
        <v>46203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21859-2022</t>
        </is>
      </c>
      <c r="B311" s="1" t="n">
        <v>44711</v>
      </c>
      <c r="C311" s="1" t="n">
        <v>46203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57824-2023</t>
        </is>
      </c>
      <c r="B312" s="1" t="n">
        <v>45247</v>
      </c>
      <c r="C312" s="1" t="n">
        <v>46203</v>
      </c>
      <c r="D312" t="inlineStr">
        <is>
          <t>DALARNAS LÄN</t>
        </is>
      </c>
      <c r="E312" t="inlineStr">
        <is>
          <t>SÄTER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25690-2022</t>
        </is>
      </c>
      <c r="B313" s="1" t="n">
        <v>44732</v>
      </c>
      <c r="C313" s="1" t="n">
        <v>46203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52193-2021</t>
        </is>
      </c>
      <c r="B314" s="1" t="n">
        <v>44463</v>
      </c>
      <c r="C314" s="1" t="n">
        <v>46203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</v>
      </c>
      <c r="C315" s="1" t="n">
        <v>46203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46203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61743-2023</t>
        </is>
      </c>
      <c r="B317" s="1" t="n">
        <v>45265</v>
      </c>
      <c r="C317" s="1" t="n">
        <v>46203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63152-2023</t>
        </is>
      </c>
      <c r="B318" s="1" t="n">
        <v>45273</v>
      </c>
      <c r="C318" s="1" t="n">
        <v>46203</v>
      </c>
      <c r="D318" t="inlineStr">
        <is>
          <t>DALARNAS LÄN</t>
        </is>
      </c>
      <c r="E318" t="inlineStr">
        <is>
          <t>SÄTER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5981-2023</t>
        </is>
      </c>
      <c r="B319" s="1" t="n">
        <v>44964</v>
      </c>
      <c r="C319" s="1" t="n">
        <v>46203</v>
      </c>
      <c r="D319" t="inlineStr">
        <is>
          <t>DALARNAS LÄN</t>
        </is>
      </c>
      <c r="E319" t="inlineStr">
        <is>
          <t>SÄTER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61332-2023</t>
        </is>
      </c>
      <c r="B320" s="1" t="n">
        <v>45264</v>
      </c>
      <c r="C320" s="1" t="n">
        <v>46203</v>
      </c>
      <c r="D320" t="inlineStr">
        <is>
          <t>DALARNAS LÄN</t>
        </is>
      </c>
      <c r="E320" t="inlineStr">
        <is>
          <t>SÄTER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26456-2024</t>
        </is>
      </c>
      <c r="B321" s="1" t="n">
        <v>45469</v>
      </c>
      <c r="C321" s="1" t="n">
        <v>46203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</v>
      </c>
      <c r="C322" s="1" t="n">
        <v>46203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54141-2023</t>
        </is>
      </c>
      <c r="B323" s="1" t="n">
        <v>45232</v>
      </c>
      <c r="C323" s="1" t="n">
        <v>46203</v>
      </c>
      <c r="D323" t="inlineStr">
        <is>
          <t>DALARNAS LÄN</t>
        </is>
      </c>
      <c r="E323" t="inlineStr">
        <is>
          <t>SÄTER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2929-2022</t>
        </is>
      </c>
      <c r="B324" s="1" t="n">
        <v>44581</v>
      </c>
      <c r="C324" s="1" t="n">
        <v>46203</v>
      </c>
      <c r="D324" t="inlineStr">
        <is>
          <t>DALARNAS LÄN</t>
        </is>
      </c>
      <c r="E324" t="inlineStr">
        <is>
          <t>SÄTER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19773-2024</t>
        </is>
      </c>
      <c r="B325" s="1" t="n">
        <v>45432</v>
      </c>
      <c r="C325" s="1" t="n">
        <v>46203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5646-2023</t>
        </is>
      </c>
      <c r="B326" s="1" t="n">
        <v>44960</v>
      </c>
      <c r="C326" s="1" t="n">
        <v>46203</v>
      </c>
      <c r="D326" t="inlineStr">
        <is>
          <t>DALARNAS LÄN</t>
        </is>
      </c>
      <c r="E326" t="inlineStr">
        <is>
          <t>SÄTER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4216-2023</t>
        </is>
      </c>
      <c r="B327" s="1" t="n">
        <v>44953</v>
      </c>
      <c r="C327" s="1" t="n">
        <v>46203</v>
      </c>
      <c r="D327" t="inlineStr">
        <is>
          <t>DALARNAS LÄN</t>
        </is>
      </c>
      <c r="E327" t="inlineStr">
        <is>
          <t>SÄTER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46559-2021</t>
        </is>
      </c>
      <c r="B328" s="1" t="n">
        <v>44445</v>
      </c>
      <c r="C328" s="1" t="n">
        <v>46203</v>
      </c>
      <c r="D328" t="inlineStr">
        <is>
          <t>DALARNAS LÄN</t>
        </is>
      </c>
      <c r="E328" t="inlineStr">
        <is>
          <t>SÄTER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51328-2024</t>
        </is>
      </c>
      <c r="B329" s="1" t="n">
        <v>45604</v>
      </c>
      <c r="C329" s="1" t="n">
        <v>46203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51339-2024</t>
        </is>
      </c>
      <c r="B330" s="1" t="n">
        <v>45604</v>
      </c>
      <c r="C330" s="1" t="n">
        <v>46203</v>
      </c>
      <c r="D330" t="inlineStr">
        <is>
          <t>DALARNAS LÄN</t>
        </is>
      </c>
      <c r="E330" t="inlineStr">
        <is>
          <t>SÄTER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38521-2024</t>
        </is>
      </c>
      <c r="B331" s="1" t="n">
        <v>45546</v>
      </c>
      <c r="C331" s="1" t="n">
        <v>46203</v>
      </c>
      <c r="D331" t="inlineStr">
        <is>
          <t>DALARNAS LÄN</t>
        </is>
      </c>
      <c r="E331" t="inlineStr">
        <is>
          <t>SÄTER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51474-2024</t>
        </is>
      </c>
      <c r="B332" s="1" t="n">
        <v>45604</v>
      </c>
      <c r="C332" s="1" t="n">
        <v>46203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12957-2022</t>
        </is>
      </c>
      <c r="B333" s="1" t="n">
        <v>44643</v>
      </c>
      <c r="C333" s="1" t="n">
        <v>46203</v>
      </c>
      <c r="D333" t="inlineStr">
        <is>
          <t>DALARNAS LÄN</t>
        </is>
      </c>
      <c r="E333" t="inlineStr">
        <is>
          <t>SÄTER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57430-2022</t>
        </is>
      </c>
      <c r="B334" s="1" t="n">
        <v>44896</v>
      </c>
      <c r="C334" s="1" t="n">
        <v>46203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14168-2025</t>
        </is>
      </c>
      <c r="B335" s="1" t="n">
        <v>45740</v>
      </c>
      <c r="C335" s="1" t="n">
        <v>46203</v>
      </c>
      <c r="D335" t="inlineStr">
        <is>
          <t>DALARNAS LÄN</t>
        </is>
      </c>
      <c r="E335" t="inlineStr">
        <is>
          <t>SÄTER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34990-2024</t>
        </is>
      </c>
      <c r="B336" s="1" t="n">
        <v>45527</v>
      </c>
      <c r="C336" s="1" t="n">
        <v>46203</v>
      </c>
      <c r="D336" t="inlineStr">
        <is>
          <t>DALARNAS LÄN</t>
        </is>
      </c>
      <c r="E336" t="inlineStr">
        <is>
          <t>SÄTER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34991-2024</t>
        </is>
      </c>
      <c r="B337" s="1" t="n">
        <v>45527</v>
      </c>
      <c r="C337" s="1" t="n">
        <v>46203</v>
      </c>
      <c r="D337" t="inlineStr">
        <is>
          <t>DALARNAS LÄN</t>
        </is>
      </c>
      <c r="E337" t="inlineStr">
        <is>
          <t>SÄTER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50187-2024</t>
        </is>
      </c>
      <c r="B338" s="1" t="n">
        <v>45599</v>
      </c>
      <c r="C338" s="1" t="n">
        <v>46203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16834-2024</t>
        </is>
      </c>
      <c r="B339" s="1" t="n">
        <v>45411</v>
      </c>
      <c r="C339" s="1" t="n">
        <v>46203</v>
      </c>
      <c r="D339" t="inlineStr">
        <is>
          <t>DALARNAS LÄN</t>
        </is>
      </c>
      <c r="E339" t="inlineStr">
        <is>
          <t>SÄTER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56827-2024</t>
        </is>
      </c>
      <c r="B340" s="1" t="n">
        <v>45628</v>
      </c>
      <c r="C340" s="1" t="n">
        <v>46203</v>
      </c>
      <c r="D340" t="inlineStr">
        <is>
          <t>DALARNAS LÄN</t>
        </is>
      </c>
      <c r="E340" t="inlineStr">
        <is>
          <t>SÄTER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9586-2023</t>
        </is>
      </c>
      <c r="B341" s="1" t="n">
        <v>44982</v>
      </c>
      <c r="C341" s="1" t="n">
        <v>46203</v>
      </c>
      <c r="D341" t="inlineStr">
        <is>
          <t>DALARNAS LÄN</t>
        </is>
      </c>
      <c r="E341" t="inlineStr">
        <is>
          <t>SÄTER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62368-2023</t>
        </is>
      </c>
      <c r="B342" s="1" t="n">
        <v>45268</v>
      </c>
      <c r="C342" s="1" t="n">
        <v>46203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39487-2022</t>
        </is>
      </c>
      <c r="B343" s="1" t="n">
        <v>44817</v>
      </c>
      <c r="C343" s="1" t="n">
        <v>46203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21766-2024</t>
        </is>
      </c>
      <c r="B344" s="1" t="n">
        <v>45442</v>
      </c>
      <c r="C344" s="1" t="n">
        <v>46203</v>
      </c>
      <c r="D344" t="inlineStr">
        <is>
          <t>DALARNAS LÄN</t>
        </is>
      </c>
      <c r="E344" t="inlineStr">
        <is>
          <t>SÄTER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973-2023</t>
        </is>
      </c>
      <c r="B345" s="1" t="n">
        <v>44935</v>
      </c>
      <c r="C345" s="1" t="n">
        <v>46203</v>
      </c>
      <c r="D345" t="inlineStr">
        <is>
          <t>DALARNAS LÄN</t>
        </is>
      </c>
      <c r="E345" t="inlineStr">
        <is>
          <t>SÄTER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32892-2022</t>
        </is>
      </c>
      <c r="B346" s="1" t="n">
        <v>44784</v>
      </c>
      <c r="C346" s="1" t="n">
        <v>46203</v>
      </c>
      <c r="D346" t="inlineStr">
        <is>
          <t>DALARNAS LÄN</t>
        </is>
      </c>
      <c r="E346" t="inlineStr">
        <is>
          <t>SÄTER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32904-2022</t>
        </is>
      </c>
      <c r="B347" s="1" t="n">
        <v>44784</v>
      </c>
      <c r="C347" s="1" t="n">
        <v>46203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34993-2024</t>
        </is>
      </c>
      <c r="B348" s="1" t="n">
        <v>45527</v>
      </c>
      <c r="C348" s="1" t="n">
        <v>46203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62533-2023</t>
        </is>
      </c>
      <c r="B349" s="1" t="n">
        <v>45268</v>
      </c>
      <c r="C349" s="1" t="n">
        <v>46203</v>
      </c>
      <c r="D349" t="inlineStr">
        <is>
          <t>DALARNAS LÄN</t>
        </is>
      </c>
      <c r="E349" t="inlineStr">
        <is>
          <t>SÄTER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34652-2024</t>
        </is>
      </c>
      <c r="B350" s="1" t="n">
        <v>45526</v>
      </c>
      <c r="C350" s="1" t="n">
        <v>46203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37923-2022</t>
        </is>
      </c>
      <c r="B351" s="1" t="n">
        <v>44811</v>
      </c>
      <c r="C351" s="1" t="n">
        <v>46203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8697-2023</t>
        </is>
      </c>
      <c r="B352" s="1" t="n">
        <v>44978</v>
      </c>
      <c r="C352" s="1" t="n">
        <v>46203</v>
      </c>
      <c r="D352" t="inlineStr">
        <is>
          <t>DALARNAS LÄN</t>
        </is>
      </c>
      <c r="E352" t="inlineStr">
        <is>
          <t>SÄTER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7188-2023</t>
        </is>
      </c>
      <c r="B353" s="1" t="n">
        <v>44965</v>
      </c>
      <c r="C353" s="1" t="n">
        <v>46203</v>
      </c>
      <c r="D353" t="inlineStr">
        <is>
          <t>DALARNAS LÄN</t>
        </is>
      </c>
      <c r="E353" t="inlineStr">
        <is>
          <t>SÄTER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42225-2022</t>
        </is>
      </c>
      <c r="B354" s="1" t="n">
        <v>44830</v>
      </c>
      <c r="C354" s="1" t="n">
        <v>46203</v>
      </c>
      <c r="D354" t="inlineStr">
        <is>
          <t>DALARNAS LÄN</t>
        </is>
      </c>
      <c r="E354" t="inlineStr">
        <is>
          <t>SÄTER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10406-2024</t>
        </is>
      </c>
      <c r="B355" s="1" t="n">
        <v>45365</v>
      </c>
      <c r="C355" s="1" t="n">
        <v>46203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2026-06-30T00:54:31Z</dcterms:created>
  <dcterms:modified xmlns:dcterms="http://purl.org/dc/terms/" xmlns:xsi="http://www.w3.org/2001/XMLSchema-instance" xsi:type="dcterms:W3CDTF">2026-06-30T00:54:32Z</dcterms:modified>
</cp:coreProperties>
</file>