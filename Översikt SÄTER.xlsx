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46323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46323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46323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46323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46323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46323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46323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46323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46323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46323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46323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46323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46323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46323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46323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46323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46323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46323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46323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46323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32383-2022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46323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4.1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HYPERLINK("https://klasma.github.io/Logging_2082/artfynd/A 32383-2022 artfynd.xlsx", "A 32383-2022")</f>
        <v/>
      </c>
      <c r="X29">
        <f>HYPERLINK("https://klasma.github.io/Logging_2082/kartor/A 32383-2022 karta.png", "A 32383-2022")</f>
        <v/>
      </c>
      <c r="Y29">
        <f>HYPERLINK("https://klasma.github.io/Logging_2082/kartor_geotiff/A 32383-2022 georefererad karta.tif", "A 32383-2022")</f>
        <v/>
      </c>
      <c r="Z29">
        <f>HYPERLINK("https://klasma.github.io/Logging_2082/knärot/A 32383-2022 karta knärot.png", "A 32383-2022")</f>
        <v/>
      </c>
      <c r="AA29">
        <f>HYPERLINK("https://klasma.github.io/Logging_2082/klagomål/A 32383-2022 FSC-klagomål.docx", "A 32383-2022")</f>
        <v/>
      </c>
      <c r="AB29">
        <f>HYPERLINK("https://klasma.github.io/Logging_2082/klagomålsmail/A 32383-2022 FSC-klagomål mail.docx", "A 32383-2022")</f>
        <v/>
      </c>
      <c r="AC29">
        <f>HYPERLINK("https://klasma.github.io/Logging_2082/tillsyn/A 32383-2022 tillsynsbegäran.docx", "A 32383-2022")</f>
        <v/>
      </c>
      <c r="AD29">
        <f>HYPERLINK("https://klasma.github.io/Logging_2082/tillsynsmail/A 32383-2022 tillsynsbegäran mail.docx", "A 32383-2022")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46323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9682-2025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45716</v>
      </c>
      <c r="E31" s="1" t="n">
        <v>46323</v>
      </c>
      <c r="F31" t="inlineStr">
        <is>
          <t>DALARNAS LÄN</t>
        </is>
      </c>
      <c r="G31" t="inlineStr">
        <is>
          <t>SÄTER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Ögonpyrola</t>
        </is>
      </c>
      <c r="W31">
        <f>HYPERLINK("https://klasma.github.io/Logging_2082/artfynd/A 9682-2025 artfynd.xlsx", "A 9682-2025")</f>
        <v/>
      </c>
      <c r="X31">
        <f>HYPERLINK("https://klasma.github.io/Logging_2082/kartor/A 9682-2025 karta.png", "A 9682-2025")</f>
        <v/>
      </c>
      <c r="Y31">
        <f>HYPERLINK("https://klasma.github.io/Logging_2082/kartor_geotiff/A 9682-2025 georefererad karta.tif", "A 9682-2025")</f>
        <v/>
      </c>
      <c r="AA31">
        <f>HYPERLINK("https://klasma.github.io/Logging_2082/klagomål/A 9682-2025 FSC-klagomål.docx", "A 9682-2025")</f>
        <v/>
      </c>
      <c r="AB31">
        <f>HYPERLINK("https://klasma.github.io/Logging_2082/klagomålsmail/A 9682-2025 FSC-klagomål mail.docx", "A 9682-2025")</f>
        <v/>
      </c>
      <c r="AC31">
        <f>HYPERLINK("https://klasma.github.io/Logging_2082/tillsyn/A 9682-2025 tillsynsbegäran.docx", "A 9682-2025")</f>
        <v/>
      </c>
      <c r="AD31">
        <f>HYPERLINK("https://klasma.github.io/Logging_2082/tillsynsmail/A 9682-2025 tillsynsbegäran mail.docx", "A 9682-2025")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46323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57427-2022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46323</v>
      </c>
      <c r="F33" t="inlineStr">
        <is>
          <t>DALARNAS LÄN</t>
        </is>
      </c>
      <c r="G33" t="inlineStr">
        <is>
          <t>SÄTER</t>
        </is>
      </c>
      <c r="I33" t="n">
        <v>3.3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HYPERLINK("https://klasma.github.io/Logging_2082/artfynd/A 57427-2022 artfynd.xlsx", "A 57427-2022")</f>
        <v/>
      </c>
      <c r="X33">
        <f>HYPERLINK("https://klasma.github.io/Logging_2082/kartor/A 57427-2022 karta.png", "A 57427-2022")</f>
        <v/>
      </c>
      <c r="Y33">
        <f>HYPERLINK("https://klasma.github.io/Logging_2082/kartor_geotiff/A 57427-2022 georefererad karta.tif", "A 57427-2022")</f>
        <v/>
      </c>
      <c r="AA33">
        <f>HYPERLINK("https://klasma.github.io/Logging_2082/klagomål/A 57427-2022 FSC-klagomål.docx", "A 57427-2022")</f>
        <v/>
      </c>
      <c r="AB33">
        <f>HYPERLINK("https://klasma.github.io/Logging_2082/klagomålsmail/A 57427-2022 FSC-klagomål mail.docx", "A 57427-2022")</f>
        <v/>
      </c>
      <c r="AC33">
        <f>HYPERLINK("https://klasma.github.io/Logging_2082/tillsyn/A 57427-2022 tillsynsbegäran.docx", "A 57427-2022")</f>
        <v/>
      </c>
      <c r="AD33">
        <f>HYPERLINK("https://klasma.github.io/Logging_2082/tillsynsmail/A 57427-2022 tillsynsbegäran mail.docx", "A 57427-2022")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46323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46323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44992-2024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45575</v>
      </c>
      <c r="E36" s="1" t="n">
        <v>46323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HYPERLINK("https://klasma.github.io/Logging_2082/artfynd/A 44992-2024 artfynd.xlsx", "A 44992-2024")</f>
        <v/>
      </c>
      <c r="X36">
        <f>HYPERLINK("https://klasma.github.io/Logging_2082/kartor/A 44992-2024 karta.png", "A 44992-2024")</f>
        <v/>
      </c>
      <c r="Y36">
        <f>HYPERLINK("https://klasma.github.io/Logging_2082/kartor_geotiff/A 44992-2024 georefererad karta.tif", "A 44992-2024")</f>
        <v/>
      </c>
      <c r="AA36">
        <f>HYPERLINK("https://klasma.github.io/Logging_2082/klagomål/A 44992-2024 FSC-klagomål.docx", "A 44992-2024")</f>
        <v/>
      </c>
      <c r="AB36">
        <f>HYPERLINK("https://klasma.github.io/Logging_2082/klagomålsmail/A 44992-2024 FSC-klagomål mail.docx", "A 44992-2024")</f>
        <v/>
      </c>
      <c r="AC36">
        <f>HYPERLINK("https://klasma.github.io/Logging_2082/tillsyn/A 44992-2024 tillsynsbegäran.docx", "A 44992-2024")</f>
        <v/>
      </c>
      <c r="AD36">
        <f>HYPERLINK("https://klasma.github.io/Logging_2082/tillsynsmail/A 44992-2024 tillsynsbegäran mail.docx", "A 44992-2024")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46323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5232-2022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46323</v>
      </c>
      <c r="F38" t="inlineStr">
        <is>
          <t>DALARNAS LÄN</t>
        </is>
      </c>
      <c r="G38" t="inlineStr">
        <is>
          <t>SÄTER</t>
        </is>
      </c>
      <c r="I38" t="n">
        <v>2.5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Tvåblad</t>
        </is>
      </c>
      <c r="W38">
        <f>HYPERLINK("https://klasma.github.io/Logging_2082/artfynd/A 5232-2022 artfynd.xlsx", "A 5232-2022")</f>
        <v/>
      </c>
      <c r="X38">
        <f>HYPERLINK("https://klasma.github.io/Logging_2082/kartor/A 5232-2022 karta.png", "A 5232-2022")</f>
        <v/>
      </c>
      <c r="Y38">
        <f>HYPERLINK("https://klasma.github.io/Logging_2082/kartor_geotiff/A 5232-2022 georefererad karta.tif", "A 5232-2022")</f>
        <v/>
      </c>
      <c r="AA38">
        <f>HYPERLINK("https://klasma.github.io/Logging_2082/klagomål/A 5232-2022 FSC-klagomål.docx", "A 5232-2022")</f>
        <v/>
      </c>
      <c r="AB38">
        <f>HYPERLINK("https://klasma.github.io/Logging_2082/klagomålsmail/A 5232-2022 FSC-klagomål mail.docx", "A 5232-2022")</f>
        <v/>
      </c>
      <c r="AC38">
        <f>HYPERLINK("https://klasma.github.io/Logging_2082/tillsyn/A 5232-2022 tillsynsbegäran.docx", "A 5232-2022")</f>
        <v/>
      </c>
      <c r="AD38">
        <f>HYPERLINK("https://klasma.github.io/Logging_2082/tillsynsmail/A 5232-2022 tillsynsbegäran mail.docx", "A 5232-2022")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46323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11533-2026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46083</v>
      </c>
      <c r="E40" s="1" t="n">
        <v>46323</v>
      </c>
      <c r="F40" t="inlineStr">
        <is>
          <t>DALARNAS LÄN</t>
        </is>
      </c>
      <c r="G40" t="inlineStr">
        <is>
          <t>SÄTER</t>
        </is>
      </c>
      <c r="H40" t="inlineStr">
        <is>
          <t>Kommuner</t>
        </is>
      </c>
      <c r="I40" t="n">
        <v>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Fläcknycklar</t>
        </is>
      </c>
      <c r="W40">
        <f>HYPERLINK("https://klasma.github.io/Logging_2082/artfynd/A 11533-2026 artfynd.xlsx", "A 11533-2026")</f>
        <v/>
      </c>
      <c r="X40">
        <f>HYPERLINK("https://klasma.github.io/Logging_2082/kartor/A 11533-2026 karta.png", "A 11533-2026")</f>
        <v/>
      </c>
      <c r="Y40">
        <f>HYPERLINK("https://klasma.github.io/Logging_2082/kartor_geotiff/A 11533-2026 georefererad karta.tif", "A 11533-2026")</f>
        <v/>
      </c>
      <c r="AA40">
        <f>HYPERLINK("https://klasma.github.io/Logging_2082/klagomål/A 11533-2026 FSC-klagomål.docx", "A 11533-2026")</f>
        <v/>
      </c>
      <c r="AB40">
        <f>HYPERLINK("https://klasma.github.io/Logging_2082/klagomålsmail/A 11533-2026 FSC-klagomål mail.docx", "A 11533-2026")</f>
        <v/>
      </c>
      <c r="AC40">
        <f>HYPERLINK("https://klasma.github.io/Logging_2082/tillsyn/A 11533-2026 tillsynsbegäran.docx", "A 11533-2026")</f>
        <v/>
      </c>
      <c r="AD40">
        <f>HYPERLINK("https://klasma.github.io/Logging_2082/tillsynsmail/A 11533-2026 tillsynsbegäran mail.docx", "A 11533-2026")</f>
        <v/>
      </c>
    </row>
    <row r="41" ht="15" customHeight="1">
      <c r="A41" t="inlineStr">
        <is>
          <t>A 27715-2023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46323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HYPERLINK("https://klasma.github.io/Logging_2082/artfynd/A 27715-2023 artfynd.xlsx", "A 27715-2023")</f>
        <v/>
      </c>
      <c r="X41">
        <f>HYPERLINK("https://klasma.github.io/Logging_2082/kartor/A 27715-2023 karta.png", "A 27715-2023")</f>
        <v/>
      </c>
      <c r="Y41">
        <f>HYPERLINK("https://klasma.github.io/Logging_2082/kartor_geotiff/A 27715-2023 georefererad karta.tif", "A 27715-2023")</f>
        <v/>
      </c>
      <c r="AA41">
        <f>HYPERLINK("https://klasma.github.io/Logging_2082/klagomål/A 27715-2023 FSC-klagomål.docx", "A 27715-2023")</f>
        <v/>
      </c>
      <c r="AB41">
        <f>HYPERLINK("https://klasma.github.io/Logging_2082/klagomålsmail/A 27715-2023 FSC-klagomål mail.docx", "A 27715-2023")</f>
        <v/>
      </c>
      <c r="AC41">
        <f>HYPERLINK("https://klasma.github.io/Logging_2082/tillsyn/A 27715-2023 tillsynsbegäran.docx", "A 27715-2023")</f>
        <v/>
      </c>
      <c r="AD41">
        <f>HYPERLINK("https://klasma.github.io/Logging_2082/tillsynsmail/A 27715-2023 tillsynsbegäran mail.docx", "A 27715-2023")</f>
        <v/>
      </c>
    </row>
    <row r="42" ht="15" customHeight="1">
      <c r="A42" t="inlineStr">
        <is>
          <t>A 36969-2026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46273</v>
      </c>
      <c r="E42" s="1" t="n">
        <v>46323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Bronshjon</t>
        </is>
      </c>
      <c r="W42">
        <f>HYPERLINK("https://klasma.github.io/Logging_2082/artfynd/A 36969-2026 artfynd.xlsx", "A 36969-2026")</f>
        <v/>
      </c>
      <c r="X42">
        <f>HYPERLINK("https://klasma.github.io/Logging_2082/kartor/A 36969-2026 karta.png", "A 36969-2026")</f>
        <v/>
      </c>
      <c r="Y42">
        <f>HYPERLINK("https://klasma.github.io/Logging_2082/kartor_geotiff/A 36969-2026 georefererad karta.tif", "A 36969-2026")</f>
        <v/>
      </c>
      <c r="AA42">
        <f>HYPERLINK("https://klasma.github.io/Logging_2082/klagomål/A 36969-2026 FSC-klagomål.docx", "A 36969-2026")</f>
        <v/>
      </c>
      <c r="AB42">
        <f>HYPERLINK("https://klasma.github.io/Logging_2082/klagomålsmail/A 36969-2026 FSC-klagomål mail.docx", "A 36969-2026")</f>
        <v/>
      </c>
      <c r="AC42">
        <f>HYPERLINK("https://klasma.github.io/Logging_2082/tillsyn/A 36969-2026 tillsynsbegäran.docx", "A 36969-2026")</f>
        <v/>
      </c>
      <c r="AD42">
        <f>HYPERLINK("https://klasma.github.io/Logging_2082/tillsynsmail/A 36969-2026 tillsynsbegäran mail.docx", "A 36969-2026")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46323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46323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46323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34938-2025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46323</v>
      </c>
      <c r="F46" t="inlineStr">
        <is>
          <t>DALARNAS LÄN</t>
        </is>
      </c>
      <c r="G46" t="inlineStr">
        <is>
          <t>SÄTER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HYPERLINK("https://klasma.github.io/Logging_2082/artfynd/A 34938-2025 artfynd.xlsx", "A 34938-2025")</f>
        <v/>
      </c>
      <c r="X46">
        <f>HYPERLINK("https://klasma.github.io/Logging_2082/kartor/A 34938-2025 karta.png", "A 34938-2025")</f>
        <v/>
      </c>
      <c r="Y46">
        <f>HYPERLINK("https://klasma.github.io/Logging_2082/kartor_geotiff/A 34938-2025 georefererad karta.tif", "A 34938-2025")</f>
        <v/>
      </c>
      <c r="AA46">
        <f>HYPERLINK("https://klasma.github.io/Logging_2082/klagomål/A 34938-2025 FSC-klagomål.docx", "A 34938-2025")</f>
        <v/>
      </c>
      <c r="AB46">
        <f>HYPERLINK("https://klasma.github.io/Logging_2082/klagomålsmail/A 34938-2025 FSC-klagomål mail.docx", "A 34938-2025")</f>
        <v/>
      </c>
      <c r="AC46">
        <f>HYPERLINK("https://klasma.github.io/Logging_2082/tillsyn/A 34938-2025 tillsynsbegäran.docx", "A 34938-2025")</f>
        <v/>
      </c>
      <c r="AD46">
        <f>HYPERLINK("https://klasma.github.io/Logging_2082/tillsynsmail/A 34938-2025 tillsynsbegäran mail.docx", "A 34938-2025")</f>
        <v/>
      </c>
    </row>
    <row r="47" ht="15" customHeight="1">
      <c r="A47" t="inlineStr">
        <is>
          <t>A 35221-2025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45853</v>
      </c>
      <c r="E47" s="1" t="n">
        <v>46323</v>
      </c>
      <c r="F47" t="inlineStr">
        <is>
          <t>DALARNAS LÄN</t>
        </is>
      </c>
      <c r="G47" t="inlineStr">
        <is>
          <t>SÄTER</t>
        </is>
      </c>
      <c r="I47" t="n">
        <v>9.5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HYPERLINK("https://klasma.github.io/Logging_2082/artfynd/A 35221-2025 artfynd.xlsx", "A 35221-2025")</f>
        <v/>
      </c>
      <c r="X47">
        <f>HYPERLINK("https://klasma.github.io/Logging_2082/kartor/A 35221-2025 karta.png", "A 35221-2025")</f>
        <v/>
      </c>
      <c r="Y47">
        <f>HYPERLINK("https://klasma.github.io/Logging_2082/kartor_geotiff/A 35221-2025 georefererad karta.tif", "A 35221-2025")</f>
        <v/>
      </c>
      <c r="AA47">
        <f>HYPERLINK("https://klasma.github.io/Logging_2082/klagomål/A 35221-2025 FSC-klagomål.docx", "A 35221-2025")</f>
        <v/>
      </c>
      <c r="AB47">
        <f>HYPERLINK("https://klasma.github.io/Logging_2082/klagomålsmail/A 35221-2025 FSC-klagomål mail.docx", "A 35221-2025")</f>
        <v/>
      </c>
      <c r="AC47">
        <f>HYPERLINK("https://klasma.github.io/Logging_2082/tillsyn/A 35221-2025 tillsynsbegäran.docx", "A 35221-2025")</f>
        <v/>
      </c>
      <c r="AD47">
        <f>HYPERLINK("https://klasma.github.io/Logging_2082/tillsynsmail/A 35221-2025 tillsynsbegäran mail.docx", "A 35221-2025")</f>
        <v/>
      </c>
    </row>
    <row r="48" ht="15" customHeight="1">
      <c r="A48" t="inlineStr">
        <is>
          <t>A 68448-2021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46323</v>
      </c>
      <c r="F48" t="inlineStr">
        <is>
          <t>DALARNAS LÄN</t>
        </is>
      </c>
      <c r="G48" t="inlineStr">
        <is>
          <t>SÄTER</t>
        </is>
      </c>
      <c r="I48" t="n">
        <v>1.4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HYPERLINK("https://klasma.github.io/Logging_2082/artfynd/A 68448-2021 artfynd.xlsx", "A 68448-2021")</f>
        <v/>
      </c>
      <c r="X48">
        <f>HYPERLINK("https://klasma.github.io/Logging_2082/kartor/A 68448-2021 karta.png", "A 68448-2021")</f>
        <v/>
      </c>
      <c r="Y48">
        <f>HYPERLINK("https://klasma.github.io/Logging_2082/kartor_geotiff/A 68448-2021 georefererad karta.tif", "A 68448-2021")</f>
        <v/>
      </c>
      <c r="Z48">
        <f>HYPERLINK("https://klasma.github.io/Logging_2082/knärot/A 68448-2021 karta knärot.png", "A 68448-2021")</f>
        <v/>
      </c>
      <c r="AA48">
        <f>HYPERLINK("https://klasma.github.io/Logging_2082/klagomål/A 68448-2021 FSC-klagomål.docx", "A 68448-2021")</f>
        <v/>
      </c>
      <c r="AB48">
        <f>HYPERLINK("https://klasma.github.io/Logging_2082/klagomålsmail/A 68448-2021 FSC-klagomål mail.docx", "A 68448-2021")</f>
        <v/>
      </c>
      <c r="AC48">
        <f>HYPERLINK("https://klasma.github.io/Logging_2082/tillsyn/A 68448-2021 tillsynsbegäran.docx", "A 68448-2021")</f>
        <v/>
      </c>
      <c r="AD48">
        <f>HYPERLINK("https://klasma.github.io/Logging_2082/tillsynsmail/A 68448-2021 tillsynsbegäran mail.docx", "A 68448-2021")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46323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46323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46323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46323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46323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46323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46323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46323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46323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46323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46323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46323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46323</v>
      </c>
      <c r="F61" t="inlineStr">
        <is>
          <t>DALARNAS LÄN</t>
        </is>
      </c>
      <c r="G61" t="inlineStr">
        <is>
          <t>SÄTER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46323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46323</v>
      </c>
      <c r="F63" t="inlineStr">
        <is>
          <t>DALARNAS LÄN</t>
        </is>
      </c>
      <c r="G63" t="inlineStr">
        <is>
          <t>SÄTER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42998-2023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45182</v>
      </c>
      <c r="E64" s="1" t="n">
        <v>46323</v>
      </c>
      <c r="F64" t="inlineStr">
        <is>
          <t>DALARNAS LÄN</t>
        </is>
      </c>
      <c r="G64" t="inlineStr">
        <is>
          <t>SÄTER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46323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51320-2024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45604</v>
      </c>
      <c r="E66" s="1" t="n">
        <v>46323</v>
      </c>
      <c r="F66" t="inlineStr">
        <is>
          <t>DALARNAS LÄN</t>
        </is>
      </c>
      <c r="G66" t="inlineStr">
        <is>
          <t>SÄTER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51324-2024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45604</v>
      </c>
      <c r="E67" s="1" t="n">
        <v>46323</v>
      </c>
      <c r="F67" t="inlineStr">
        <is>
          <t>DALARNAS LÄN</t>
        </is>
      </c>
      <c r="G67" t="inlineStr">
        <is>
          <t>SÄTER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46323</v>
      </c>
      <c r="F68" t="inlineStr">
        <is>
          <t>DALARNAS LÄN</t>
        </is>
      </c>
      <c r="G68" t="inlineStr">
        <is>
          <t>SÄTER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46323</v>
      </c>
      <c r="F69" t="inlineStr">
        <is>
          <t>DALARNAS LÄN</t>
        </is>
      </c>
      <c r="G69" t="inlineStr">
        <is>
          <t>SÄTER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46323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46323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45453</v>
      </c>
      <c r="E72" s="1" t="n">
        <v>46323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46323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46323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44500</v>
      </c>
      <c r="E75" s="1" t="n">
        <v>46323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46323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46323</v>
      </c>
      <c r="F77" t="inlineStr">
        <is>
          <t>DALARNAS LÄN</t>
        </is>
      </c>
      <c r="G77" t="inlineStr">
        <is>
          <t>SÄTER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46323</v>
      </c>
      <c r="F78" t="inlineStr">
        <is>
          <t>DALARNAS LÄN</t>
        </is>
      </c>
      <c r="G78" t="inlineStr">
        <is>
          <t>SÄTER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45628</v>
      </c>
      <c r="E79" s="1" t="n">
        <v>46323</v>
      </c>
      <c r="F79" t="inlineStr">
        <is>
          <t>DALARNAS LÄN</t>
        </is>
      </c>
      <c r="G79" t="inlineStr">
        <is>
          <t>SÄTER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45628</v>
      </c>
      <c r="E80" s="1" t="n">
        <v>46323</v>
      </c>
      <c r="F80" t="inlineStr">
        <is>
          <t>DALARNAS LÄN</t>
        </is>
      </c>
      <c r="G80" t="inlineStr">
        <is>
          <t>SÄTER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46323</v>
      </c>
      <c r="F81" t="inlineStr">
        <is>
          <t>DALARNAS LÄN</t>
        </is>
      </c>
      <c r="G81" t="inlineStr">
        <is>
          <t>SÄTER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46323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46323</v>
      </c>
      <c r="F83" t="inlineStr">
        <is>
          <t>DALARNAS LÄN</t>
        </is>
      </c>
      <c r="G83" t="inlineStr">
        <is>
          <t>SÄTER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55497-2024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45622</v>
      </c>
      <c r="E84" s="1" t="n">
        <v>46323</v>
      </c>
      <c r="F84" t="inlineStr">
        <is>
          <t>DALARNAS LÄN</t>
        </is>
      </c>
      <c r="G84" t="inlineStr">
        <is>
          <t>SÄTER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46323</v>
      </c>
      <c r="F85" t="inlineStr">
        <is>
          <t>DALARNAS LÄN</t>
        </is>
      </c>
      <c r="G85" t="inlineStr">
        <is>
          <t>SÄTER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46323</v>
      </c>
      <c r="F86" t="inlineStr">
        <is>
          <t>DALARNAS LÄN</t>
        </is>
      </c>
      <c r="G86" t="inlineStr">
        <is>
          <t>SÄTER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46323</v>
      </c>
      <c r="F87" t="inlineStr">
        <is>
          <t>DALARNAS LÄN</t>
        </is>
      </c>
      <c r="G87" t="inlineStr">
        <is>
          <t>SÄTER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46323</v>
      </c>
      <c r="F88" t="inlineStr">
        <is>
          <t>DALARNAS LÄN</t>
        </is>
      </c>
      <c r="G88" t="inlineStr">
        <is>
          <t>SÄTER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46323</v>
      </c>
      <c r="F89" t="inlineStr">
        <is>
          <t>DALARNAS LÄN</t>
        </is>
      </c>
      <c r="G89" t="inlineStr">
        <is>
          <t>SÄTER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46323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46323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46323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46323</v>
      </c>
      <c r="F93" t="inlineStr">
        <is>
          <t>DALARNAS LÄN</t>
        </is>
      </c>
      <c r="G93" t="inlineStr">
        <is>
          <t>SÄTER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46323</v>
      </c>
      <c r="F94" t="inlineStr">
        <is>
          <t>DALARNAS LÄN</t>
        </is>
      </c>
      <c r="G94" t="inlineStr">
        <is>
          <t>SÄTER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46323</v>
      </c>
      <c r="F95" t="inlineStr">
        <is>
          <t>DALARNAS LÄN</t>
        </is>
      </c>
      <c r="G95" t="inlineStr">
        <is>
          <t>SÄTER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46323</v>
      </c>
      <c r="F96" t="inlineStr">
        <is>
          <t>DALARNAS LÄN</t>
        </is>
      </c>
      <c r="G96" t="inlineStr">
        <is>
          <t>SÄTER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46323</v>
      </c>
      <c r="F97" t="inlineStr">
        <is>
          <t>DALARNAS LÄN</t>
        </is>
      </c>
      <c r="G97" t="inlineStr">
        <is>
          <t>SÄTER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46323</v>
      </c>
      <c r="F98" t="inlineStr">
        <is>
          <t>DALARNAS LÄN</t>
        </is>
      </c>
      <c r="G98" t="inlineStr">
        <is>
          <t>SÄTER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44978</v>
      </c>
      <c r="E99" s="1" t="n">
        <v>46323</v>
      </c>
      <c r="F99" t="inlineStr">
        <is>
          <t>DALARNAS LÄN</t>
        </is>
      </c>
      <c r="G99" t="inlineStr">
        <is>
          <t>SÄTER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46323</v>
      </c>
      <c r="F100" t="inlineStr">
        <is>
          <t>DALARNAS LÄN</t>
        </is>
      </c>
      <c r="G100" t="inlineStr">
        <is>
          <t>SÄTER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46323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44965</v>
      </c>
      <c r="E102" s="1" t="n">
        <v>46323</v>
      </c>
      <c r="F102" t="inlineStr">
        <is>
          <t>DALARNAS LÄN</t>
        </is>
      </c>
      <c r="G102" t="inlineStr">
        <is>
          <t>SÄTER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28549-2022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44748</v>
      </c>
      <c r="E103" s="1" t="n">
        <v>46323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46323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46323</v>
      </c>
      <c r="F105" t="inlineStr">
        <is>
          <t>DALARNAS LÄN</t>
        </is>
      </c>
      <c r="G105" t="inlineStr">
        <is>
          <t>SÄTER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46323</v>
      </c>
      <c r="F106" t="inlineStr">
        <is>
          <t>DALARNAS LÄN</t>
        </is>
      </c>
      <c r="G106" t="inlineStr">
        <is>
          <t>SÄTER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46323</v>
      </c>
      <c r="F107" t="inlineStr">
        <is>
          <t>DALARNAS LÄN</t>
        </is>
      </c>
      <c r="G107" t="inlineStr">
        <is>
          <t>SÄTER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46323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45365</v>
      </c>
      <c r="E109" s="1" t="n">
        <v>46323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46323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  <c r="Z110">
        <f>HYPERLINK("https://klasma.github.io/Logging_2082/knärot/A 57416-2022 karta knärot.png", "A 57416-2022")</f>
        <v/>
      </c>
      <c r="AA110">
        <f>HYPERLINK("https://klasma.github.io/Logging_2082/klagomål/A 57416-2022 FSC-klagomål.docx", "A 57416-2022")</f>
        <v/>
      </c>
      <c r="AB110">
        <f>HYPERLINK("https://klasma.github.io/Logging_2082/klagomålsmail/A 57416-2022 FSC-klagomål mail.docx", "A 57416-2022")</f>
        <v/>
      </c>
      <c r="AC110">
        <f>HYPERLINK("https://klasma.github.io/Logging_2082/tillsyn/A 57416-2022 tillsynsbegäran.docx", "A 57416-2022")</f>
        <v/>
      </c>
      <c r="AD110">
        <f>HYPERLINK("https://klasma.github.io/Logging_2082/tillsynsmail/A 57416-2022 tillsynsbegäran mail.docx", "A 57416-2022")</f>
        <v/>
      </c>
    </row>
    <row r="111" ht="15" customHeight="1">
      <c r="A111" t="inlineStr">
        <is>
          <t>A 45225-2022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46323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46323</v>
      </c>
      <c r="F112" t="inlineStr">
        <is>
          <t>DALARNAS LÄN</t>
        </is>
      </c>
      <c r="G112" t="inlineStr">
        <is>
          <t>SÄTER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46323</v>
      </c>
      <c r="F113" t="inlineStr">
        <is>
          <t>DALARNAS LÄN</t>
        </is>
      </c>
      <c r="G113" t="inlineStr">
        <is>
          <t>SÄTER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46323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46323</v>
      </c>
      <c r="F115" t="inlineStr">
        <is>
          <t>DALARNAS LÄN</t>
        </is>
      </c>
      <c r="G115" t="inlineStr">
        <is>
          <t>SÄTER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46323</v>
      </c>
      <c r="F116" t="inlineStr">
        <is>
          <t>DALARNAS LÄN</t>
        </is>
      </c>
      <c r="G116" t="inlineStr">
        <is>
          <t>SÄTER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51333-2024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45604</v>
      </c>
      <c r="E117" s="1" t="n">
        <v>46323</v>
      </c>
      <c r="F117" t="inlineStr">
        <is>
          <t>DALARNAS LÄN</t>
        </is>
      </c>
      <c r="G117" t="inlineStr">
        <is>
          <t>SÄTER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46323</v>
      </c>
      <c r="F118" t="inlineStr">
        <is>
          <t>DALARNAS LÄN</t>
        </is>
      </c>
      <c r="G118" t="inlineStr">
        <is>
          <t>SÄTER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46323</v>
      </c>
      <c r="F119" t="inlineStr">
        <is>
          <t>DALARNAS LÄN</t>
        </is>
      </c>
      <c r="G119" t="inlineStr">
        <is>
          <t>SÄTER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46323</v>
      </c>
      <c r="F120" t="inlineStr">
        <is>
          <t>DALARNAS LÄN</t>
        </is>
      </c>
      <c r="G120" t="inlineStr">
        <is>
          <t>SÄTER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46323</v>
      </c>
      <c r="F121" t="inlineStr">
        <is>
          <t>DALARNAS LÄN</t>
        </is>
      </c>
      <c r="G121" t="inlineStr">
        <is>
          <t>SÄTER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46323</v>
      </c>
      <c r="F122" t="inlineStr">
        <is>
          <t>DALARNAS LÄN</t>
        </is>
      </c>
      <c r="G122" t="inlineStr">
        <is>
          <t>SÄTER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46323</v>
      </c>
      <c r="F123" t="inlineStr">
        <is>
          <t>DALARNAS LÄN</t>
        </is>
      </c>
      <c r="G123" t="inlineStr">
        <is>
          <t>SÄTER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46323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46323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69744-2021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44532</v>
      </c>
      <c r="E126" s="1" t="n">
        <v>46323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46323</v>
      </c>
      <c r="F127" t="inlineStr">
        <is>
          <t>DALARNAS LÄN</t>
        </is>
      </c>
      <c r="G127" t="inlineStr">
        <is>
          <t>SÄTER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46323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46323</v>
      </c>
      <c r="F129" t="inlineStr">
        <is>
          <t>DALARNAS LÄN</t>
        </is>
      </c>
      <c r="G129" t="inlineStr">
        <is>
          <t>SÄTER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  <c r="Z129">
        <f>HYPERLINK("https://klasma.github.io/Logging_2082/knärot/A 498-2025 karta knärot.png", "A 498-2025")</f>
        <v/>
      </c>
      <c r="AA129">
        <f>HYPERLINK("https://klasma.github.io/Logging_2082/klagomål/A 498-2025 FSC-klagomål.docx", "A 498-2025")</f>
        <v/>
      </c>
      <c r="AB129">
        <f>HYPERLINK("https://klasma.github.io/Logging_2082/klagomålsmail/A 498-2025 FSC-klagomål mail.docx", "A 498-2025")</f>
        <v/>
      </c>
      <c r="AC129">
        <f>HYPERLINK("https://klasma.github.io/Logging_2082/tillsyn/A 498-2025 tillsynsbegäran.docx", "A 498-2025")</f>
        <v/>
      </c>
      <c r="AD129">
        <f>HYPERLINK("https://klasma.github.io/Logging_2082/tillsynsmail/A 498-2025 tillsynsbegäran mail.docx", "A 498-2025")</f>
        <v/>
      </c>
    </row>
    <row r="130" ht="15" customHeight="1">
      <c r="A130" t="inlineStr">
        <is>
          <t>A 16843-2024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45411</v>
      </c>
      <c r="E130" s="1" t="n">
        <v>46323</v>
      </c>
      <c r="F130" t="inlineStr">
        <is>
          <t>DALARNAS LÄN</t>
        </is>
      </c>
      <c r="G130" t="inlineStr">
        <is>
          <t>SÄTER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46323</v>
      </c>
      <c r="F131" t="inlineStr">
        <is>
          <t>DALARNAS LÄN</t>
        </is>
      </c>
      <c r="G131" t="inlineStr">
        <is>
          <t>SÄTER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51323-2024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45604</v>
      </c>
      <c r="E132" s="1" t="n">
        <v>46323</v>
      </c>
      <c r="F132" t="inlineStr">
        <is>
          <t>DALARNAS LÄN</t>
        </is>
      </c>
      <c r="G132" t="inlineStr">
        <is>
          <t>SÄTER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46323</v>
      </c>
      <c r="F133" t="inlineStr">
        <is>
          <t>DALARNAS LÄN</t>
        </is>
      </c>
      <c r="G133" t="inlineStr">
        <is>
          <t>SÄTER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46323</v>
      </c>
      <c r="F134" t="inlineStr">
        <is>
          <t>DALARNAS LÄN</t>
        </is>
      </c>
      <c r="G134" t="inlineStr">
        <is>
          <t>SÄTER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46323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46323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44572</v>
      </c>
      <c r="E137" s="1" t="n">
        <v>46323</v>
      </c>
      <c r="F137" t="inlineStr">
        <is>
          <t>DALARNAS LÄN</t>
        </is>
      </c>
      <c r="G137" t="inlineStr">
        <is>
          <t>SÄTER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44866</v>
      </c>
      <c r="E138" s="1" t="n">
        <v>46323</v>
      </c>
      <c r="F138" t="inlineStr">
        <is>
          <t>DALARNAS LÄN</t>
        </is>
      </c>
      <c r="G138" t="inlineStr">
        <is>
          <t>SÄTER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46323</v>
      </c>
      <c r="F139" t="inlineStr">
        <is>
          <t>DALARNAS LÄN</t>
        </is>
      </c>
      <c r="G139" t="inlineStr">
        <is>
          <t>SÄTER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46323</v>
      </c>
      <c r="F140" t="inlineStr">
        <is>
          <t>DALARNAS LÄN</t>
        </is>
      </c>
      <c r="G140" t="inlineStr">
        <is>
          <t>SÄTER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46323</v>
      </c>
      <c r="F141" t="inlineStr">
        <is>
          <t>DALARNAS LÄN</t>
        </is>
      </c>
      <c r="G141" t="inlineStr">
        <is>
          <t>SÄTER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46323</v>
      </c>
      <c r="F142" t="inlineStr">
        <is>
          <t>DALARNAS LÄN</t>
        </is>
      </c>
      <c r="G142" t="inlineStr">
        <is>
          <t>SÄTER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46323</v>
      </c>
      <c r="F143" t="inlineStr">
        <is>
          <t>DALARNAS LÄN</t>
        </is>
      </c>
      <c r="G143" t="inlineStr">
        <is>
          <t>SÄTER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46323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46323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46323</v>
      </c>
      <c r="F146" t="inlineStr">
        <is>
          <t>DALARNAS LÄN</t>
        </is>
      </c>
      <c r="G146" t="inlineStr">
        <is>
          <t>SÄTER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46323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45138</v>
      </c>
      <c r="E148" s="1" t="n">
        <v>46323</v>
      </c>
      <c r="F148" t="inlineStr">
        <is>
          <t>DALARNAS LÄN</t>
        </is>
      </c>
      <c r="G148" t="inlineStr">
        <is>
          <t>SÄTER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44924</v>
      </c>
      <c r="E149" s="1" t="n">
        <v>46323</v>
      </c>
      <c r="F149" t="inlineStr">
        <is>
          <t>DALARNAS LÄN</t>
        </is>
      </c>
      <c r="G149" t="inlineStr">
        <is>
          <t>SÄTER</t>
        </is>
      </c>
      <c r="H149" t="inlineStr">
        <is>
          <t>Kommuner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46323</v>
      </c>
      <c r="F150" t="inlineStr">
        <is>
          <t>DALARNAS LÄN</t>
        </is>
      </c>
      <c r="G150" t="inlineStr">
        <is>
          <t>SÄTER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45330</v>
      </c>
      <c r="E151" s="1" t="n">
        <v>46323</v>
      </c>
      <c r="F151" t="inlineStr">
        <is>
          <t>DALARNAS LÄN</t>
        </is>
      </c>
      <c r="G151" t="inlineStr">
        <is>
          <t>SÄTER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46323</v>
      </c>
      <c r="F152" t="inlineStr">
        <is>
          <t>DALARNAS LÄN</t>
        </is>
      </c>
      <c r="G152" t="inlineStr">
        <is>
          <t>SÄTER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44585</v>
      </c>
      <c r="E153" s="1" t="n">
        <v>46323</v>
      </c>
      <c r="F153" t="inlineStr">
        <is>
          <t>DALARNAS LÄN</t>
        </is>
      </c>
      <c r="G153" t="inlineStr">
        <is>
          <t>SÄTER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46323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46323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46323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46323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46323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46323</v>
      </c>
      <c r="F159" t="inlineStr">
        <is>
          <t>DALARNAS LÄN</t>
        </is>
      </c>
      <c r="G159" t="inlineStr">
        <is>
          <t>SÄTER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46323</v>
      </c>
      <c r="F160" t="inlineStr">
        <is>
          <t>DALARNAS LÄN</t>
        </is>
      </c>
      <c r="G160" t="inlineStr">
        <is>
          <t>SÄTER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45171</v>
      </c>
      <c r="E161" s="1" t="n">
        <v>46323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45216</v>
      </c>
      <c r="E162" s="1" t="n">
        <v>46323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53559-2025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45960</v>
      </c>
      <c r="E163" s="1" t="n">
        <v>46323</v>
      </c>
      <c r="F163" t="inlineStr">
        <is>
          <t>DALARNAS LÄN</t>
        </is>
      </c>
      <c r="G163" t="inlineStr">
        <is>
          <t>SÄTER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46323</v>
      </c>
      <c r="F164" t="inlineStr">
        <is>
          <t>DALARNAS LÄN</t>
        </is>
      </c>
      <c r="G164" t="inlineStr">
        <is>
          <t>SÄTER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46323</v>
      </c>
      <c r="F165" t="inlineStr">
        <is>
          <t>DALARNAS LÄN</t>
        </is>
      </c>
      <c r="G165" t="inlineStr">
        <is>
          <t>SÄTER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46323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46323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46323</v>
      </c>
      <c r="F168" t="inlineStr">
        <is>
          <t>DALARNAS LÄN</t>
        </is>
      </c>
      <c r="G168" t="inlineStr">
        <is>
          <t>SÄTER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45783</v>
      </c>
      <c r="E169" s="1" t="n">
        <v>46323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44572</v>
      </c>
      <c r="E170" s="1" t="n">
        <v>46323</v>
      </c>
      <c r="F170" t="inlineStr">
        <is>
          <t>DALARNAS LÄN</t>
        </is>
      </c>
      <c r="G170" t="inlineStr">
        <is>
          <t>SÄTER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45569</v>
      </c>
      <c r="E171" s="1" t="n">
        <v>46323</v>
      </c>
      <c r="F171" t="inlineStr">
        <is>
          <t>DALARNAS LÄN</t>
        </is>
      </c>
      <c r="G171" t="inlineStr">
        <is>
          <t>SÄTER</t>
        </is>
      </c>
      <c r="I171" t="n">
        <v>13.2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45971</v>
      </c>
      <c r="E172" s="1" t="n">
        <v>46323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46323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46323</v>
      </c>
      <c r="F174" t="inlineStr">
        <is>
          <t>DALARNAS LÄN</t>
        </is>
      </c>
      <c r="G174" t="inlineStr">
        <is>
          <t>SÄTER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46323</v>
      </c>
      <c r="F175" t="inlineStr">
        <is>
          <t>DALARNAS LÄN</t>
        </is>
      </c>
      <c r="G175" t="inlineStr">
        <is>
          <t>SÄTER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46323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46323</v>
      </c>
      <c r="F177" t="inlineStr">
        <is>
          <t>DALARNAS LÄN</t>
        </is>
      </c>
      <c r="G177" t="inlineStr">
        <is>
          <t>SÄTER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46323</v>
      </c>
      <c r="F178" t="inlineStr">
        <is>
          <t>DALARNAS LÄN</t>
        </is>
      </c>
      <c r="G178" t="inlineStr">
        <is>
          <t>SÄTER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46323</v>
      </c>
      <c r="F179" t="inlineStr">
        <is>
          <t>DALARNAS LÄN</t>
        </is>
      </c>
      <c r="G179" t="inlineStr">
        <is>
          <t>SÄTER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46323</v>
      </c>
      <c r="F180" t="inlineStr">
        <is>
          <t>DALARNAS LÄN</t>
        </is>
      </c>
      <c r="G180" t="inlineStr">
        <is>
          <t>SÄTER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46323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46323</v>
      </c>
      <c r="F182" t="inlineStr">
        <is>
          <t>DALARNAS LÄN</t>
        </is>
      </c>
      <c r="G182" t="inlineStr">
        <is>
          <t>SÄTER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46323</v>
      </c>
      <c r="F183" t="inlineStr">
        <is>
          <t>DALARNAS LÄN</t>
        </is>
      </c>
      <c r="G183" t="inlineStr">
        <is>
          <t>SÄTER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46323</v>
      </c>
      <c r="F184" t="inlineStr">
        <is>
          <t>DALARNAS LÄN</t>
        </is>
      </c>
      <c r="G184" t="inlineStr">
        <is>
          <t>SÄTER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45432</v>
      </c>
      <c r="E185" s="1" t="n">
        <v>46323</v>
      </c>
      <c r="F185" t="inlineStr">
        <is>
          <t>DALARNAS LÄN</t>
        </is>
      </c>
      <c r="G185" t="inlineStr">
        <is>
          <t>SÄTER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46323</v>
      </c>
      <c r="F186" t="inlineStr">
        <is>
          <t>DALARNAS LÄN</t>
        </is>
      </c>
      <c r="G186" t="inlineStr">
        <is>
          <t>SÄTER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46323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45644</v>
      </c>
      <c r="E188" s="1" t="n">
        <v>46323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46323</v>
      </c>
      <c r="F189" t="inlineStr">
        <is>
          <t>DALARNAS LÄN</t>
        </is>
      </c>
      <c r="G189" t="inlineStr">
        <is>
          <t>SÄTER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46323</v>
      </c>
      <c r="F190" t="inlineStr">
        <is>
          <t>DALARNAS LÄN</t>
        </is>
      </c>
      <c r="G190" t="inlineStr">
        <is>
          <t>SÄTER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46323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46026</v>
      </c>
      <c r="E192" s="1" t="n">
        <v>46323</v>
      </c>
      <c r="F192" t="inlineStr">
        <is>
          <t>DALARNAS LÄN</t>
        </is>
      </c>
      <c r="G192" t="inlineStr">
        <is>
          <t>SÄTER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46323</v>
      </c>
      <c r="F193" t="inlineStr">
        <is>
          <t>DALARNAS LÄN</t>
        </is>
      </c>
      <c r="G193" t="inlineStr">
        <is>
          <t>SÄTER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46030</v>
      </c>
      <c r="E194" s="1" t="n">
        <v>46323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45427</v>
      </c>
      <c r="E195" s="1" t="n">
        <v>46323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46323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46323</v>
      </c>
      <c r="F197" t="inlineStr">
        <is>
          <t>DALARNAS LÄN</t>
        </is>
      </c>
      <c r="G197" t="inlineStr">
        <is>
          <t>SÄTER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46323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46323</v>
      </c>
      <c r="F199" t="inlineStr">
        <is>
          <t>DALARNAS LÄN</t>
        </is>
      </c>
      <c r="G199" t="inlineStr">
        <is>
          <t>SÄTER</t>
        </is>
      </c>
      <c r="H199" t="inlineStr">
        <is>
          <t>Kommuner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46323</v>
      </c>
      <c r="F200" t="inlineStr">
        <is>
          <t>DALARNAS LÄN</t>
        </is>
      </c>
      <c r="G200" t="inlineStr">
        <is>
          <t>SÄTER</t>
        </is>
      </c>
      <c r="H200" t="inlineStr">
        <is>
          <t>Kommuner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46323</v>
      </c>
      <c r="F201" t="inlineStr">
        <is>
          <t>DALARNAS LÄN</t>
        </is>
      </c>
      <c r="G201" t="inlineStr">
        <is>
          <t>SÄTER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44691</v>
      </c>
      <c r="E202" s="1" t="n">
        <v>46323</v>
      </c>
      <c r="F202" t="inlineStr">
        <is>
          <t>DALARNAS LÄN</t>
        </is>
      </c>
      <c r="G202" t="inlineStr">
        <is>
          <t>SÄTER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46323</v>
      </c>
      <c r="F203" t="inlineStr">
        <is>
          <t>DALARNAS LÄN</t>
        </is>
      </c>
      <c r="G203" t="inlineStr">
        <is>
          <t>SÄTER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46323</v>
      </c>
      <c r="F204" t="inlineStr">
        <is>
          <t>DALARNAS LÄN</t>
        </is>
      </c>
      <c r="G204" t="inlineStr">
        <is>
          <t>SÄTER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46323</v>
      </c>
      <c r="F205" t="inlineStr">
        <is>
          <t>DALARNAS LÄN</t>
        </is>
      </c>
      <c r="G205" t="inlineStr">
        <is>
          <t>SÄTER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46323</v>
      </c>
      <c r="F206" t="inlineStr">
        <is>
          <t>DALARNAS LÄN</t>
        </is>
      </c>
      <c r="G206" t="inlineStr">
        <is>
          <t>SÄTER</t>
        </is>
      </c>
      <c r="I206" t="n">
        <v>10.9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46323</v>
      </c>
      <c r="F207" t="inlineStr">
        <is>
          <t>DALARNAS LÄN</t>
        </is>
      </c>
      <c r="G207" t="inlineStr">
        <is>
          <t>SÄTER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46323</v>
      </c>
      <c r="F208" t="inlineStr">
        <is>
          <t>DALARNAS LÄN</t>
        </is>
      </c>
      <c r="G208" t="inlineStr">
        <is>
          <t>SÄTER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46323</v>
      </c>
      <c r="F209" t="inlineStr">
        <is>
          <t>DALARNAS LÄN</t>
        </is>
      </c>
      <c r="G209" t="inlineStr">
        <is>
          <t>SÄTER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46323</v>
      </c>
      <c r="F210" t="inlineStr">
        <is>
          <t>DALARNAS LÄN</t>
        </is>
      </c>
      <c r="G210" t="inlineStr">
        <is>
          <t>SÄTER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46323</v>
      </c>
      <c r="F211" t="inlineStr">
        <is>
          <t>DALARNAS LÄN</t>
        </is>
      </c>
      <c r="G211" t="inlineStr">
        <is>
          <t>SÄTER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46323</v>
      </c>
      <c r="F212" t="inlineStr">
        <is>
          <t>DALARNAS LÄN</t>
        </is>
      </c>
      <c r="G212" t="inlineStr">
        <is>
          <t>SÄTER</t>
        </is>
      </c>
      <c r="I212" t="n">
        <v>10.6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46323</v>
      </c>
      <c r="F213" t="inlineStr">
        <is>
          <t>DALARNAS LÄN</t>
        </is>
      </c>
      <c r="G213" t="inlineStr">
        <is>
          <t>SÄTER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46211</v>
      </c>
      <c r="E214" s="1" t="n">
        <v>46323</v>
      </c>
      <c r="F214" t="inlineStr">
        <is>
          <t>DALARNAS LÄN</t>
        </is>
      </c>
      <c r="G214" t="inlineStr">
        <is>
          <t>SÄTER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46323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46323</v>
      </c>
      <c r="F216" t="inlineStr">
        <is>
          <t>DALARNAS LÄN</t>
        </is>
      </c>
      <c r="G216" t="inlineStr">
        <is>
          <t>SÄTER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46323</v>
      </c>
      <c r="F217" t="inlineStr">
        <is>
          <t>DALARNAS LÄN</t>
        </is>
      </c>
      <c r="G217" t="inlineStr">
        <is>
          <t>SÄTER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45232</v>
      </c>
      <c r="E218" s="1" t="n">
        <v>46323</v>
      </c>
      <c r="F218" t="inlineStr">
        <is>
          <t>DALARNAS LÄN</t>
        </is>
      </c>
      <c r="G218" t="inlineStr">
        <is>
          <t>SÄTER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46323</v>
      </c>
      <c r="F219" t="inlineStr">
        <is>
          <t>DALARNAS LÄN</t>
        </is>
      </c>
      <c r="G219" t="inlineStr">
        <is>
          <t>SÄTER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46323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46323</v>
      </c>
      <c r="F221" t="inlineStr">
        <is>
          <t>DALARNAS LÄN</t>
        </is>
      </c>
      <c r="G221" t="inlineStr">
        <is>
          <t>SÄTER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46323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55650-2024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46323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46323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46323</v>
      </c>
      <c r="F225" t="inlineStr">
        <is>
          <t>DALARNAS LÄN</t>
        </is>
      </c>
      <c r="G225" t="inlineStr">
        <is>
          <t>SÄTER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45670</v>
      </c>
      <c r="E226" s="1" t="n">
        <v>46323</v>
      </c>
      <c r="F226" t="inlineStr">
        <is>
          <t>DALARNAS LÄN</t>
        </is>
      </c>
      <c r="G226" t="inlineStr">
        <is>
          <t>SÄTER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46323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46323</v>
      </c>
      <c r="F228" t="inlineStr">
        <is>
          <t>DALARNAS LÄN</t>
        </is>
      </c>
      <c r="G228" t="inlineStr">
        <is>
          <t>SÄTER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45377</v>
      </c>
      <c r="E229" s="1" t="n">
        <v>46323</v>
      </c>
      <c r="F229" t="inlineStr">
        <is>
          <t>DALARNAS LÄN</t>
        </is>
      </c>
      <c r="G229" t="inlineStr">
        <is>
          <t>SÄTER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46323</v>
      </c>
      <c r="F230" t="inlineStr">
        <is>
          <t>DALARNAS LÄN</t>
        </is>
      </c>
      <c r="G230" t="inlineStr">
        <is>
          <t>SÄTER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46323</v>
      </c>
      <c r="F231" t="inlineStr">
        <is>
          <t>DALARNAS LÄN</t>
        </is>
      </c>
      <c r="G231" t="inlineStr">
        <is>
          <t>SÄTER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44690</v>
      </c>
      <c r="E232" s="1" t="n">
        <v>46323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46323</v>
      </c>
      <c r="F233" t="inlineStr">
        <is>
          <t>DALARNAS LÄN</t>
        </is>
      </c>
      <c r="G233" t="inlineStr">
        <is>
          <t>SÄTER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46323</v>
      </c>
      <c r="F234" t="inlineStr">
        <is>
          <t>DALARNAS LÄN</t>
        </is>
      </c>
      <c r="G234" t="inlineStr">
        <is>
          <t>SÄTER</t>
        </is>
      </c>
      <c r="I234" t="n">
        <v>9.9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46234</v>
      </c>
      <c r="E235" s="1" t="n">
        <v>46323</v>
      </c>
      <c r="F235" t="inlineStr">
        <is>
          <t>DALARNAS LÄN</t>
        </is>
      </c>
      <c r="G235" t="inlineStr">
        <is>
          <t>SÄTER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44727</v>
      </c>
      <c r="E236" s="1" t="n">
        <v>46323</v>
      </c>
      <c r="F236" t="inlineStr">
        <is>
          <t>DALARNAS LÄN</t>
        </is>
      </c>
      <c r="G236" t="inlineStr">
        <is>
          <t>SÄTER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46323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46283</v>
      </c>
      <c r="E238" s="1" t="n">
        <v>46323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46323</v>
      </c>
      <c r="F239" t="inlineStr">
        <is>
          <t>DALARNAS LÄN</t>
        </is>
      </c>
      <c r="G239" t="inlineStr">
        <is>
          <t>SÄTER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46323</v>
      </c>
      <c r="F240" t="inlineStr">
        <is>
          <t>DALARNAS LÄN</t>
        </is>
      </c>
      <c r="G240" t="inlineStr">
        <is>
          <t>SÄTER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46323</v>
      </c>
      <c r="F241" t="inlineStr">
        <is>
          <t>DALARNAS LÄN</t>
        </is>
      </c>
      <c r="G241" t="inlineStr">
        <is>
          <t>SÄTER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46323</v>
      </c>
      <c r="F242" t="inlineStr">
        <is>
          <t>DALARNAS LÄN</t>
        </is>
      </c>
      <c r="G242" t="inlineStr">
        <is>
          <t>SÄTER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44739</v>
      </c>
      <c r="E243" s="1" t="n">
        <v>46323</v>
      </c>
      <c r="F243" t="inlineStr">
        <is>
          <t>DALARNAS LÄN</t>
        </is>
      </c>
      <c r="G243" t="inlineStr">
        <is>
          <t>SÄTER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44732</v>
      </c>
      <c r="E244" s="1" t="n">
        <v>46323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46323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46323</v>
      </c>
      <c r="F246" t="inlineStr">
        <is>
          <t>DALARNAS LÄN</t>
        </is>
      </c>
      <c r="G246" t="inlineStr">
        <is>
          <t>SÄTER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46323</v>
      </c>
      <c r="F247" t="inlineStr">
        <is>
          <t>DALARNAS LÄN</t>
        </is>
      </c>
      <c r="G247" t="inlineStr">
        <is>
          <t>SÄTER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45366</v>
      </c>
      <c r="E248" s="1" t="n">
        <v>46323</v>
      </c>
      <c r="F248" t="inlineStr">
        <is>
          <t>DALARNAS LÄN</t>
        </is>
      </c>
      <c r="G248" t="inlineStr">
        <is>
          <t>SÄTER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46323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46323</v>
      </c>
      <c r="F250" t="inlineStr">
        <is>
          <t>DALARNAS LÄN</t>
        </is>
      </c>
      <c r="G250" t="inlineStr">
        <is>
          <t>SÄTER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46323</v>
      </c>
      <c r="F251" t="inlineStr">
        <is>
          <t>DALARNAS LÄN</t>
        </is>
      </c>
      <c r="G251" t="inlineStr">
        <is>
          <t>SÄTER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46323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46323</v>
      </c>
      <c r="F253" t="inlineStr">
        <is>
          <t>DALARNAS LÄN</t>
        </is>
      </c>
      <c r="G253" t="inlineStr">
        <is>
          <t>SÄTER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46323</v>
      </c>
      <c r="F254" t="inlineStr">
        <is>
          <t>DALARNAS LÄN</t>
        </is>
      </c>
      <c r="G254" t="inlineStr">
        <is>
          <t>SÄTER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46323</v>
      </c>
      <c r="F255" t="inlineStr">
        <is>
          <t>DALARNAS LÄN</t>
        </is>
      </c>
      <c r="G255" t="inlineStr">
        <is>
          <t>SÄTER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46323</v>
      </c>
      <c r="F256" t="inlineStr">
        <is>
          <t>DALARNAS LÄN</t>
        </is>
      </c>
      <c r="G256" t="inlineStr">
        <is>
          <t>SÄTER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46290</v>
      </c>
      <c r="E257" s="1" t="n">
        <v>46323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46323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46323</v>
      </c>
      <c r="F259" t="inlineStr">
        <is>
          <t>DALARNAS LÄN</t>
        </is>
      </c>
      <c r="G259" t="inlineStr">
        <is>
          <t>SÄTER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46290</v>
      </c>
      <c r="E260" s="1" t="n">
        <v>46323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46323</v>
      </c>
      <c r="F261" t="inlineStr">
        <is>
          <t>DALARNAS LÄN</t>
        </is>
      </c>
      <c r="G261" t="inlineStr">
        <is>
          <t>SÄTER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46323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46290</v>
      </c>
      <c r="E263" s="1" t="n">
        <v>46323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46323</v>
      </c>
      <c r="F264" t="inlineStr">
        <is>
          <t>DALARNAS LÄN</t>
        </is>
      </c>
      <c r="G264" t="inlineStr">
        <is>
          <t>SÄTER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46323</v>
      </c>
      <c r="F265" t="inlineStr">
        <is>
          <t>DALARNAS LÄN</t>
        </is>
      </c>
      <c r="G265" t="inlineStr">
        <is>
          <t>SÄTER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45232</v>
      </c>
      <c r="E266" s="1" t="n">
        <v>46323</v>
      </c>
      <c r="F266" t="inlineStr">
        <is>
          <t>DALARNAS LÄN</t>
        </is>
      </c>
      <c r="G266" t="inlineStr">
        <is>
          <t>SÄTER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46323</v>
      </c>
      <c r="F267" t="inlineStr">
        <is>
          <t>DALARNAS LÄN</t>
        </is>
      </c>
      <c r="G267" t="inlineStr">
        <is>
          <t>SÄTER</t>
        </is>
      </c>
      <c r="H267" t="inlineStr">
        <is>
          <t>Sveaskog</t>
        </is>
      </c>
      <c r="I267" t="n">
        <v>19.8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46293</v>
      </c>
      <c r="E268" s="1" t="n">
        <v>46323</v>
      </c>
      <c r="F268" t="inlineStr">
        <is>
          <t>DALARNAS LÄN</t>
        </is>
      </c>
      <c r="G268" t="inlineStr">
        <is>
          <t>SÄTER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46323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44581</v>
      </c>
      <c r="E270" s="1" t="n">
        <v>46323</v>
      </c>
      <c r="F270" t="inlineStr">
        <is>
          <t>DALARNAS LÄN</t>
        </is>
      </c>
      <c r="G270" t="inlineStr">
        <is>
          <t>SÄTER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46323</v>
      </c>
      <c r="F271" t="inlineStr">
        <is>
          <t>DALARNAS LÄN</t>
        </is>
      </c>
      <c r="G271" t="inlineStr">
        <is>
          <t>SÄTER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46323</v>
      </c>
      <c r="F272" t="inlineStr">
        <is>
          <t>DALARNAS LÄN</t>
        </is>
      </c>
      <c r="G272" t="inlineStr">
        <is>
          <t>SÄTER</t>
        </is>
      </c>
      <c r="H272" t="inlineStr">
        <is>
          <t>Kommuner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46323</v>
      </c>
      <c r="F273" t="inlineStr">
        <is>
          <t>DALARNAS LÄN</t>
        </is>
      </c>
      <c r="G273" t="inlineStr">
        <is>
          <t>SÄTER</t>
        </is>
      </c>
      <c r="I273" t="n">
        <v>15.2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46323</v>
      </c>
      <c r="F274" t="inlineStr">
        <is>
          <t>DALARNAS LÄN</t>
        </is>
      </c>
      <c r="G274" t="inlineStr">
        <is>
          <t>SÄTER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46323</v>
      </c>
      <c r="F275" t="inlineStr">
        <is>
          <t>DALARNAS LÄN</t>
        </is>
      </c>
      <c r="G275" t="inlineStr">
        <is>
          <t>SÄTER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46254</v>
      </c>
      <c r="E276" s="1" t="n">
        <v>46323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46323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46323</v>
      </c>
      <c r="F278" t="inlineStr">
        <is>
          <t>DALARNAS LÄN</t>
        </is>
      </c>
      <c r="G278" t="inlineStr">
        <is>
          <t>SÄTER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51328-2024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45604</v>
      </c>
      <c r="E279" s="1" t="n">
        <v>46323</v>
      </c>
      <c r="F279" t="inlineStr">
        <is>
          <t>DALARNAS LÄN</t>
        </is>
      </c>
      <c r="G279" t="inlineStr">
        <is>
          <t>SÄTER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45604</v>
      </c>
      <c r="E280" s="1" t="n">
        <v>46323</v>
      </c>
      <c r="F280" t="inlineStr">
        <is>
          <t>DALARNAS LÄN</t>
        </is>
      </c>
      <c r="G280" t="inlineStr">
        <is>
          <t>SÄTER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46323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46323</v>
      </c>
      <c r="F282" t="inlineStr">
        <is>
          <t>DALARNAS LÄN</t>
        </is>
      </c>
      <c r="G282" t="inlineStr">
        <is>
          <t>SÄTER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46323</v>
      </c>
      <c r="F283" t="inlineStr">
        <is>
          <t>DALARNAS LÄN</t>
        </is>
      </c>
      <c r="G283" t="inlineStr">
        <is>
          <t>SÄTER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32886-2022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44784</v>
      </c>
      <c r="E284" s="1" t="n">
        <v>46323</v>
      </c>
      <c r="F284" t="inlineStr">
        <is>
          <t>DALARNAS LÄN</t>
        </is>
      </c>
      <c r="G284" t="inlineStr">
        <is>
          <t>SÄTER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46323</v>
      </c>
      <c r="F285" t="inlineStr">
        <is>
          <t>DALARNAS LÄN</t>
        </is>
      </c>
      <c r="G285" t="inlineStr">
        <is>
          <t>SÄTER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46323</v>
      </c>
      <c r="F286" t="inlineStr">
        <is>
          <t>DALARNAS LÄN</t>
        </is>
      </c>
      <c r="G286" t="inlineStr">
        <is>
          <t>SÄTER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46261</v>
      </c>
      <c r="E287" s="1" t="n">
        <v>46323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45552</v>
      </c>
      <c r="E288" s="1" t="n">
        <v>46323</v>
      </c>
      <c r="F288" t="inlineStr">
        <is>
          <t>DALARNAS LÄN</t>
        </is>
      </c>
      <c r="G288" t="inlineStr">
        <is>
          <t>SÄTER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46323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44643</v>
      </c>
      <c r="E290" s="1" t="n">
        <v>46323</v>
      </c>
      <c r="F290" t="inlineStr">
        <is>
          <t>DALARNAS LÄN</t>
        </is>
      </c>
      <c r="G290" t="inlineStr">
        <is>
          <t>SÄTER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46323</v>
      </c>
      <c r="F291" t="inlineStr">
        <is>
          <t>DALARNAS LÄN</t>
        </is>
      </c>
      <c r="G291" t="inlineStr">
        <is>
          <t>SÄTER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46323</v>
      </c>
      <c r="F292" t="inlineStr">
        <is>
          <t>DALARNAS LÄN</t>
        </is>
      </c>
      <c r="G292" t="inlineStr">
        <is>
          <t>SÄTER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46323</v>
      </c>
      <c r="F293" t="inlineStr">
        <is>
          <t>DALARNAS LÄN</t>
        </is>
      </c>
      <c r="G293" t="inlineStr">
        <is>
          <t>SÄTER</t>
        </is>
      </c>
      <c r="H293" t="inlineStr">
        <is>
          <t>Bergvik skog väst AB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46323</v>
      </c>
      <c r="F294" t="inlineStr">
        <is>
          <t>DALARNAS LÄN</t>
        </is>
      </c>
      <c r="G294" t="inlineStr">
        <is>
          <t>SÄTER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46323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46323</v>
      </c>
      <c r="F296" t="inlineStr">
        <is>
          <t>DALARNAS LÄN</t>
        </is>
      </c>
      <c r="G296" t="inlineStr">
        <is>
          <t>SÄTER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44809</v>
      </c>
      <c r="E297" s="1" t="n">
        <v>46323</v>
      </c>
      <c r="F297" t="inlineStr">
        <is>
          <t>DALARNAS LÄN</t>
        </is>
      </c>
      <c r="G297" t="inlineStr">
        <is>
          <t>SÄTER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35564-2026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46262</v>
      </c>
      <c r="E298" s="1" t="n">
        <v>46323</v>
      </c>
      <c r="F298" t="inlineStr">
        <is>
          <t>DALARNAS LÄN</t>
        </is>
      </c>
      <c r="G298" t="inlineStr">
        <is>
          <t>SÄTER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46300</v>
      </c>
      <c r="E299" s="1" t="n">
        <v>46323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46323</v>
      </c>
      <c r="F300" t="inlineStr">
        <is>
          <t>DALARNAS LÄN</t>
        </is>
      </c>
      <c r="G300" t="inlineStr">
        <is>
          <t>SÄTER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46204</v>
      </c>
      <c r="E301" s="1" t="n">
        <v>46323</v>
      </c>
      <c r="F301" t="inlineStr">
        <is>
          <t>DALARNAS LÄN</t>
        </is>
      </c>
      <c r="G301" t="inlineStr">
        <is>
          <t>SÄTER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46323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39998-2026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46293</v>
      </c>
      <c r="E303" s="1" t="n">
        <v>46323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46323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46323</v>
      </c>
      <c r="F305" t="inlineStr">
        <is>
          <t>DALARNAS LÄN</t>
        </is>
      </c>
      <c r="G305" t="inlineStr">
        <is>
          <t>SÄTER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63654-2025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46014</v>
      </c>
      <c r="E306" s="1" t="n">
        <v>46323</v>
      </c>
      <c r="F306" t="inlineStr">
        <is>
          <t>DALARNAS LÄN</t>
        </is>
      </c>
      <c r="G306" t="inlineStr">
        <is>
          <t>SÄTER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46323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46323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46323</v>
      </c>
      <c r="F309" t="inlineStr">
        <is>
          <t>DALARNAS LÄN</t>
        </is>
      </c>
      <c r="G309" t="inlineStr">
        <is>
          <t>SÄTER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46323</v>
      </c>
      <c r="F310" t="inlineStr">
        <is>
          <t>DALARNAS LÄN</t>
        </is>
      </c>
      <c r="G310" t="inlineStr">
        <is>
          <t>SÄTER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43125-2024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45567</v>
      </c>
      <c r="E311" s="1" t="n">
        <v>46323</v>
      </c>
      <c r="F311" t="inlineStr">
        <is>
          <t>DALARNAS LÄN</t>
        </is>
      </c>
      <c r="G311" t="inlineStr">
        <is>
          <t>SÄTER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46323</v>
      </c>
      <c r="F312" t="inlineStr">
        <is>
          <t>DALARNAS LÄN</t>
        </is>
      </c>
      <c r="G312" t="inlineStr">
        <is>
          <t>SÄTER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46314</v>
      </c>
      <c r="E313" s="1" t="n">
        <v>46323</v>
      </c>
      <c r="F313" t="inlineStr">
        <is>
          <t>DALARNAS LÄN</t>
        </is>
      </c>
      <c r="G313" t="inlineStr">
        <is>
          <t>SÄTER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45825</v>
      </c>
      <c r="E314" s="1" t="n">
        <v>46323</v>
      </c>
      <c r="F314" t="inlineStr">
        <is>
          <t>DALARNAS LÄN</t>
        </is>
      </c>
      <c r="G314" t="inlineStr">
        <is>
          <t>SÄTER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46323</v>
      </c>
      <c r="F315" t="inlineStr">
        <is>
          <t>DALARNAS LÄN</t>
        </is>
      </c>
      <c r="G315" t="inlineStr">
        <is>
          <t>SÄTER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46323</v>
      </c>
      <c r="F316" t="inlineStr">
        <is>
          <t>DALARNAS LÄN</t>
        </is>
      </c>
      <c r="G316" t="inlineStr">
        <is>
          <t>SÄTER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45599</v>
      </c>
      <c r="E317" s="1" t="n">
        <v>46323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46323</v>
      </c>
      <c r="F318" t="inlineStr">
        <is>
          <t>DALARNAS LÄN</t>
        </is>
      </c>
      <c r="G318" t="inlineStr">
        <is>
          <t>SÄTER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45411</v>
      </c>
      <c r="E319" s="1" t="n">
        <v>46323</v>
      </c>
      <c r="F319" t="inlineStr">
        <is>
          <t>DALARNAS LÄN</t>
        </is>
      </c>
      <c r="G319" t="inlineStr">
        <is>
          <t>SÄTER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46323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46323</v>
      </c>
      <c r="F321" t="inlineStr">
        <is>
          <t>DALARNAS LÄN</t>
        </is>
      </c>
      <c r="G321" t="inlineStr">
        <is>
          <t>SÄTER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46323</v>
      </c>
      <c r="F322" t="inlineStr">
        <is>
          <t>DALARNAS LÄN</t>
        </is>
      </c>
      <c r="G322" t="inlineStr">
        <is>
          <t>SÄTER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46323</v>
      </c>
      <c r="F323" t="inlineStr">
        <is>
          <t>DALARNAS LÄN</t>
        </is>
      </c>
      <c r="G323" t="inlineStr">
        <is>
          <t>SÄTER</t>
        </is>
      </c>
      <c r="H323" t="inlineStr">
        <is>
          <t>Kommuner</t>
        </is>
      </c>
      <c r="I323" t="n">
        <v>42.6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46323</v>
      </c>
      <c r="F324" t="inlineStr">
        <is>
          <t>DALARNAS LÄN</t>
        </is>
      </c>
      <c r="G324" t="inlineStr">
        <is>
          <t>SÄTER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46323</v>
      </c>
      <c r="F325" t="inlineStr">
        <is>
          <t>DALARNAS LÄN</t>
        </is>
      </c>
      <c r="G325" t="inlineStr">
        <is>
          <t>SÄTER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44982</v>
      </c>
      <c r="E326" s="1" t="n">
        <v>46323</v>
      </c>
      <c r="F326" t="inlineStr">
        <is>
          <t>DALARNAS LÄN</t>
        </is>
      </c>
      <c r="G326" t="inlineStr">
        <is>
          <t>SÄTER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45268</v>
      </c>
      <c r="E327" s="1" t="n">
        <v>46323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46323</v>
      </c>
      <c r="F328" t="inlineStr">
        <is>
          <t>DALARNAS LÄN</t>
        </is>
      </c>
      <c r="G328" t="inlineStr">
        <is>
          <t>SÄTER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44817</v>
      </c>
      <c r="E329" s="1" t="n">
        <v>46323</v>
      </c>
      <c r="F329" t="inlineStr">
        <is>
          <t>DALARNAS LÄN</t>
        </is>
      </c>
      <c r="G329" t="inlineStr">
        <is>
          <t>SÄTER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46323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46323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46275</v>
      </c>
      <c r="E332" s="1" t="n">
        <v>46323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46275</v>
      </c>
      <c r="E333" s="1" t="n">
        <v>46323</v>
      </c>
      <c r="F333" t="inlineStr">
        <is>
          <t>DALARNAS LÄN</t>
        </is>
      </c>
      <c r="G333" t="inlineStr">
        <is>
          <t>SÄTER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46323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46323</v>
      </c>
      <c r="F335" t="inlineStr">
        <is>
          <t>DALARNAS LÄN</t>
        </is>
      </c>
      <c r="G335" t="inlineStr">
        <is>
          <t>SÄTER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46322</v>
      </c>
      <c r="E336" s="1" t="n">
        <v>46323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46323</v>
      </c>
      <c r="F337" t="inlineStr">
        <is>
          <t>DALARNAS LÄN</t>
        </is>
      </c>
      <c r="G337" t="inlineStr">
        <is>
          <t>SÄTER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46322</v>
      </c>
      <c r="E338" s="1" t="n">
        <v>46323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46323</v>
      </c>
      <c r="F339" t="inlineStr">
        <is>
          <t>DALARNAS LÄN</t>
        </is>
      </c>
      <c r="G339" t="inlineStr">
        <is>
          <t>SÄTER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46322</v>
      </c>
      <c r="E340" s="1" t="n">
        <v>46323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46322</v>
      </c>
      <c r="E341" s="1" t="n">
        <v>46323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46323</v>
      </c>
      <c r="F342" t="inlineStr">
        <is>
          <t>DALARNAS LÄN</t>
        </is>
      </c>
      <c r="G342" t="inlineStr">
        <is>
          <t>SÄTER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46323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46323</v>
      </c>
      <c r="F344" t="inlineStr">
        <is>
          <t>DALARNAS LÄN</t>
        </is>
      </c>
      <c r="G344" t="inlineStr">
        <is>
          <t>SÄTER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45855</v>
      </c>
      <c r="E345" s="1" t="n">
        <v>46323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46323</v>
      </c>
      <c r="F346" t="inlineStr">
        <is>
          <t>DALARNAS LÄN</t>
        </is>
      </c>
      <c r="G346" t="inlineStr">
        <is>
          <t>SÄTER</t>
        </is>
      </c>
      <c r="H346" t="inlineStr">
        <is>
          <t>Kommuner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46323</v>
      </c>
      <c r="F347" t="inlineStr">
        <is>
          <t>DALARNAS LÄN</t>
        </is>
      </c>
      <c r="G347" t="inlineStr">
        <is>
          <t>SÄTER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46323</v>
      </c>
      <c r="F348" t="inlineStr">
        <is>
          <t>DALARNAS LÄN</t>
        </is>
      </c>
      <c r="G348" t="inlineStr">
        <is>
          <t>SÄTER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46323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46323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46323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46323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46323</v>
      </c>
      <c r="F353" t="inlineStr">
        <is>
          <t>DALARNAS LÄN</t>
        </is>
      </c>
      <c r="G353" t="inlineStr">
        <is>
          <t>SÄTER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46323</v>
      </c>
      <c r="F354" t="inlineStr">
        <is>
          <t>DALARNAS LÄN</t>
        </is>
      </c>
      <c r="G354" t="inlineStr">
        <is>
          <t>SÄTER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44992</v>
      </c>
      <c r="E355" s="1" t="n">
        <v>46323</v>
      </c>
      <c r="F355" t="inlineStr">
        <is>
          <t>DALARNAS LÄN</t>
        </is>
      </c>
      <c r="G355" t="inlineStr">
        <is>
          <t>SÄTER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63377-2025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46010</v>
      </c>
      <c r="E356" s="1" t="n">
        <v>46323</v>
      </c>
      <c r="F356" t="inlineStr">
        <is>
          <t>DALARNAS LÄN</t>
        </is>
      </c>
      <c r="G356" t="inlineStr">
        <is>
          <t>SÄTER</t>
        </is>
      </c>
      <c r="H356" t="inlineStr">
        <is>
          <t>Övriga statliga verk och myndigheter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46323</v>
      </c>
      <c r="F357" t="inlineStr">
        <is>
          <t>DALARNAS LÄN</t>
        </is>
      </c>
      <c r="G357" t="inlineStr">
        <is>
          <t>SÄTER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46323</v>
      </c>
      <c r="F358" t="inlineStr">
        <is>
          <t>DALARNAS LÄN</t>
        </is>
      </c>
      <c r="G358" t="inlineStr">
        <is>
          <t>SÄTER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46323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46323</v>
      </c>
      <c r="F360" t="inlineStr">
        <is>
          <t>DALARNAS LÄN</t>
        </is>
      </c>
      <c r="G360" t="inlineStr">
        <is>
          <t>SÄTER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46323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46323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46323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46323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46323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46323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46323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46323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46323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2026-10-28T03:16:11Z</dcterms:created>
  <dcterms:modified xmlns:dcterms="http://purl.org/dc/terms/" xmlns:xsi="http://www.w3.org/2001/XMLSchema-instance" xsi:type="dcterms:W3CDTF">2026-10-28T03:16:11Z</dcterms:modified>
</cp:coreProperties>
</file>