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46216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46216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46216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46216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46216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HYPERLINK("https://klasma.github.io/Logging_2082/knärot/A 35411-2025 karta knärot.png", "A 35411-2025")</f>
        <v/>
      </c>
      <c r="Y6">
        <f>HYPERLINK("https://klasma.github.io/Logging_2082/klagomål/A 35411-2025 FSC-klagomål.docx", "A 35411-2025")</f>
        <v/>
      </c>
      <c r="Z6">
        <f>HYPERLINK("https://klasma.github.io/Logging_2082/klagomålsmail/A 35411-2025 FSC-klagomål mail.docx", "A 35411-2025")</f>
        <v/>
      </c>
      <c r="AA6">
        <f>HYPERLINK("https://klasma.github.io/Logging_2082/tillsyn/A 35411-2025 tillsynsbegäran.docx", "A 35411-2025")</f>
        <v/>
      </c>
      <c r="AB6">
        <f>HYPERLINK("https://klasma.github.io/Logging_2082/tillsynsmail/A 35411-2025 tillsynsbegäran mail.docx", "A 35411-2025")</f>
        <v/>
      </c>
      <c r="AC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46216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Y7">
        <f>HYPERLINK("https://klasma.github.io/Logging_2082/klagomål/A 8533-2026 FSC-klagomål.docx", "A 8533-2026")</f>
        <v/>
      </c>
      <c r="Z7">
        <f>HYPERLINK("https://klasma.github.io/Logging_2082/klagomålsmail/A 8533-2026 FSC-klagomål mail.docx", "A 8533-2026")</f>
        <v/>
      </c>
      <c r="AA7">
        <f>HYPERLINK("https://klasma.github.io/Logging_2082/tillsyn/A 8533-2026 tillsynsbegäran.docx", "A 8533-2026")</f>
        <v/>
      </c>
      <c r="AB7">
        <f>HYPERLINK("https://klasma.github.io/Logging_2082/tillsynsmail/A 8533-2026 tillsynsbegäran mail.docx", "A 8533-2026")</f>
        <v/>
      </c>
      <c r="AC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46216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46216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46216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46216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46216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46216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46216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s="2" t="inlineStr">
        <is>
          <t>Garnlav
Knärot
Nästrot</t>
        </is>
      </c>
      <c r="V14">
        <f>HYPERLINK("https://klasma.github.io/Logging_2082/artfynd/A 27374-2022 artfynd.xlsx", "A 27374-2022")</f>
        <v/>
      </c>
      <c r="W14">
        <f>HYPERLINK("https://klasma.github.io/Logging_2082/kartor/A 27374-2022 karta.png", "A 27374-2022")</f>
        <v/>
      </c>
      <c r="X14">
        <f>HYPERLINK("https://klasma.github.io/Logging_2082/knärot/A 27374-2022 karta knärot.png", "A 27374-2022")</f>
        <v/>
      </c>
      <c r="Y14">
        <f>HYPERLINK("https://klasma.github.io/Logging_2082/klagomål/A 27374-2022 FSC-klagomål.docx", "A 27374-2022")</f>
        <v/>
      </c>
      <c r="Z14">
        <f>HYPERLINK("https://klasma.github.io/Logging_2082/klagomålsmail/A 27374-2022 FSC-klagomål mail.docx", "A 27374-2022")</f>
        <v/>
      </c>
      <c r="AA14">
        <f>HYPERLINK("https://klasma.github.io/Logging_2082/tillsyn/A 27374-2022 tillsynsbegäran.docx", "A 27374-2022")</f>
        <v/>
      </c>
      <c r="AB14">
        <f>HYPERLINK("https://klasma.github.io/Logging_2082/tillsynsmail/A 27374-2022 tillsynsbegäran mail.docx", "A 27374-2022")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46216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46216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Ask
Grönsångare
Kransmossa</t>
        </is>
      </c>
      <c r="V16">
        <f>HYPERLINK("https://klasma.github.io/Logging_2082/artfynd/A 12817-2026 artfynd.xlsx", "A 12817-2026")</f>
        <v/>
      </c>
      <c r="W16">
        <f>HYPERLINK("https://klasma.github.io/Logging_2082/kartor/A 12817-2026 karta.png", "A 12817-2026")</f>
        <v/>
      </c>
      <c r="Y16">
        <f>HYPERLINK("https://klasma.github.io/Logging_2082/klagomål/A 12817-2026 FSC-klagomål.docx", "A 12817-2026")</f>
        <v/>
      </c>
      <c r="Z16">
        <f>HYPERLINK("https://klasma.github.io/Logging_2082/klagomålsmail/A 12817-2026 FSC-klagomål mail.docx", "A 12817-2026")</f>
        <v/>
      </c>
      <c r="AA16">
        <f>HYPERLINK("https://klasma.github.io/Logging_2082/tillsyn/A 12817-2026 tillsynsbegäran.docx", "A 12817-2026")</f>
        <v/>
      </c>
      <c r="AB16">
        <f>HYPERLINK("https://klasma.github.io/Logging_2082/tillsynsmail/A 12817-2026 tillsynsbegäran mail.docx", "A 12817-2026")</f>
        <v/>
      </c>
      <c r="AC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46216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s="2" t="inlineStr">
        <is>
          <t>Slåttergubbe
Slåtterfibbla
Huggorm</t>
        </is>
      </c>
      <c r="V17">
        <f>HYPERLINK("https://klasma.github.io/Logging_2082/artfynd/A 35916-2022 artfynd.xlsx", "A 35916-2022")</f>
        <v/>
      </c>
      <c r="W17">
        <f>HYPERLINK("https://klasma.github.io/Logging_2082/kartor/A 35916-2022 karta.png", "A 35916-2022")</f>
        <v/>
      </c>
      <c r="Y17">
        <f>HYPERLINK("https://klasma.github.io/Logging_2082/klagomål/A 35916-2022 FSC-klagomål.docx", "A 35916-2022")</f>
        <v/>
      </c>
      <c r="Z17">
        <f>HYPERLINK("https://klasma.github.io/Logging_2082/klagomålsmail/A 35916-2022 FSC-klagomål mail.docx", "A 35916-2022")</f>
        <v/>
      </c>
      <c r="AA17">
        <f>HYPERLINK("https://klasma.github.io/Logging_2082/tillsyn/A 35916-2022 tillsynsbegäran.docx", "A 35916-2022")</f>
        <v/>
      </c>
      <c r="AB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46216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46216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46216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46216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Ullticka
Svavelriska</t>
        </is>
      </c>
      <c r="V21">
        <f>HYPERLINK("https://klasma.github.io/Logging_2082/artfynd/A 23917-2024 artfynd.xlsx", "A 23917-2024")</f>
        <v/>
      </c>
      <c r="W21">
        <f>HYPERLINK("https://klasma.github.io/Logging_2082/kartor/A 23917-2024 karta.png", "A 23917-2024")</f>
        <v/>
      </c>
      <c r="Y21">
        <f>HYPERLINK("https://klasma.github.io/Logging_2082/klagomål/A 23917-2024 FSC-klagomål.docx", "A 23917-2024")</f>
        <v/>
      </c>
      <c r="Z21">
        <f>HYPERLINK("https://klasma.github.io/Logging_2082/klagomålsmail/A 23917-2024 FSC-klagomål mail.docx", "A 23917-2024")</f>
        <v/>
      </c>
      <c r="AA21">
        <f>HYPERLINK("https://klasma.github.io/Logging_2082/tillsyn/A 23917-2024 tillsynsbegäran.docx", "A 23917-2024")</f>
        <v/>
      </c>
      <c r="AB21">
        <f>HYPERLINK("https://klasma.github.io/Logging_2082/tillsynsmail/A 23917-2024 tillsynsbegäran mail.docx", "A 23917-2024")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46216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Knärot
Motaggsvamp</t>
        </is>
      </c>
      <c r="V22">
        <f>HYPERLINK("https://klasma.github.io/Logging_2082/artfynd/A 49656-2025 artfynd.xlsx", "A 49656-2025")</f>
        <v/>
      </c>
      <c r="W22">
        <f>HYPERLINK("https://klasma.github.io/Logging_2082/kartor/A 49656-2025 karta.png", "A 49656-2025")</f>
        <v/>
      </c>
      <c r="X22">
        <f>HYPERLINK("https://klasma.github.io/Logging_2082/knärot/A 49656-2025 karta knärot.png", "A 49656-2025")</f>
        <v/>
      </c>
      <c r="Y22">
        <f>HYPERLINK("https://klasma.github.io/Logging_2082/klagomål/A 49656-2025 FSC-klagomål.docx", "A 49656-2025")</f>
        <v/>
      </c>
      <c r="Z22">
        <f>HYPERLINK("https://klasma.github.io/Logging_2082/klagomålsmail/A 49656-2025 FSC-klagomål mail.docx", "A 49656-2025")</f>
        <v/>
      </c>
      <c r="AA22">
        <f>HYPERLINK("https://klasma.github.io/Logging_2082/tillsyn/A 49656-2025 tillsynsbegäran.docx", "A 49656-2025")</f>
        <v/>
      </c>
      <c r="AB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46216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Järpe
Kungsfågel</t>
        </is>
      </c>
      <c r="V23">
        <f>HYPERLINK("https://klasma.github.io/Logging_2082/artfynd/A 16845-2024 artfynd.xlsx", "A 16845-2024")</f>
        <v/>
      </c>
      <c r="W23">
        <f>HYPERLINK("https://klasma.github.io/Logging_2082/kartor/A 16845-2024 karta.png", "A 16845-2024")</f>
        <v/>
      </c>
      <c r="Y23">
        <f>HYPERLINK("https://klasma.github.io/Logging_2082/klagomål/A 16845-2024 FSC-klagomål.docx", "A 16845-2024")</f>
        <v/>
      </c>
      <c r="Z23">
        <f>HYPERLINK("https://klasma.github.io/Logging_2082/klagomålsmail/A 16845-2024 FSC-klagomål mail.docx", "A 16845-2024")</f>
        <v/>
      </c>
      <c r="AA23">
        <f>HYPERLINK("https://klasma.github.io/Logging_2082/tillsyn/A 16845-2024 tillsynsbegäran.docx", "A 16845-2024")</f>
        <v/>
      </c>
      <c r="AB23">
        <f>HYPERLINK("https://klasma.github.io/Logging_2082/tillsynsmail/A 16845-2024 tillsynsbegäran mail.docx", "A 16845-2024")</f>
        <v/>
      </c>
      <c r="AC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46216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s="2" t="inlineStr">
        <is>
          <t>Tallticka
Blåsippa</t>
        </is>
      </c>
      <c r="V24">
        <f>HYPERLINK("https://klasma.github.io/Logging_2082/artfynd/A 50079-2023 artfynd.xlsx", "A 50079-2023")</f>
        <v/>
      </c>
      <c r="W24">
        <f>HYPERLINK("https://klasma.github.io/Logging_2082/kartor/A 50079-2023 karta.png", "A 50079-2023")</f>
        <v/>
      </c>
      <c r="Y24">
        <f>HYPERLINK("https://klasma.github.io/Logging_2082/klagomål/A 50079-2023 FSC-klagomål.docx", "A 50079-2023")</f>
        <v/>
      </c>
      <c r="Z24">
        <f>HYPERLINK("https://klasma.github.io/Logging_2082/klagomålsmail/A 50079-2023 FSC-klagomål mail.docx", "A 50079-2023")</f>
        <v/>
      </c>
      <c r="AA24">
        <f>HYPERLINK("https://klasma.github.io/Logging_2082/tillsyn/A 50079-2023 tillsynsbegäran.docx", "A 50079-2023")</f>
        <v/>
      </c>
      <c r="AB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46216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Jungfrulin
Klasefibbla</t>
        </is>
      </c>
      <c r="V25">
        <f>HYPERLINK("https://klasma.github.io/Logging_2082/artfynd/A 52205-2021 artfynd.xlsx", "A 52205-2021")</f>
        <v/>
      </c>
      <c r="W25">
        <f>HYPERLINK("https://klasma.github.io/Logging_2082/kartor/A 52205-2021 karta.png", "A 52205-2021")</f>
        <v/>
      </c>
      <c r="Y25">
        <f>HYPERLINK("https://klasma.github.io/Logging_2082/klagomål/A 52205-2021 FSC-klagomål.docx", "A 52205-2021")</f>
        <v/>
      </c>
      <c r="Z25">
        <f>HYPERLINK("https://klasma.github.io/Logging_2082/klagomålsmail/A 52205-2021 FSC-klagomål mail.docx", "A 52205-2021")</f>
        <v/>
      </c>
      <c r="AA25">
        <f>HYPERLINK("https://klasma.github.io/Logging_2082/tillsyn/A 52205-2021 tillsynsbegäran.docx", "A 52205-2021")</f>
        <v/>
      </c>
      <c r="AB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46216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Motaggsvamp
Svavelriska</t>
        </is>
      </c>
      <c r="V26">
        <f>HYPERLINK("https://klasma.github.io/Logging_2082/artfynd/A 570-2024 artfynd.xlsx", "A 570-2024")</f>
        <v/>
      </c>
      <c r="W26">
        <f>HYPERLINK("https://klasma.github.io/Logging_2082/kartor/A 570-2024 karta.png", "A 570-2024")</f>
        <v/>
      </c>
      <c r="Y26">
        <f>HYPERLINK("https://klasma.github.io/Logging_2082/klagomål/A 570-2024 FSC-klagomål.docx", "A 570-2024")</f>
        <v/>
      </c>
      <c r="Z26">
        <f>HYPERLINK("https://klasma.github.io/Logging_2082/klagomålsmail/A 570-2024 FSC-klagomål mail.docx", "A 570-2024")</f>
        <v/>
      </c>
      <c r="AA26">
        <f>HYPERLINK("https://klasma.github.io/Logging_2082/tillsyn/A 570-2024 tillsynsbegäran.docx", "A 570-2024")</f>
        <v/>
      </c>
      <c r="AB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46216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s="2" t="inlineStr">
        <is>
          <t>Dropptaggsvamp
Talltita</t>
        </is>
      </c>
      <c r="V27">
        <f>HYPERLINK("https://klasma.github.io/Logging_2082/artfynd/A 193-2022 artfynd.xlsx", "A 193-2022")</f>
        <v/>
      </c>
      <c r="W27">
        <f>HYPERLINK("https://klasma.github.io/Logging_2082/kartor/A 193-2022 karta.png", "A 193-2022")</f>
        <v/>
      </c>
      <c r="Y27">
        <f>HYPERLINK("https://klasma.github.io/Logging_2082/klagomål/A 193-2022 FSC-klagomål.docx", "A 193-2022")</f>
        <v/>
      </c>
      <c r="Z27">
        <f>HYPERLINK("https://klasma.github.io/Logging_2082/klagomålsmail/A 193-2022 FSC-klagomål mail.docx", "A 193-2022")</f>
        <v/>
      </c>
      <c r="AA27">
        <f>HYPERLINK("https://klasma.github.io/Logging_2082/tillsyn/A 193-2022 tillsynsbegäran.docx", "A 193-2022")</f>
        <v/>
      </c>
      <c r="AB27">
        <f>HYPERLINK("https://klasma.github.io/Logging_2082/tillsynsmail/A 193-2022 tillsynsbegäran mail.docx", "A 193-2022")</f>
        <v/>
      </c>
      <c r="AC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46216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46216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46216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Mattlummer</t>
        </is>
      </c>
      <c r="V30">
        <f>HYPERLINK("https://klasma.github.io/Logging_2082/artfynd/A 27715-2023 artfynd.xlsx", "A 27715-2023")</f>
        <v/>
      </c>
      <c r="W30">
        <f>HYPERLINK("https://klasma.github.io/Logging_2082/kartor/A 27715-2023 karta.png", "A 27715-2023")</f>
        <v/>
      </c>
      <c r="Y30">
        <f>HYPERLINK("https://klasma.github.io/Logging_2082/klagomål/A 27715-2023 FSC-klagomål.docx", "A 27715-2023")</f>
        <v/>
      </c>
      <c r="Z30">
        <f>HYPERLINK("https://klasma.github.io/Logging_2082/klagomålsmail/A 27715-2023 FSC-klagomål mail.docx", "A 27715-2023")</f>
        <v/>
      </c>
      <c r="AA30">
        <f>HYPERLINK("https://klasma.github.io/Logging_2082/tillsyn/A 27715-2023 tillsynsbegäran.docx", "A 27715-2023")</f>
        <v/>
      </c>
      <c r="AB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46216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HYPERLINK("https://klasma.github.io/Logging_2082/artfynd/A 44992-2024 artfynd.xlsx", "A 44992-2024")</f>
        <v/>
      </c>
      <c r="W31">
        <f>HYPERLINK("https://klasma.github.io/Logging_2082/kartor/A 44992-2024 karta.png", "A 44992-2024")</f>
        <v/>
      </c>
      <c r="Y31">
        <f>HYPERLINK("https://klasma.github.io/Logging_2082/klagomål/A 44992-2024 FSC-klagomål.docx", "A 44992-2024")</f>
        <v/>
      </c>
      <c r="Z31">
        <f>HYPERLINK("https://klasma.github.io/Logging_2082/klagomålsmail/A 44992-2024 FSC-klagomål mail.docx", "A 44992-2024")</f>
        <v/>
      </c>
      <c r="AA31">
        <f>HYPERLINK("https://klasma.github.io/Logging_2082/tillsyn/A 44992-2024 tillsynsbegäran.docx", "A 44992-2024")</f>
        <v/>
      </c>
      <c r="AB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46216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Sotriska</t>
        </is>
      </c>
      <c r="V32">
        <f>HYPERLINK("https://klasma.github.io/Logging_2082/artfynd/A 39406-2024 artfynd.xlsx", "A 39406-2024")</f>
        <v/>
      </c>
      <c r="W32">
        <f>HYPERLINK("https://klasma.github.io/Logging_2082/kartor/A 39406-2024 karta.png", "A 39406-2024")</f>
        <v/>
      </c>
      <c r="Y32">
        <f>HYPERLINK("https://klasma.github.io/Logging_2082/klagomål/A 39406-2024 FSC-klagomål.docx", "A 39406-2024")</f>
        <v/>
      </c>
      <c r="Z32">
        <f>HYPERLINK("https://klasma.github.io/Logging_2082/klagomålsmail/A 39406-2024 FSC-klagomål mail.docx", "A 39406-2024")</f>
        <v/>
      </c>
      <c r="AA32">
        <f>HYPERLINK("https://klasma.github.io/Logging_2082/tillsyn/A 39406-2024 tillsynsbegäran.docx", "A 39406-2024")</f>
        <v/>
      </c>
      <c r="AB32">
        <f>HYPERLINK("https://klasma.github.io/Logging_2082/tillsynsmail/A 39406-2024 tillsynsbegäran mail.docx", "A 39406-2024")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46216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HYPERLINK("https://klasma.github.io/Logging_2082/artfynd/A 34938-2025 artfynd.xlsx", "A 34938-2025")</f>
        <v/>
      </c>
      <c r="W33">
        <f>HYPERLINK("https://klasma.github.io/Logging_2082/kartor/A 34938-2025 karta.png", "A 34938-2025")</f>
        <v/>
      </c>
      <c r="Y33">
        <f>HYPERLINK("https://klasma.github.io/Logging_2082/klagomål/A 34938-2025 FSC-klagomål.docx", "A 34938-2025")</f>
        <v/>
      </c>
      <c r="Z33">
        <f>HYPERLINK("https://klasma.github.io/Logging_2082/klagomålsmail/A 34938-2025 FSC-klagomål mail.docx", "A 34938-2025")</f>
        <v/>
      </c>
      <c r="AA33">
        <f>HYPERLINK("https://klasma.github.io/Logging_2082/tillsyn/A 34938-2025 tillsynsbegäran.docx", "A 34938-2025")</f>
        <v/>
      </c>
      <c r="AB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46216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Vedskivlav</t>
        </is>
      </c>
      <c r="V34">
        <f>HYPERLINK("https://klasma.github.io/Logging_2082/artfynd/A 35221-2025 artfynd.xlsx", "A 35221-2025")</f>
        <v/>
      </c>
      <c r="W34">
        <f>HYPERLINK("https://klasma.github.io/Logging_2082/kartor/A 35221-2025 karta.png", "A 35221-2025")</f>
        <v/>
      </c>
      <c r="Y34">
        <f>HYPERLINK("https://klasma.github.io/Logging_2082/klagomål/A 35221-2025 FSC-klagomål.docx", "A 35221-2025")</f>
        <v/>
      </c>
      <c r="Z34">
        <f>HYPERLINK("https://klasma.github.io/Logging_2082/klagomålsmail/A 35221-2025 FSC-klagomål mail.docx", "A 35221-2025")</f>
        <v/>
      </c>
      <c r="AA34">
        <f>HYPERLINK("https://klasma.github.io/Logging_2082/tillsyn/A 35221-2025 tillsynsbegäran.docx", "A 35221-2025")</f>
        <v/>
      </c>
      <c r="AB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46216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Järnsparv</t>
        </is>
      </c>
      <c r="V35">
        <f>HYPERLINK("https://klasma.github.io/Logging_2082/artfynd/A 47661-2025 artfynd.xlsx", "A 47661-2025")</f>
        <v/>
      </c>
      <c r="W35">
        <f>HYPERLINK("https://klasma.github.io/Logging_2082/kartor/A 47661-2025 karta.png", "A 47661-2025")</f>
        <v/>
      </c>
      <c r="Y35">
        <f>HYPERLINK("https://klasma.github.io/Logging_2082/klagomål/A 47661-2025 FSC-klagomål.docx", "A 47661-2025")</f>
        <v/>
      </c>
      <c r="Z35">
        <f>HYPERLINK("https://klasma.github.io/Logging_2082/klagomålsmail/A 47661-2025 FSC-klagomål mail.docx", "A 47661-2025")</f>
        <v/>
      </c>
      <c r="AA35">
        <f>HYPERLINK("https://klasma.github.io/Logging_2082/tillsyn/A 47661-2025 tillsynsbegäran.docx", "A 47661-2025")</f>
        <v/>
      </c>
      <c r="AB35">
        <f>HYPERLINK("https://klasma.github.io/Logging_2082/tillsynsmail/A 47661-2025 tillsynsbegäran mail.docx", "A 47661-2025")</f>
        <v/>
      </c>
      <c r="AC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46216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HYPERLINK("https://klasma.github.io/Logging_2082/artfynd/A 49653-2025 artfynd.xlsx", "A 49653-2025")</f>
        <v/>
      </c>
      <c r="W36">
        <f>HYPERLINK("https://klasma.github.io/Logging_2082/kartor/A 49653-2025 karta.png", "A 49653-2025")</f>
        <v/>
      </c>
      <c r="Y36">
        <f>HYPERLINK("https://klasma.github.io/Logging_2082/klagomål/A 49653-2025 FSC-klagomål.docx", "A 49653-2025")</f>
        <v/>
      </c>
      <c r="Z36">
        <f>HYPERLINK("https://klasma.github.io/Logging_2082/klagomålsmail/A 49653-2025 FSC-klagomål mail.docx", "A 49653-2025")</f>
        <v/>
      </c>
      <c r="AA36">
        <f>HYPERLINK("https://klasma.github.io/Logging_2082/tillsyn/A 49653-2025 tillsynsbegäran.docx", "A 49653-2025")</f>
        <v/>
      </c>
      <c r="AB36">
        <f>HYPERLINK("https://klasma.github.io/Logging_2082/tillsynsmail/A 49653-2025 tillsynsbegäran mail.docx", "A 49653-2025")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46216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Knärot</t>
        </is>
      </c>
      <c r="V37">
        <f>HYPERLINK("https://klasma.github.io/Logging_2082/artfynd/A 61197-2025 artfynd.xlsx", "A 61197-2025")</f>
        <v/>
      </c>
      <c r="W37">
        <f>HYPERLINK("https://klasma.github.io/Logging_2082/kartor/A 61197-2025 karta.png", "A 61197-2025")</f>
        <v/>
      </c>
      <c r="X37">
        <f>HYPERLINK("https://klasma.github.io/Logging_2082/knärot/A 61197-2025 karta knärot.png", "A 61197-2025")</f>
        <v/>
      </c>
      <c r="Y37">
        <f>HYPERLINK("https://klasma.github.io/Logging_2082/klagomål/A 61197-2025 FSC-klagomål.docx", "A 61197-2025")</f>
        <v/>
      </c>
      <c r="Z37">
        <f>HYPERLINK("https://klasma.github.io/Logging_2082/klagomålsmail/A 61197-2025 FSC-klagomål mail.docx", "A 61197-2025")</f>
        <v/>
      </c>
      <c r="AA37">
        <f>HYPERLINK("https://klasma.github.io/Logging_2082/tillsyn/A 61197-2025 tillsynsbegäran.docx", "A 61197-2025")</f>
        <v/>
      </c>
      <c r="AB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46216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Ögonpyrola</t>
        </is>
      </c>
      <c r="V38">
        <f>HYPERLINK("https://klasma.github.io/Logging_2082/artfynd/A 9682-2025 artfynd.xlsx", "A 9682-2025")</f>
        <v/>
      </c>
      <c r="W38">
        <f>HYPERLINK("https://klasma.github.io/Logging_2082/kartor/A 9682-2025 karta.png", "A 9682-2025")</f>
        <v/>
      </c>
      <c r="Y38">
        <f>HYPERLINK("https://klasma.github.io/Logging_2082/klagomål/A 9682-2025 FSC-klagomål.docx", "A 9682-2025")</f>
        <v/>
      </c>
      <c r="Z38">
        <f>HYPERLINK("https://klasma.github.io/Logging_2082/klagomålsmail/A 9682-2025 FSC-klagomål mail.docx", "A 9682-2025")</f>
        <v/>
      </c>
      <c r="AA38">
        <f>HYPERLINK("https://klasma.github.io/Logging_2082/tillsyn/A 9682-2025 tillsynsbegäran.docx", "A 9682-2025")</f>
        <v/>
      </c>
      <c r="AB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46216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HYPERLINK("https://klasma.github.io/Logging_2082/artfynd/A 32383-2022 artfynd.xlsx", "A 32383-2022")</f>
        <v/>
      </c>
      <c r="W39">
        <f>HYPERLINK("https://klasma.github.io/Logging_2082/kartor/A 32383-2022 karta.png", "A 32383-2022")</f>
        <v/>
      </c>
      <c r="X39">
        <f>HYPERLINK("https://klasma.github.io/Logging_2082/knärot/A 32383-2022 karta knärot.png", "A 32383-2022")</f>
        <v/>
      </c>
      <c r="Y39">
        <f>HYPERLINK("https://klasma.github.io/Logging_2082/klagomål/A 32383-2022 FSC-klagomål.docx", "A 32383-2022")</f>
        <v/>
      </c>
      <c r="Z39">
        <f>HYPERLINK("https://klasma.github.io/Logging_2082/klagomålsmail/A 32383-2022 FSC-klagomål mail.docx", "A 32383-2022")</f>
        <v/>
      </c>
      <c r="AA39">
        <f>HYPERLINK("https://klasma.github.io/Logging_2082/tillsyn/A 32383-2022 tillsynsbegäran.docx", "A 32383-2022")</f>
        <v/>
      </c>
      <c r="AB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46216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Ullticka</t>
        </is>
      </c>
      <c r="V40">
        <f>HYPERLINK("https://klasma.github.io/Logging_2082/artfynd/A 33605-2022 artfynd.xlsx", "A 33605-2022")</f>
        <v/>
      </c>
      <c r="W40">
        <f>HYPERLINK("https://klasma.github.io/Logging_2082/kartor/A 33605-2022 karta.png", "A 33605-2022")</f>
        <v/>
      </c>
      <c r="Y40">
        <f>HYPERLINK("https://klasma.github.io/Logging_2082/klagomål/A 33605-2022 FSC-klagomål.docx", "A 33605-2022")</f>
        <v/>
      </c>
      <c r="Z40">
        <f>HYPERLINK("https://klasma.github.io/Logging_2082/klagomålsmail/A 33605-2022 FSC-klagomål mail.docx", "A 33605-2022")</f>
        <v/>
      </c>
      <c r="AA40">
        <f>HYPERLINK("https://klasma.github.io/Logging_2082/tillsyn/A 33605-2022 tillsynsbegäran.docx", "A 33605-2022")</f>
        <v/>
      </c>
      <c r="AB40">
        <f>HYPERLINK("https://klasma.github.io/Logging_2082/tillsynsmail/A 33605-2022 tillsynsbegäran mail.docx", "A 33605-2022")</f>
        <v/>
      </c>
    </row>
    <row r="41" ht="15" customHeight="1">
      <c r="A41" t="inlineStr">
        <is>
          <t>A 47064-2021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46216</v>
      </c>
      <c r="F41" t="inlineStr">
        <is>
          <t>DALARNAS LÄN</t>
        </is>
      </c>
      <c r="G41" t="inlineStr">
        <is>
          <t>SÄTER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Sädesärla</t>
        </is>
      </c>
      <c r="V41">
        <f>HYPERLINK("https://klasma.github.io/Logging_2082/artfynd/A 47064-2021 artfynd.xlsx", "A 47064-2021")</f>
        <v/>
      </c>
      <c r="W41">
        <f>HYPERLINK("https://klasma.github.io/Logging_2082/kartor/A 47064-2021 karta.png", "A 47064-2021")</f>
        <v/>
      </c>
      <c r="Y41">
        <f>HYPERLINK("https://klasma.github.io/Logging_2082/klagomål/A 47064-2021 FSC-klagomål.docx", "A 47064-2021")</f>
        <v/>
      </c>
      <c r="Z41">
        <f>HYPERLINK("https://klasma.github.io/Logging_2082/klagomålsmail/A 47064-2021 FSC-klagomål mail.docx", "A 47064-2021")</f>
        <v/>
      </c>
      <c r="AA41">
        <f>HYPERLINK("https://klasma.github.io/Logging_2082/tillsyn/A 47064-2021 tillsynsbegäran.docx", "A 47064-2021")</f>
        <v/>
      </c>
      <c r="AB41">
        <f>HYPERLINK("https://klasma.github.io/Logging_2082/tillsynsmail/A 47064-2021 tillsynsbegäran mail.docx", "A 47064-2021")</f>
        <v/>
      </c>
      <c r="AC41">
        <f>HYPERLINK("https://klasma.github.io/Logging_2082/fåglar/A 47064-2021 prioriterade fågelarter.docx", "A 47064-2021")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46216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Fjällig taggsvamp s.str.</t>
        </is>
      </c>
      <c r="V42">
        <f>HYPERLINK("https://klasma.github.io/Logging_2082/artfynd/A 21111-2026 artfynd.xlsx", "A 21111-2026")</f>
        <v/>
      </c>
      <c r="W42">
        <f>HYPERLINK("https://klasma.github.io/Logging_2082/kartor/A 21111-2026 karta.png", "A 21111-2026")</f>
        <v/>
      </c>
      <c r="Y42">
        <f>HYPERLINK("https://klasma.github.io/Logging_2082/klagomål/A 21111-2026 FSC-klagomål.docx", "A 21111-2026")</f>
        <v/>
      </c>
      <c r="Z42">
        <f>HYPERLINK("https://klasma.github.io/Logging_2082/klagomålsmail/A 21111-2026 FSC-klagomål mail.docx", "A 21111-2026")</f>
        <v/>
      </c>
      <c r="AA42">
        <f>HYPERLINK("https://klasma.github.io/Logging_2082/tillsyn/A 21111-2026 tillsynsbegäran.docx", "A 21111-2026")</f>
        <v/>
      </c>
      <c r="AB42">
        <f>HYPERLINK("https://klasma.github.io/Logging_2082/tillsynsmail/A 21111-2026 tillsynsbegäran mail.docx", "A 21111-2026")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46216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HYPERLINK("https://klasma.github.io/Logging_2082/artfynd/A 21120-2026 artfynd.xlsx", "A 21120-2026")</f>
        <v/>
      </c>
      <c r="W43">
        <f>HYPERLINK("https://klasma.github.io/Logging_2082/kartor/A 21120-2026 karta.png", "A 21120-2026")</f>
        <v/>
      </c>
      <c r="X43">
        <f>HYPERLINK("https://klasma.github.io/Logging_2082/knärot/A 21120-2026 karta knärot.png", "A 21120-2026")</f>
        <v/>
      </c>
      <c r="Y43">
        <f>HYPERLINK("https://klasma.github.io/Logging_2082/klagomål/A 21120-2026 FSC-klagomål.docx", "A 21120-2026")</f>
        <v/>
      </c>
      <c r="Z43">
        <f>HYPERLINK("https://klasma.github.io/Logging_2082/klagomålsmail/A 21120-2026 FSC-klagomål mail.docx", "A 21120-2026")</f>
        <v/>
      </c>
      <c r="AA43">
        <f>HYPERLINK("https://klasma.github.io/Logging_2082/tillsyn/A 21120-2026 tillsynsbegäran.docx", "A 21120-2026")</f>
        <v/>
      </c>
      <c r="AB43">
        <f>HYPERLINK("https://klasma.github.io/Logging_2082/tillsynsmail/A 21120-2026 tillsynsbegäran mail.docx", "A 21120-2026")</f>
        <v/>
      </c>
    </row>
    <row r="44" ht="15" customHeight="1">
      <c r="A44" t="inlineStr">
        <is>
          <t>A 57427-2022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46216</v>
      </c>
      <c r="F44" t="inlineStr">
        <is>
          <t>DALARNAS LÄN</t>
        </is>
      </c>
      <c r="G44" t="inlineStr">
        <is>
          <t>SÄTER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Dropptaggsvamp</t>
        </is>
      </c>
      <c r="V44">
        <f>HYPERLINK("https://klasma.github.io/Logging_2082/artfynd/A 57427-2022 artfynd.xlsx", "A 57427-2022")</f>
        <v/>
      </c>
      <c r="W44">
        <f>HYPERLINK("https://klasma.github.io/Logging_2082/kartor/A 57427-2022 karta.png", "A 57427-2022")</f>
        <v/>
      </c>
      <c r="Y44">
        <f>HYPERLINK("https://klasma.github.io/Logging_2082/klagomål/A 57427-2022 FSC-klagomål.docx", "A 57427-2022")</f>
        <v/>
      </c>
      <c r="Z44">
        <f>HYPERLINK("https://klasma.github.io/Logging_2082/klagomålsmail/A 57427-2022 FSC-klagomål mail.docx", "A 57427-2022")</f>
        <v/>
      </c>
      <c r="AA44">
        <f>HYPERLINK("https://klasma.github.io/Logging_2082/tillsyn/A 57427-2022 tillsynsbegäran.docx", "A 57427-2022")</f>
        <v/>
      </c>
      <c r="AB44">
        <f>HYPERLINK("https://klasma.github.io/Logging_2082/tillsynsmail/A 57427-2022 tillsynsbegäran mail.docx", "A 57427-2022")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46216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Knärot</t>
        </is>
      </c>
      <c r="V45">
        <f>HYPERLINK("https://klasma.github.io/Logging_2082/artfynd/A 68448-2021 artfynd.xlsx", "A 68448-2021")</f>
        <v/>
      </c>
      <c r="W45">
        <f>HYPERLINK("https://klasma.github.io/Logging_2082/kartor/A 68448-2021 karta.png", "A 68448-2021")</f>
        <v/>
      </c>
      <c r="X45">
        <f>HYPERLINK("https://klasma.github.io/Logging_2082/knärot/A 68448-2021 karta knärot.png", "A 68448-2021")</f>
        <v/>
      </c>
      <c r="Y45">
        <f>HYPERLINK("https://klasma.github.io/Logging_2082/klagomål/A 68448-2021 FSC-klagomål.docx", "A 68448-2021")</f>
        <v/>
      </c>
      <c r="Z45">
        <f>HYPERLINK("https://klasma.github.io/Logging_2082/klagomålsmail/A 68448-2021 FSC-klagomål mail.docx", "A 68448-2021")</f>
        <v/>
      </c>
      <c r="AA45">
        <f>HYPERLINK("https://klasma.github.io/Logging_2082/tillsyn/A 68448-2021 tillsynsbegäran.docx", "A 68448-2021")</f>
        <v/>
      </c>
      <c r="AB45">
        <f>HYPERLINK("https://klasma.github.io/Logging_2082/tillsynsmail/A 68448-2021 tillsynsbegäran mail.docx", "A 68448-2021")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46216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Tvåblad</t>
        </is>
      </c>
      <c r="V46">
        <f>HYPERLINK("https://klasma.github.io/Logging_2082/artfynd/A 5232-2022 artfynd.xlsx", "A 5232-2022")</f>
        <v/>
      </c>
      <c r="W46">
        <f>HYPERLINK("https://klasma.github.io/Logging_2082/kartor/A 5232-2022 karta.png", "A 5232-2022")</f>
        <v/>
      </c>
      <c r="Y46">
        <f>HYPERLINK("https://klasma.github.io/Logging_2082/klagomål/A 5232-2022 FSC-klagomål.docx", "A 5232-2022")</f>
        <v/>
      </c>
      <c r="Z46">
        <f>HYPERLINK("https://klasma.github.io/Logging_2082/klagomålsmail/A 5232-2022 FSC-klagomål mail.docx", "A 5232-2022")</f>
        <v/>
      </c>
      <c r="AA46">
        <f>HYPERLINK("https://klasma.github.io/Logging_2082/tillsyn/A 5232-2022 tillsynsbegäran.docx", "A 5232-2022")</f>
        <v/>
      </c>
      <c r="AB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46216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46216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46216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46216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46216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46216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46216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46216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46216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46216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46216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46216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46216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46216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46216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46216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46216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46216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46216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46216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46216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46216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46216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46216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46216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46216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46216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46216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46216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46216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46216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46216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46216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46216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46216</v>
      </c>
      <c r="F81" t="inlineStr">
        <is>
          <t>DALARNAS LÄN</t>
        </is>
      </c>
      <c r="G81" t="inlineStr">
        <is>
          <t>SÄTER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51328-2024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46216</v>
      </c>
      <c r="F82" t="inlineStr">
        <is>
          <t>DALARNAS LÄN</t>
        </is>
      </c>
      <c r="G82" t="inlineStr">
        <is>
          <t>SÄTER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51339-2024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45604</v>
      </c>
      <c r="E83" s="1" t="n">
        <v>46216</v>
      </c>
      <c r="F83" t="inlineStr">
        <is>
          <t>DALARNAS LÄN</t>
        </is>
      </c>
      <c r="G83" t="inlineStr">
        <is>
          <t>SÄTER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46216</v>
      </c>
      <c r="F84" t="inlineStr">
        <is>
          <t>DALARNAS LÄN</t>
        </is>
      </c>
      <c r="G84" t="inlineStr">
        <is>
          <t>SÄTER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29833-2023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46216</v>
      </c>
      <c r="F85" t="inlineStr">
        <is>
          <t>DALARNAS LÄN</t>
        </is>
      </c>
      <c r="G85" t="inlineStr">
        <is>
          <t>SÄTER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46216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46216</v>
      </c>
      <c r="F87" t="inlineStr">
        <is>
          <t>DALARNAS LÄN</t>
        </is>
      </c>
      <c r="G87" t="inlineStr">
        <is>
          <t>SÄTER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  <c r="X87">
        <f>HYPERLINK("https://klasma.github.io/Logging_2082/knärot/A 498-2025 karta knärot.png", "A 498-2025")</f>
        <v/>
      </c>
      <c r="Y87">
        <f>HYPERLINK("https://klasma.github.io/Logging_2082/klagomål/A 498-2025 FSC-klagomål.docx", "A 498-2025")</f>
        <v/>
      </c>
      <c r="Z87">
        <f>HYPERLINK("https://klasma.github.io/Logging_2082/klagomålsmail/A 498-2025 FSC-klagomål mail.docx", "A 498-2025")</f>
        <v/>
      </c>
      <c r="AA87">
        <f>HYPERLINK("https://klasma.github.io/Logging_2082/tillsyn/A 498-2025 tillsynsbegäran.docx", "A 498-2025")</f>
        <v/>
      </c>
      <c r="AB87">
        <f>HYPERLINK("https://klasma.github.io/Logging_2082/tillsynsmail/A 498-2025 tillsynsbegäran mail.docx", "A 498-2025")</f>
        <v/>
      </c>
    </row>
    <row r="88" ht="15" customHeight="1">
      <c r="A88" t="inlineStr">
        <is>
          <t>A 8697-2023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44978</v>
      </c>
      <c r="E88" s="1" t="n">
        <v>46216</v>
      </c>
      <c r="F88" t="inlineStr">
        <is>
          <t>DALARNAS LÄN</t>
        </is>
      </c>
      <c r="G88" t="inlineStr">
        <is>
          <t>SÄTER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46216</v>
      </c>
      <c r="F89" t="inlineStr">
        <is>
          <t>DALARNAS LÄN</t>
        </is>
      </c>
      <c r="G89" t="inlineStr">
        <is>
          <t>SÄTER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46216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45161-2021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46216</v>
      </c>
      <c r="F91" t="inlineStr">
        <is>
          <t>DALARNAS LÄN</t>
        </is>
      </c>
      <c r="G91" t="inlineStr">
        <is>
          <t>SÄTER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46216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49661-2021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46216</v>
      </c>
      <c r="F93" t="inlineStr">
        <is>
          <t>DALARNAS LÄN</t>
        </is>
      </c>
      <c r="G93" t="inlineStr">
        <is>
          <t>SÄTER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46216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46216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46216</v>
      </c>
      <c r="F96" t="inlineStr">
        <is>
          <t>DALARNAS LÄN</t>
        </is>
      </c>
      <c r="G96" t="inlineStr">
        <is>
          <t>SÄTER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46216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58864-2024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46216</v>
      </c>
      <c r="F98" t="inlineStr">
        <is>
          <t>DALARNAS LÄN</t>
        </is>
      </c>
      <c r="G98" t="inlineStr">
        <is>
          <t>SÄTER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12285-2024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45377</v>
      </c>
      <c r="E99" s="1" t="n">
        <v>46216</v>
      </c>
      <c r="F99" t="inlineStr">
        <is>
          <t>DALARNAS LÄN</t>
        </is>
      </c>
      <c r="G99" t="inlineStr">
        <is>
          <t>SÄTER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46216</v>
      </c>
      <c r="F100" t="inlineStr">
        <is>
          <t>DALARNAS LÄN</t>
        </is>
      </c>
      <c r="G100" t="inlineStr">
        <is>
          <t>SÄTER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46027</v>
      </c>
      <c r="E101" s="1" t="n">
        <v>46216</v>
      </c>
      <c r="F101" t="inlineStr">
        <is>
          <t>DALARNAS LÄN</t>
        </is>
      </c>
      <c r="G101" t="inlineStr">
        <is>
          <t>SÄTER</t>
        </is>
      </c>
      <c r="I101" t="n">
        <v>12.1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56225-2023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46216</v>
      </c>
      <c r="F102" t="inlineStr">
        <is>
          <t>DALARNAS LÄN</t>
        </is>
      </c>
      <c r="G102" t="inlineStr">
        <is>
          <t>SÄTER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25793-2025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46216</v>
      </c>
      <c r="F103" t="inlineStr">
        <is>
          <t>DALARNAS LÄN</t>
        </is>
      </c>
      <c r="G103" t="inlineStr">
        <is>
          <t>SÄTER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46030</v>
      </c>
      <c r="E104" s="1" t="n">
        <v>46216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46216</v>
      </c>
      <c r="F105" t="inlineStr">
        <is>
          <t>DALARNAS LÄN</t>
        </is>
      </c>
      <c r="G105" t="inlineStr">
        <is>
          <t>SÄTER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46216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46216</v>
      </c>
      <c r="F107" t="inlineStr">
        <is>
          <t>DALARNAS LÄN</t>
        </is>
      </c>
      <c r="G107" t="inlineStr">
        <is>
          <t>SÄTER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46216</v>
      </c>
      <c r="F108" t="inlineStr">
        <is>
          <t>DALARNAS LÄN</t>
        </is>
      </c>
      <c r="G108" t="inlineStr">
        <is>
          <t>SÄTER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46216</v>
      </c>
      <c r="F109" t="inlineStr">
        <is>
          <t>DALARNAS LÄN</t>
        </is>
      </c>
      <c r="G109" t="inlineStr">
        <is>
          <t>SÄTER</t>
        </is>
      </c>
      <c r="H109" t="inlineStr">
        <is>
          <t>Kommuner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3342-2022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44585</v>
      </c>
      <c r="E110" s="1" t="n">
        <v>46216</v>
      </c>
      <c r="F110" t="inlineStr">
        <is>
          <t>DALARNAS LÄN</t>
        </is>
      </c>
      <c r="G110" t="inlineStr">
        <is>
          <t>SÄTER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27057-2025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46216</v>
      </c>
      <c r="F111" t="inlineStr">
        <is>
          <t>DALARNAS LÄN</t>
        </is>
      </c>
      <c r="G111" t="inlineStr">
        <is>
          <t>SÄTER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46216</v>
      </c>
      <c r="F112" t="inlineStr">
        <is>
          <t>DALARNAS LÄN</t>
        </is>
      </c>
      <c r="G112" t="inlineStr">
        <is>
          <t>SÄTER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64788-2023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46216</v>
      </c>
      <c r="F113" t="inlineStr">
        <is>
          <t>DALARNAS LÄN</t>
        </is>
      </c>
      <c r="G113" t="inlineStr">
        <is>
          <t>SÄTER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23804-2024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46216</v>
      </c>
      <c r="F114" t="inlineStr">
        <is>
          <t>DALARNAS LÄN</t>
        </is>
      </c>
      <c r="G114" t="inlineStr">
        <is>
          <t>SÄTER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39780-2024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46216</v>
      </c>
      <c r="F115" t="inlineStr">
        <is>
          <t>DALARNAS LÄN</t>
        </is>
      </c>
      <c r="G115" t="inlineStr">
        <is>
          <t>SÄTER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32886-2022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46216</v>
      </c>
      <c r="F116" t="inlineStr">
        <is>
          <t>DALARNAS LÄN</t>
        </is>
      </c>
      <c r="G116" t="inlineStr">
        <is>
          <t>SÄTER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19747-2025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46216</v>
      </c>
      <c r="F117" t="inlineStr">
        <is>
          <t>DALARNAS LÄN</t>
        </is>
      </c>
      <c r="G117" t="inlineStr">
        <is>
          <t>SÄTER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28852-2025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46216</v>
      </c>
      <c r="F118" t="inlineStr">
        <is>
          <t>DALARNAS LÄN</t>
        </is>
      </c>
      <c r="G118" t="inlineStr">
        <is>
          <t>SÄTER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14168-2025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46216</v>
      </c>
      <c r="F119" t="inlineStr">
        <is>
          <t>DALARNAS LÄN</t>
        </is>
      </c>
      <c r="G119" t="inlineStr">
        <is>
          <t>SÄTER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52161-2025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46216</v>
      </c>
      <c r="F120" t="inlineStr">
        <is>
          <t>DALARNAS LÄN</t>
        </is>
      </c>
      <c r="G120" t="inlineStr">
        <is>
          <t>SÄTER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29522-2025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46216</v>
      </c>
      <c r="F121" t="inlineStr">
        <is>
          <t>DALARNAS LÄN</t>
        </is>
      </c>
      <c r="G121" t="inlineStr">
        <is>
          <t>SÄTER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44727</v>
      </c>
      <c r="E122" s="1" t="n">
        <v>46216</v>
      </c>
      <c r="F122" t="inlineStr">
        <is>
          <t>DALARNAS LÄN</t>
        </is>
      </c>
      <c r="G122" t="inlineStr">
        <is>
          <t>SÄTER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46216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46216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2098-2026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46216</v>
      </c>
      <c r="F125" t="inlineStr">
        <is>
          <t>DALARNAS LÄN</t>
        </is>
      </c>
      <c r="G125" t="inlineStr">
        <is>
          <t>SÄTER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46216</v>
      </c>
      <c r="F126" t="inlineStr">
        <is>
          <t>DALARNAS LÄN</t>
        </is>
      </c>
      <c r="G126" t="inlineStr">
        <is>
          <t>SÄTER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54141-2023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46216</v>
      </c>
      <c r="F127" t="inlineStr">
        <is>
          <t>DALARNAS LÄN</t>
        </is>
      </c>
      <c r="G127" t="inlineStr">
        <is>
          <t>SÄTER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46216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46216</v>
      </c>
      <c r="F129" t="inlineStr">
        <is>
          <t>DALARNAS LÄN</t>
        </is>
      </c>
      <c r="G129" t="inlineStr">
        <is>
          <t>SÄTER</t>
        </is>
      </c>
      <c r="I129" t="n">
        <v>10.9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20337-2024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46216</v>
      </c>
      <c r="F130" t="inlineStr">
        <is>
          <t>DALARNAS LÄN</t>
        </is>
      </c>
      <c r="G130" t="inlineStr">
        <is>
          <t>SÄTER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8117-2022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44609</v>
      </c>
      <c r="E131" s="1" t="n">
        <v>46216</v>
      </c>
      <c r="F131" t="inlineStr">
        <is>
          <t>DALARNAS LÄN</t>
        </is>
      </c>
      <c r="G131" t="inlineStr">
        <is>
          <t>SÄTER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46216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46216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46216</v>
      </c>
      <c r="F134" t="inlineStr">
        <is>
          <t>DALARNAS LÄN</t>
        </is>
      </c>
      <c r="G134" t="inlineStr">
        <is>
          <t>SÄTER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46216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35410-2025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46216</v>
      </c>
      <c r="F136" t="inlineStr">
        <is>
          <t>DALARNAS LÄN</t>
        </is>
      </c>
      <c r="G136" t="inlineStr">
        <is>
          <t>SÄTER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46216</v>
      </c>
      <c r="F137" t="inlineStr">
        <is>
          <t>DALARNAS LÄN</t>
        </is>
      </c>
      <c r="G137" t="inlineStr">
        <is>
          <t>SÄTER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35409-2025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45855</v>
      </c>
      <c r="E138" s="1" t="n">
        <v>46216</v>
      </c>
      <c r="F138" t="inlineStr">
        <is>
          <t>DALARNAS LÄN</t>
        </is>
      </c>
      <c r="G138" t="inlineStr">
        <is>
          <t>SÄTER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46216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29846-2023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46216</v>
      </c>
      <c r="F140" t="inlineStr">
        <is>
          <t>DALARNAS LÄN</t>
        </is>
      </c>
      <c r="G140" t="inlineStr">
        <is>
          <t>SÄTER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36549-2025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45870</v>
      </c>
      <c r="E141" s="1" t="n">
        <v>46216</v>
      </c>
      <c r="F141" t="inlineStr">
        <is>
          <t>DALARNAS LÄN</t>
        </is>
      </c>
      <c r="G141" t="inlineStr">
        <is>
          <t>SÄTER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48507-2025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46216</v>
      </c>
      <c r="F142" t="inlineStr">
        <is>
          <t>DALARNAS LÄN</t>
        </is>
      </c>
      <c r="G142" t="inlineStr">
        <is>
          <t>SÄTER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48862-2025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46216</v>
      </c>
      <c r="F143" t="inlineStr">
        <is>
          <t>DALARNAS LÄN</t>
        </is>
      </c>
      <c r="G143" t="inlineStr">
        <is>
          <t>SÄTER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44572</v>
      </c>
      <c r="E144" s="1" t="n">
        <v>46216</v>
      </c>
      <c r="F144" t="inlineStr">
        <is>
          <t>DALARNAS LÄN</t>
        </is>
      </c>
      <c r="G144" t="inlineStr">
        <is>
          <t>SÄTER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49599-2025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46216</v>
      </c>
      <c r="F145" t="inlineStr">
        <is>
          <t>DALARNAS LÄN</t>
        </is>
      </c>
      <c r="G145" t="inlineStr">
        <is>
          <t>SÄTER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55650-2024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45622</v>
      </c>
      <c r="E146" s="1" t="n">
        <v>46216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37075-2025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46216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50187-2024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45599</v>
      </c>
      <c r="E148" s="1" t="n">
        <v>46216</v>
      </c>
      <c r="F148" t="inlineStr">
        <is>
          <t>DALARNAS LÄN</t>
        </is>
      </c>
      <c r="G148" t="inlineStr">
        <is>
          <t>SÄTER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46216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38264-2025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46216</v>
      </c>
      <c r="F150" t="inlineStr">
        <is>
          <t>DALARNAS LÄN</t>
        </is>
      </c>
      <c r="G150" t="inlineStr">
        <is>
          <t>SÄTER</t>
        </is>
      </c>
      <c r="I150" t="n">
        <v>10.8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50533-2025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46216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3445-2026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46042</v>
      </c>
      <c r="E152" s="1" t="n">
        <v>46216</v>
      </c>
      <c r="F152" t="inlineStr">
        <is>
          <t>DALARNAS LÄN</t>
        </is>
      </c>
      <c r="G152" t="inlineStr">
        <is>
          <t>SÄTER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51474-2024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46216</v>
      </c>
      <c r="F153" t="inlineStr">
        <is>
          <t>DALARNAS LÄN</t>
        </is>
      </c>
      <c r="G153" t="inlineStr">
        <is>
          <t>SÄTER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61332-2023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45264</v>
      </c>
      <c r="E154" s="1" t="n">
        <v>46216</v>
      </c>
      <c r="F154" t="inlineStr">
        <is>
          <t>DALARNAS LÄN</t>
        </is>
      </c>
      <c r="G154" t="inlineStr">
        <is>
          <t>SÄTER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59390-2024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46216</v>
      </c>
      <c r="F155" t="inlineStr">
        <is>
          <t>DALARNAS LÄN</t>
        </is>
      </c>
      <c r="G155" t="inlineStr">
        <is>
          <t>SÄTER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35163-2023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46216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46216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51824-2025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46216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46216</v>
      </c>
      <c r="F159" t="inlineStr">
        <is>
          <t>DALARNAS LÄN</t>
        </is>
      </c>
      <c r="G159" t="inlineStr">
        <is>
          <t>SÄTER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34196-2023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45138</v>
      </c>
      <c r="E160" s="1" t="n">
        <v>46216</v>
      </c>
      <c r="F160" t="inlineStr">
        <is>
          <t>DALARNAS LÄN</t>
        </is>
      </c>
      <c r="G160" t="inlineStr">
        <is>
          <t>SÄTER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41564-2021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44425</v>
      </c>
      <c r="E161" s="1" t="n">
        <v>46216</v>
      </c>
      <c r="F161" t="inlineStr">
        <is>
          <t>DALARNAS LÄN</t>
        </is>
      </c>
      <c r="G161" t="inlineStr">
        <is>
          <t>SÄTER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21696-2023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46216</v>
      </c>
      <c r="F162" t="inlineStr">
        <is>
          <t>DALARNAS LÄN</t>
        </is>
      </c>
      <c r="G162" t="inlineStr">
        <is>
          <t>SÄTER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44960</v>
      </c>
      <c r="E163" s="1" t="n">
        <v>46216</v>
      </c>
      <c r="F163" t="inlineStr">
        <is>
          <t>DALARNAS LÄN</t>
        </is>
      </c>
      <c r="G163" t="inlineStr">
        <is>
          <t>SÄTER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45225-2022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46216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46045</v>
      </c>
      <c r="E165" s="1" t="n">
        <v>46216</v>
      </c>
      <c r="F165" t="inlineStr">
        <is>
          <t>DALARNAS LÄN</t>
        </is>
      </c>
      <c r="G165" t="inlineStr">
        <is>
          <t>SÄTER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46216</v>
      </c>
      <c r="F166" t="inlineStr">
        <is>
          <t>DALARNAS LÄN</t>
        </is>
      </c>
      <c r="G166" t="inlineStr">
        <is>
          <t>SÄTER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44803-2023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46216</v>
      </c>
      <c r="F167" t="inlineStr">
        <is>
          <t>DALARNAS LÄN</t>
        </is>
      </c>
      <c r="G167" t="inlineStr">
        <is>
          <t>SÄTER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46216</v>
      </c>
      <c r="F168" t="inlineStr">
        <is>
          <t>DALARNAS LÄN</t>
        </is>
      </c>
      <c r="G168" t="inlineStr">
        <is>
          <t>SÄTER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46216</v>
      </c>
      <c r="F169" t="inlineStr">
        <is>
          <t>DALARNAS LÄN</t>
        </is>
      </c>
      <c r="G169" t="inlineStr">
        <is>
          <t>SÄTER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46216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53878-2025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46216</v>
      </c>
      <c r="F171" t="inlineStr">
        <is>
          <t>DALARNAS LÄN</t>
        </is>
      </c>
      <c r="G171" t="inlineStr">
        <is>
          <t>SÄTER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46216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46216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46216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40671-2023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46216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42806-2024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45566</v>
      </c>
      <c r="E176" s="1" t="n">
        <v>46216</v>
      </c>
      <c r="F176" t="inlineStr">
        <is>
          <t>DALARNAS LÄN</t>
        </is>
      </c>
      <c r="G176" t="inlineStr">
        <is>
          <t>SÄTER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46216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55428-2025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46216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10406-2024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46216</v>
      </c>
      <c r="F179" t="inlineStr">
        <is>
          <t>DALARNAS LÄN</t>
        </is>
      </c>
      <c r="G179" t="inlineStr">
        <is>
          <t>SÄTER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46216</v>
      </c>
      <c r="F180" t="inlineStr">
        <is>
          <t>DALARNAS LÄN</t>
        </is>
      </c>
      <c r="G180" t="inlineStr">
        <is>
          <t>SÄTER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6856-2026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46057</v>
      </c>
      <c r="E181" s="1" t="n">
        <v>46216</v>
      </c>
      <c r="F181" t="inlineStr">
        <is>
          <t>DALARNAS LÄN</t>
        </is>
      </c>
      <c r="G181" t="inlineStr">
        <is>
          <t>SÄTER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16901-2024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46216</v>
      </c>
      <c r="F182" t="inlineStr">
        <is>
          <t>DALARNAS LÄN</t>
        </is>
      </c>
      <c r="G182" t="inlineStr">
        <is>
          <t>SÄTER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46216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58325-2025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46216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7562-2023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44972</v>
      </c>
      <c r="E185" s="1" t="n">
        <v>46216</v>
      </c>
      <c r="F185" t="inlineStr">
        <is>
          <t>DALARNAS LÄN</t>
        </is>
      </c>
      <c r="G185" t="inlineStr">
        <is>
          <t>SÄTER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46216</v>
      </c>
      <c r="F186" t="inlineStr">
        <is>
          <t>DALARNAS LÄN</t>
        </is>
      </c>
      <c r="G186" t="inlineStr">
        <is>
          <t>SÄTER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53706-2025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46216</v>
      </c>
      <c r="F187" t="inlineStr">
        <is>
          <t>DALARNAS LÄN</t>
        </is>
      </c>
      <c r="G187" t="inlineStr">
        <is>
          <t>SÄTER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8435-2026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46065</v>
      </c>
      <c r="E188" s="1" t="n">
        <v>46216</v>
      </c>
      <c r="F188" t="inlineStr">
        <is>
          <t>DALARNAS LÄN</t>
        </is>
      </c>
      <c r="G188" t="inlineStr">
        <is>
          <t>SÄTER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8355-2026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46216</v>
      </c>
      <c r="F189" t="inlineStr">
        <is>
          <t>DALARNAS LÄN</t>
        </is>
      </c>
      <c r="G189" t="inlineStr">
        <is>
          <t>SÄTER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43770-2024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46216</v>
      </c>
      <c r="F190" t="inlineStr">
        <is>
          <t>DALARNAS LÄN</t>
        </is>
      </c>
      <c r="G190" t="inlineStr">
        <is>
          <t>SÄTER</t>
        </is>
      </c>
      <c r="I190" t="n">
        <v>13.2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59854-2025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46216</v>
      </c>
      <c r="F191" t="inlineStr">
        <is>
          <t>DALARNAS LÄN</t>
        </is>
      </c>
      <c r="G191" t="inlineStr">
        <is>
          <t>SÄTER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8810-2026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46216</v>
      </c>
      <c r="F192" t="inlineStr">
        <is>
          <t>DALARNAS LÄN</t>
        </is>
      </c>
      <c r="G192" t="inlineStr">
        <is>
          <t>SÄTER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25690-2022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46216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46216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9586-2023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44982</v>
      </c>
      <c r="E195" s="1" t="n">
        <v>46216</v>
      </c>
      <c r="F195" t="inlineStr">
        <is>
          <t>DALARNAS LÄN</t>
        </is>
      </c>
      <c r="G195" t="inlineStr">
        <is>
          <t>SÄTER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54440-2022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46216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45236</v>
      </c>
      <c r="E197" s="1" t="n">
        <v>46216</v>
      </c>
      <c r="F197" t="inlineStr">
        <is>
          <t>DALARNAS LÄN</t>
        </is>
      </c>
      <c r="G197" t="inlineStr">
        <is>
          <t>SÄTER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57416-2022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46216</v>
      </c>
      <c r="F198" t="inlineStr">
        <is>
          <t>DALARNAS LÄN</t>
        </is>
      </c>
      <c r="G198" t="inlineStr">
        <is>
          <t>SÄTER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  <c r="X198">
        <f>HYPERLINK("https://klasma.github.io/Logging_2082/knärot/A 57416-2022 karta knärot.png", "A 57416-2022")</f>
        <v/>
      </c>
      <c r="Y198">
        <f>HYPERLINK("https://klasma.github.io/Logging_2082/klagomål/A 57416-2022 FSC-klagomål.docx", "A 57416-2022")</f>
        <v/>
      </c>
      <c r="Z198">
        <f>HYPERLINK("https://klasma.github.io/Logging_2082/klagomålsmail/A 57416-2022 FSC-klagomål mail.docx", "A 57416-2022")</f>
        <v/>
      </c>
      <c r="AA198">
        <f>HYPERLINK("https://klasma.github.io/Logging_2082/tillsyn/A 57416-2022 tillsynsbegäran.docx", "A 57416-2022")</f>
        <v/>
      </c>
      <c r="AB198">
        <f>HYPERLINK("https://klasma.github.io/Logging_2082/tillsynsmail/A 57416-2022 tillsynsbegäran mail.docx", "A 57416-2022")</f>
        <v/>
      </c>
    </row>
    <row r="199" ht="15" customHeight="1">
      <c r="A199" t="inlineStr">
        <is>
          <t>A 61228-2025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46216</v>
      </c>
      <c r="F199" t="inlineStr">
        <is>
          <t>DALARNAS LÄN</t>
        </is>
      </c>
      <c r="G199" t="inlineStr">
        <is>
          <t>SÄTER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10173-2026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46216</v>
      </c>
      <c r="F200" t="inlineStr">
        <is>
          <t>DALARNAS LÄN</t>
        </is>
      </c>
      <c r="G200" t="inlineStr">
        <is>
          <t>SÄTER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10214-2026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46216</v>
      </c>
      <c r="F201" t="inlineStr">
        <is>
          <t>DALARNAS LÄN</t>
        </is>
      </c>
      <c r="G201" t="inlineStr">
        <is>
          <t>SÄTER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10146-2026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46216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46077</v>
      </c>
      <c r="E203" s="1" t="n">
        <v>46216</v>
      </c>
      <c r="F203" t="inlineStr">
        <is>
          <t>DALARNAS LÄN</t>
        </is>
      </c>
      <c r="G203" t="inlineStr">
        <is>
          <t>SÄTER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11405-2026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46216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63350-2025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46010</v>
      </c>
      <c r="E205" s="1" t="n">
        <v>46216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46216</v>
      </c>
      <c r="F206" t="inlineStr">
        <is>
          <t>DALARNAS LÄN</t>
        </is>
      </c>
      <c r="G206" t="inlineStr">
        <is>
          <t>SÄTER</t>
        </is>
      </c>
      <c r="H206" t="inlineStr">
        <is>
          <t>Övriga statliga verk och myndigheter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63684-2025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46216</v>
      </c>
      <c r="F207" t="inlineStr">
        <is>
          <t>DALARNAS LÄN</t>
        </is>
      </c>
      <c r="G207" t="inlineStr">
        <is>
          <t>SÄTER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21859-2022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46216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13510-2023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46216</v>
      </c>
      <c r="F209" t="inlineStr">
        <is>
          <t>DALARNAS LÄN</t>
        </is>
      </c>
      <c r="G209" t="inlineStr">
        <is>
          <t>SÄTER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42225-2022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46216</v>
      </c>
      <c r="F210" t="inlineStr">
        <is>
          <t>DALARNAS LÄN</t>
        </is>
      </c>
      <c r="G210" t="inlineStr">
        <is>
          <t>SÄTER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49586-2025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46216</v>
      </c>
      <c r="F211" t="inlineStr">
        <is>
          <t>DALARNAS LÄN</t>
        </is>
      </c>
      <c r="G211" t="inlineStr">
        <is>
          <t>SÄTER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46026</v>
      </c>
      <c r="E212" s="1" t="n">
        <v>46216</v>
      </c>
      <c r="F212" t="inlineStr">
        <is>
          <t>DALARNAS LÄN</t>
        </is>
      </c>
      <c r="G212" t="inlineStr">
        <is>
          <t>SÄTER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44935</v>
      </c>
      <c r="E213" s="1" t="n">
        <v>46216</v>
      </c>
      <c r="F213" t="inlineStr">
        <is>
          <t>DALARNAS LÄN</t>
        </is>
      </c>
      <c r="G213" t="inlineStr">
        <is>
          <t>SÄTER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12322-2026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46216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12957-2026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46216</v>
      </c>
      <c r="F215" t="inlineStr">
        <is>
          <t>DALARNAS LÄN</t>
        </is>
      </c>
      <c r="G215" t="inlineStr">
        <is>
          <t>SÄTER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12965-2026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46216</v>
      </c>
      <c r="F216" t="inlineStr">
        <is>
          <t>DALARNAS LÄN</t>
        </is>
      </c>
      <c r="G216" t="inlineStr">
        <is>
          <t>SÄTER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11533-2026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46216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13265-2026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46216</v>
      </c>
      <c r="F218" t="inlineStr">
        <is>
          <t>DALARNAS LÄN</t>
        </is>
      </c>
      <c r="G218" t="inlineStr">
        <is>
          <t>SÄTER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13532-2026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46216</v>
      </c>
      <c r="F219" t="inlineStr">
        <is>
          <t>DALARNAS LÄN</t>
        </is>
      </c>
      <c r="G219" t="inlineStr">
        <is>
          <t>SÄTER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46216</v>
      </c>
      <c r="F220" t="inlineStr">
        <is>
          <t>DALARNAS LÄN</t>
        </is>
      </c>
      <c r="G220" t="inlineStr">
        <is>
          <t>SÄTER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13888-2026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46098</v>
      </c>
      <c r="E221" s="1" t="n">
        <v>46216</v>
      </c>
      <c r="F221" t="inlineStr">
        <is>
          <t>DALARNAS LÄN</t>
        </is>
      </c>
      <c r="G221" t="inlineStr">
        <is>
          <t>SÄTER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13899-2026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46216</v>
      </c>
      <c r="F222" t="inlineStr">
        <is>
          <t>DALARNAS LÄN</t>
        </is>
      </c>
      <c r="G222" t="inlineStr">
        <is>
          <t>SÄTER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51405-2022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44869</v>
      </c>
      <c r="E223" s="1" t="n">
        <v>46216</v>
      </c>
      <c r="F223" t="inlineStr">
        <is>
          <t>DALARNAS LÄN</t>
        </is>
      </c>
      <c r="G223" t="inlineStr">
        <is>
          <t>SÄTER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50366-2023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46216</v>
      </c>
      <c r="F224" t="inlineStr">
        <is>
          <t>DALARNAS LÄN</t>
        </is>
      </c>
      <c r="G224" t="inlineStr">
        <is>
          <t>SÄTER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46216</v>
      </c>
      <c r="F225" t="inlineStr">
        <is>
          <t>DALARNAS LÄN</t>
        </is>
      </c>
      <c r="G225" t="inlineStr">
        <is>
          <t>SÄTER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56831-2024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46216</v>
      </c>
      <c r="F226" t="inlineStr">
        <is>
          <t>DALARNAS LÄN</t>
        </is>
      </c>
      <c r="G226" t="inlineStr">
        <is>
          <t>SÄTER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41643-2023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45175</v>
      </c>
      <c r="E227" s="1" t="n">
        <v>46216</v>
      </c>
      <c r="F227" t="inlineStr">
        <is>
          <t>DALARNAS LÄN</t>
        </is>
      </c>
      <c r="G227" t="inlineStr">
        <is>
          <t>SÄTER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51320-2024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45604</v>
      </c>
      <c r="E228" s="1" t="n">
        <v>46216</v>
      </c>
      <c r="F228" t="inlineStr">
        <is>
          <t>DALARNAS LÄN</t>
        </is>
      </c>
      <c r="G228" t="inlineStr">
        <is>
          <t>SÄTER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51324-2024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45604</v>
      </c>
      <c r="E229" s="1" t="n">
        <v>46216</v>
      </c>
      <c r="F229" t="inlineStr">
        <is>
          <t>DALARNAS LÄN</t>
        </is>
      </c>
      <c r="G229" t="inlineStr">
        <is>
          <t>SÄTER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29635-2024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45484</v>
      </c>
      <c r="E230" s="1" t="n">
        <v>46216</v>
      </c>
      <c r="F230" t="inlineStr">
        <is>
          <t>DALARNAS LÄN</t>
        </is>
      </c>
      <c r="G230" t="inlineStr">
        <is>
          <t>SÄTER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59386-2024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45638</v>
      </c>
      <c r="E231" s="1" t="n">
        <v>46216</v>
      </c>
      <c r="F231" t="inlineStr">
        <is>
          <t>DALARNAS LÄN</t>
        </is>
      </c>
      <c r="G231" t="inlineStr">
        <is>
          <t>SÄTER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51323-2024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45604</v>
      </c>
      <c r="E232" s="1" t="n">
        <v>46216</v>
      </c>
      <c r="F232" t="inlineStr">
        <is>
          <t>DALARNAS LÄN</t>
        </is>
      </c>
      <c r="G232" t="inlineStr">
        <is>
          <t>SÄTER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34990-2024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46216</v>
      </c>
      <c r="F233" t="inlineStr">
        <is>
          <t>DALARNAS LÄN</t>
        </is>
      </c>
      <c r="G233" t="inlineStr">
        <is>
          <t>SÄTER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34991-2024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46216</v>
      </c>
      <c r="F234" t="inlineStr">
        <is>
          <t>DALARNAS LÄN</t>
        </is>
      </c>
      <c r="G234" t="inlineStr">
        <is>
          <t>SÄTER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51468-2024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46216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35005-2024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46216</v>
      </c>
      <c r="F236" t="inlineStr">
        <is>
          <t>DALARNAS LÄN</t>
        </is>
      </c>
      <c r="G236" t="inlineStr">
        <is>
          <t>SÄTER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6767-2024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46216</v>
      </c>
      <c r="F237" t="inlineStr">
        <is>
          <t>DALARNAS LÄN</t>
        </is>
      </c>
      <c r="G237" t="inlineStr">
        <is>
          <t>SÄTER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16698-2026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46216</v>
      </c>
      <c r="F238" t="inlineStr">
        <is>
          <t>DALARNAS LÄN</t>
        </is>
      </c>
      <c r="G238" t="inlineStr">
        <is>
          <t>SÄTER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44729-2024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46216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17253-2026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46119</v>
      </c>
      <c r="E240" s="1" t="n">
        <v>46216</v>
      </c>
      <c r="F240" t="inlineStr">
        <is>
          <t>DALARNAS LÄN</t>
        </is>
      </c>
      <c r="G240" t="inlineStr">
        <is>
          <t>SÄTER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10222-2026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46216</v>
      </c>
      <c r="F241" t="inlineStr">
        <is>
          <t>DALARNAS LÄN</t>
        </is>
      </c>
      <c r="G241" t="inlineStr">
        <is>
          <t>SÄTER</t>
        </is>
      </c>
      <c r="I241" t="n">
        <v>15.2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61743-2023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45265</v>
      </c>
      <c r="E242" s="1" t="n">
        <v>46216</v>
      </c>
      <c r="F242" t="inlineStr">
        <is>
          <t>DALARNAS LÄN</t>
        </is>
      </c>
      <c r="G242" t="inlineStr">
        <is>
          <t>SÄTER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36847-2023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46216</v>
      </c>
      <c r="F243" t="inlineStr">
        <is>
          <t>DALARNAS LÄN</t>
        </is>
      </c>
      <c r="G243" t="inlineStr">
        <is>
          <t>SÄTER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46216</v>
      </c>
      <c r="F244" t="inlineStr">
        <is>
          <t>DALARNAS LÄN</t>
        </is>
      </c>
      <c r="G244" t="inlineStr">
        <is>
          <t>SÄTER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46216</v>
      </c>
      <c r="F245" t="inlineStr">
        <is>
          <t>DALARNAS LÄN</t>
        </is>
      </c>
      <c r="G245" t="inlineStr">
        <is>
          <t>SÄTER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16836-2024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46216</v>
      </c>
      <c r="F246" t="inlineStr">
        <is>
          <t>DALARNAS LÄN</t>
        </is>
      </c>
      <c r="G246" t="inlineStr">
        <is>
          <t>SÄTER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46216</v>
      </c>
      <c r="F247" t="inlineStr">
        <is>
          <t>DALARNAS LÄN</t>
        </is>
      </c>
      <c r="G247" t="inlineStr">
        <is>
          <t>SÄTER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12942-2026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46216</v>
      </c>
      <c r="F248" t="inlineStr">
        <is>
          <t>DALARNAS LÄN</t>
        </is>
      </c>
      <c r="G248" t="inlineStr">
        <is>
          <t>SÄTER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12938-2026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46216</v>
      </c>
      <c r="F249" t="inlineStr">
        <is>
          <t>DALARNAS LÄN</t>
        </is>
      </c>
      <c r="G249" t="inlineStr">
        <is>
          <t>SÄTER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45476-2024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45576</v>
      </c>
      <c r="E250" s="1" t="n">
        <v>46216</v>
      </c>
      <c r="F250" t="inlineStr">
        <is>
          <t>DALARNAS LÄN</t>
        </is>
      </c>
      <c r="G250" t="inlineStr">
        <is>
          <t>SÄTER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16832-2024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46216</v>
      </c>
      <c r="F251" t="inlineStr">
        <is>
          <t>DALARNAS LÄN</t>
        </is>
      </c>
      <c r="G251" t="inlineStr">
        <is>
          <t>SÄTER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16840-2024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46216</v>
      </c>
      <c r="F252" t="inlineStr">
        <is>
          <t>DALARNAS LÄN</t>
        </is>
      </c>
      <c r="G252" t="inlineStr">
        <is>
          <t>SÄTER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45398</v>
      </c>
      <c r="E253" s="1" t="n">
        <v>46216</v>
      </c>
      <c r="F253" t="inlineStr">
        <is>
          <t>DALARNAS LÄN</t>
        </is>
      </c>
      <c r="G253" t="inlineStr">
        <is>
          <t>SÄTER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13362-2026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46216</v>
      </c>
      <c r="F254" t="inlineStr">
        <is>
          <t>DALARNAS LÄN</t>
        </is>
      </c>
      <c r="G254" t="inlineStr">
        <is>
          <t>SÄTER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7188-2023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46216</v>
      </c>
      <c r="F255" t="inlineStr">
        <is>
          <t>DALARNAS LÄN</t>
        </is>
      </c>
      <c r="G255" t="inlineStr">
        <is>
          <t>SÄTER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39262-2021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44413</v>
      </c>
      <c r="E256" s="1" t="n">
        <v>46216</v>
      </c>
      <c r="F256" t="inlineStr">
        <is>
          <t>DALARNAS LÄN</t>
        </is>
      </c>
      <c r="G256" t="inlineStr">
        <is>
          <t>SÄTER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56823-2024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46216</v>
      </c>
      <c r="F257" t="inlineStr">
        <is>
          <t>DALARNAS LÄN</t>
        </is>
      </c>
      <c r="G257" t="inlineStr">
        <is>
          <t>SÄTER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25033-2026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46216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34652-2024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46216</v>
      </c>
      <c r="F259" t="inlineStr">
        <is>
          <t>DALARNAS LÄN</t>
        </is>
      </c>
      <c r="G259" t="inlineStr">
        <is>
          <t>SÄTER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61344-2023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46216</v>
      </c>
      <c r="F260" t="inlineStr">
        <is>
          <t>DALARNAS LÄN</t>
        </is>
      </c>
      <c r="G260" t="inlineStr">
        <is>
          <t>SÄTER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18974-2024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45427</v>
      </c>
      <c r="E261" s="1" t="n">
        <v>46216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21697-2023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46216</v>
      </c>
      <c r="F262" t="inlineStr">
        <is>
          <t>DALARNAS LÄN</t>
        </is>
      </c>
      <c r="G262" t="inlineStr">
        <is>
          <t>SÄTER</t>
        </is>
      </c>
      <c r="H262" t="inlineStr">
        <is>
          <t>Kommuner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20057-2026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46216</v>
      </c>
      <c r="F263" t="inlineStr">
        <is>
          <t>DALARNAS LÄN</t>
        </is>
      </c>
      <c r="G263" t="inlineStr">
        <is>
          <t>SÄTER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41954-2024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46216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44724-2024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46216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46216</v>
      </c>
      <c r="F266" t="inlineStr">
        <is>
          <t>DALARNAS LÄN</t>
        </is>
      </c>
      <c r="G266" t="inlineStr">
        <is>
          <t>SÄTER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44719-2024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46216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10.8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30256-2023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46216</v>
      </c>
      <c r="F268" t="inlineStr">
        <is>
          <t>DALARNAS LÄN</t>
        </is>
      </c>
      <c r="G268" t="inlineStr">
        <is>
          <t>SÄTER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52193-2021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44463</v>
      </c>
      <c r="E269" s="1" t="n">
        <v>46216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63654-2025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46216</v>
      </c>
      <c r="F270" t="inlineStr">
        <is>
          <t>DALARNAS LÄN</t>
        </is>
      </c>
      <c r="G270" t="inlineStr">
        <is>
          <t>SÄTER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23810-2024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46216</v>
      </c>
      <c r="F271" t="inlineStr">
        <is>
          <t>DALARNAS LÄN</t>
        </is>
      </c>
      <c r="G271" t="inlineStr">
        <is>
          <t>SÄTER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52220-2021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46216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46216</v>
      </c>
      <c r="F273" t="inlineStr">
        <is>
          <t>DALARNAS LÄN</t>
        </is>
      </c>
      <c r="G273" t="inlineStr">
        <is>
          <t>SÄTER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43125-2024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45567</v>
      </c>
      <c r="E274" s="1" t="n">
        <v>46216</v>
      </c>
      <c r="F274" t="inlineStr">
        <is>
          <t>DALARNAS LÄN</t>
        </is>
      </c>
      <c r="G274" t="inlineStr">
        <is>
          <t>SÄTER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19773-2024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46216</v>
      </c>
      <c r="F275" t="inlineStr">
        <is>
          <t>DALARNAS LÄN</t>
        </is>
      </c>
      <c r="G275" t="inlineStr">
        <is>
          <t>SÄTER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20056-2026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46216</v>
      </c>
      <c r="F276" t="inlineStr">
        <is>
          <t>DALARNAS LÄN</t>
        </is>
      </c>
      <c r="G276" t="inlineStr">
        <is>
          <t>SÄTER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10540-2024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45366</v>
      </c>
      <c r="E277" s="1" t="n">
        <v>46216</v>
      </c>
      <c r="F277" t="inlineStr">
        <is>
          <t>DALARNAS LÄN</t>
        </is>
      </c>
      <c r="G277" t="inlineStr">
        <is>
          <t>SÄTER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41959-2024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46216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41951-2024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45561</v>
      </c>
      <c r="E279" s="1" t="n">
        <v>46216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10.8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10101-2026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46216</v>
      </c>
      <c r="F280" t="inlineStr">
        <is>
          <t>DALARNAS LÄN</t>
        </is>
      </c>
      <c r="G280" t="inlineStr">
        <is>
          <t>SÄTER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38240-2022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44812</v>
      </c>
      <c r="E281" s="1" t="n">
        <v>46216</v>
      </c>
      <c r="F281" t="inlineStr">
        <is>
          <t>DALARNAS LÄN</t>
        </is>
      </c>
      <c r="G281" t="inlineStr">
        <is>
          <t>SÄTER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19162-2022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44691</v>
      </c>
      <c r="E282" s="1" t="n">
        <v>46216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9408-2026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46216</v>
      </c>
      <c r="F283" t="inlineStr">
        <is>
          <t>DALARNAS LÄN</t>
        </is>
      </c>
      <c r="G283" t="inlineStr">
        <is>
          <t>SÄTER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59707-2022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46216</v>
      </c>
      <c r="F284" t="inlineStr">
        <is>
          <t>DALARNAS LÄN</t>
        </is>
      </c>
      <c r="G284" t="inlineStr">
        <is>
          <t>SÄTER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13339-2023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46216</v>
      </c>
      <c r="F285" t="inlineStr">
        <is>
          <t>DALARNAS LÄN</t>
        </is>
      </c>
      <c r="G285" t="inlineStr">
        <is>
          <t>SÄTER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20490-2026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46216</v>
      </c>
      <c r="F286" t="inlineStr">
        <is>
          <t>DALARNAS LÄN</t>
        </is>
      </c>
      <c r="G286" t="inlineStr">
        <is>
          <t>SÄTER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10285-2026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46076</v>
      </c>
      <c r="E287" s="1" t="n">
        <v>46216</v>
      </c>
      <c r="F287" t="inlineStr">
        <is>
          <t>DALARNAS LÄN</t>
        </is>
      </c>
      <c r="G287" t="inlineStr">
        <is>
          <t>SÄTER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14019-2026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46216</v>
      </c>
      <c r="F288" t="inlineStr">
        <is>
          <t>DALARNAS LÄN</t>
        </is>
      </c>
      <c r="G288" t="inlineStr">
        <is>
          <t>SÄTER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11733-2026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46216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69744-2021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44532</v>
      </c>
      <c r="E290" s="1" t="n">
        <v>46216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12330-2026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46087</v>
      </c>
      <c r="E291" s="1" t="n">
        <v>46216</v>
      </c>
      <c r="F291" t="inlineStr">
        <is>
          <t>DALARNAS LÄN</t>
        </is>
      </c>
      <c r="G291" t="inlineStr">
        <is>
          <t>SÄTER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26456-2024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46216</v>
      </c>
      <c r="F292" t="inlineStr">
        <is>
          <t>DALARNAS LÄN</t>
        </is>
      </c>
      <c r="G292" t="inlineStr">
        <is>
          <t>SÄTER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46216</v>
      </c>
      <c r="F293" t="inlineStr">
        <is>
          <t>DALARNAS LÄN</t>
        </is>
      </c>
      <c r="G293" t="inlineStr">
        <is>
          <t>SÄTER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43610-2025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46216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45665</v>
      </c>
      <c r="E295" s="1" t="n">
        <v>46216</v>
      </c>
      <c r="F295" t="inlineStr">
        <is>
          <t>DALARNAS LÄN</t>
        </is>
      </c>
      <c r="G295" t="inlineStr">
        <is>
          <t>SÄTER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26940-2025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46216</v>
      </c>
      <c r="F296" t="inlineStr">
        <is>
          <t>DALARNAS LÄN</t>
        </is>
      </c>
      <c r="G296" t="inlineStr">
        <is>
          <t>SÄTER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46216</v>
      </c>
      <c r="F297" t="inlineStr">
        <is>
          <t>DALARNAS LÄN</t>
        </is>
      </c>
      <c r="G297" t="inlineStr">
        <is>
          <t>SÄTER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8991-2026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46216</v>
      </c>
      <c r="F298" t="inlineStr">
        <is>
          <t>DALARNAS LÄN</t>
        </is>
      </c>
      <c r="G298" t="inlineStr">
        <is>
          <t>SÄTER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60655-2024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46216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59445-2024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46216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46216</v>
      </c>
      <c r="F301" t="inlineStr">
        <is>
          <t>DALARNAS LÄN</t>
        </is>
      </c>
      <c r="G301" t="inlineStr">
        <is>
          <t>SÄTER</t>
        </is>
      </c>
      <c r="H301" t="inlineStr">
        <is>
          <t>Kommuner</t>
        </is>
      </c>
      <c r="I301" t="n">
        <v>42.6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46216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38700-2023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45163</v>
      </c>
      <c r="E303" s="1" t="n">
        <v>46216</v>
      </c>
      <c r="F303" t="inlineStr">
        <is>
          <t>DALARNAS LÄN</t>
        </is>
      </c>
      <c r="G303" t="inlineStr">
        <is>
          <t>SÄTER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39487-2022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44817</v>
      </c>
      <c r="E304" s="1" t="n">
        <v>46216</v>
      </c>
      <c r="F304" t="inlineStr">
        <is>
          <t>DALARNAS LÄN</t>
        </is>
      </c>
      <c r="G304" t="inlineStr">
        <is>
          <t>SÄTER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45334</v>
      </c>
      <c r="E305" s="1" t="n">
        <v>46216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41556-2021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44425</v>
      </c>
      <c r="E306" s="1" t="n">
        <v>46216</v>
      </c>
      <c r="F306" t="inlineStr">
        <is>
          <t>DALARNAS LÄN</t>
        </is>
      </c>
      <c r="G306" t="inlineStr">
        <is>
          <t>SÄTER</t>
        </is>
      </c>
      <c r="I306" t="n">
        <v>10.8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12646-2026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46216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38521-2024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46216</v>
      </c>
      <c r="F308" t="inlineStr">
        <is>
          <t>DALARNAS LÄN</t>
        </is>
      </c>
      <c r="G308" t="inlineStr">
        <is>
          <t>SÄTER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46216</v>
      </c>
      <c r="F309" t="inlineStr">
        <is>
          <t>DALARNAS LÄN</t>
        </is>
      </c>
      <c r="G309" t="inlineStr">
        <is>
          <t>SÄTER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46216</v>
      </c>
      <c r="F310" t="inlineStr">
        <is>
          <t>DALARNAS LÄN</t>
        </is>
      </c>
      <c r="G310" t="inlineStr">
        <is>
          <t>SÄTER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27771-2026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46216</v>
      </c>
      <c r="F311" t="inlineStr">
        <is>
          <t>DALARNAS LÄN</t>
        </is>
      </c>
      <c r="G311" t="inlineStr">
        <is>
          <t>SÄTER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32904-2022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44784</v>
      </c>
      <c r="E312" s="1" t="n">
        <v>46216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22148-2026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46216</v>
      </c>
      <c r="F313" t="inlineStr">
        <is>
          <t>DALARNAS LÄN</t>
        </is>
      </c>
      <c r="G313" t="inlineStr">
        <is>
          <t>SÄTER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22028-2026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46216</v>
      </c>
      <c r="F314" t="inlineStr">
        <is>
          <t>DALARNAS LÄN</t>
        </is>
      </c>
      <c r="G314" t="inlineStr">
        <is>
          <t>SÄTER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57824-2023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46216</v>
      </c>
      <c r="F315" t="inlineStr">
        <is>
          <t>DALARNAS LÄN</t>
        </is>
      </c>
      <c r="G315" t="inlineStr">
        <is>
          <t>SÄTER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47044-2023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46216</v>
      </c>
      <c r="F316" t="inlineStr">
        <is>
          <t>DALARNAS LÄN</t>
        </is>
      </c>
      <c r="G316" t="inlineStr">
        <is>
          <t>SÄTER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22261-2026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46216</v>
      </c>
      <c r="F317" t="inlineStr">
        <is>
          <t>DALARNAS LÄN</t>
        </is>
      </c>
      <c r="G317" t="inlineStr">
        <is>
          <t>SÄTER</t>
        </is>
      </c>
      <c r="I317" t="n">
        <v>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28281-2026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46216</v>
      </c>
      <c r="F318" t="inlineStr">
        <is>
          <t>DALARNAS LÄN</t>
        </is>
      </c>
      <c r="G318" t="inlineStr">
        <is>
          <t>SÄTER</t>
        </is>
      </c>
      <c r="H318" t="inlineStr">
        <is>
          <t>Sveaskog</t>
        </is>
      </c>
      <c r="I318" t="n">
        <v>19.8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22850-2026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46216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28613-2026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46216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51333-2024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45604</v>
      </c>
      <c r="E321" s="1" t="n">
        <v>46216</v>
      </c>
      <c r="F321" t="inlineStr">
        <is>
          <t>DALARNAS LÄN</t>
        </is>
      </c>
      <c r="G321" t="inlineStr">
        <is>
          <t>SÄTER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19979-2025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46216</v>
      </c>
      <c r="F322" t="inlineStr">
        <is>
          <t>DALARNAS LÄN</t>
        </is>
      </c>
      <c r="G322" t="inlineStr">
        <is>
          <t>SÄTER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32892-2022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46216</v>
      </c>
      <c r="F323" t="inlineStr">
        <is>
          <t>DALARNAS LÄN</t>
        </is>
      </c>
      <c r="G323" t="inlineStr">
        <is>
          <t>SÄTER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34497-2023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45140</v>
      </c>
      <c r="E324" s="1" t="n">
        <v>46216</v>
      </c>
      <c r="F324" t="inlineStr">
        <is>
          <t>DALARNAS LÄN</t>
        </is>
      </c>
      <c r="G324" t="inlineStr">
        <is>
          <t>SÄTER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12265-2026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46087</v>
      </c>
      <c r="E325" s="1" t="n">
        <v>46216</v>
      </c>
      <c r="F325" t="inlineStr">
        <is>
          <t>DALARNAS LÄN</t>
        </is>
      </c>
      <c r="G325" t="inlineStr">
        <is>
          <t>SÄTER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23262-2024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45453</v>
      </c>
      <c r="E326" s="1" t="n">
        <v>46216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23547-2026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46216</v>
      </c>
      <c r="F327" t="inlineStr">
        <is>
          <t>DALARNAS LÄN</t>
        </is>
      </c>
      <c r="G327" t="inlineStr">
        <is>
          <t>SÄTER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37923-2022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44811</v>
      </c>
      <c r="E328" s="1" t="n">
        <v>46216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46216</v>
      </c>
      <c r="F329" t="inlineStr">
        <is>
          <t>DALARNAS LÄN</t>
        </is>
      </c>
      <c r="G329" t="inlineStr">
        <is>
          <t>SÄTER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23735-2026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46216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23736-2026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46216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23736-2026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46216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23737-2026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46216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34993-2024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45527</v>
      </c>
      <c r="E334" s="1" t="n">
        <v>46216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45442</v>
      </c>
      <c r="E335" s="1" t="n">
        <v>46216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23679-2026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46216</v>
      </c>
      <c r="F336" t="inlineStr">
        <is>
          <t>DALARNAS LÄN</t>
        </is>
      </c>
      <c r="G336" t="inlineStr">
        <is>
          <t>SÄTER</t>
        </is>
      </c>
      <c r="I336" t="n">
        <v>10.1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12957-2022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44643</v>
      </c>
      <c r="E337" s="1" t="n">
        <v>46216</v>
      </c>
      <c r="F337" t="inlineStr">
        <is>
          <t>DALARNAS LÄN</t>
        </is>
      </c>
      <c r="G337" t="inlineStr">
        <is>
          <t>SÄTER</t>
        </is>
      </c>
      <c r="I337" t="n">
        <v>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56827-2024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46216</v>
      </c>
      <c r="F338" t="inlineStr">
        <is>
          <t>DALARNAS LÄN</t>
        </is>
      </c>
      <c r="G338" t="inlineStr">
        <is>
          <t>SÄTER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54312-2023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46216</v>
      </c>
      <c r="F339" t="inlineStr">
        <is>
          <t>DALARNAS LÄN</t>
        </is>
      </c>
      <c r="G339" t="inlineStr">
        <is>
          <t>SÄTER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44953</v>
      </c>
      <c r="E340" s="1" t="n">
        <v>46216</v>
      </c>
      <c r="F340" t="inlineStr">
        <is>
          <t>DALARNAS LÄN</t>
        </is>
      </c>
      <c r="G340" t="inlineStr">
        <is>
          <t>SÄTER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5981-2023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46216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33872-2024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45520</v>
      </c>
      <c r="E342" s="1" t="n">
        <v>46216</v>
      </c>
      <c r="F342" t="inlineStr">
        <is>
          <t>DALARNAS LÄN</t>
        </is>
      </c>
      <c r="G342" t="inlineStr">
        <is>
          <t>SÄTER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42998-2023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45182</v>
      </c>
      <c r="E343" s="1" t="n">
        <v>46216</v>
      </c>
      <c r="F343" t="inlineStr">
        <is>
          <t>DALARNAS LÄN</t>
        </is>
      </c>
      <c r="G343" t="inlineStr">
        <is>
          <t>SÄTER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30706-2026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46211</v>
      </c>
      <c r="E344" s="1" t="n">
        <v>46216</v>
      </c>
      <c r="F344" t="inlineStr">
        <is>
          <t>DALARNAS LÄN</t>
        </is>
      </c>
      <c r="G344" t="inlineStr">
        <is>
          <t>SÄTER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24376-2026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46216</v>
      </c>
      <c r="F345" t="inlineStr">
        <is>
          <t>DALARNAS LÄN</t>
        </is>
      </c>
      <c r="G345" t="inlineStr">
        <is>
          <t>SÄTER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11164-2023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46216</v>
      </c>
      <c r="F346" t="inlineStr">
        <is>
          <t>DALARNAS LÄN</t>
        </is>
      </c>
      <c r="G346" t="inlineStr">
        <is>
          <t>SÄTER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51847-2024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45604</v>
      </c>
      <c r="E347" s="1" t="n">
        <v>46216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30515-2026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46204</v>
      </c>
      <c r="E348" s="1" t="n">
        <v>46216</v>
      </c>
      <c r="F348" t="inlineStr">
        <is>
          <t>DALARNAS LÄN</t>
        </is>
      </c>
      <c r="G348" t="inlineStr">
        <is>
          <t>SÄTER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46216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37440-2022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44809</v>
      </c>
      <c r="E350" s="1" t="n">
        <v>46216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46216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28549-2022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44748</v>
      </c>
      <c r="E352" s="1" t="n">
        <v>46216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46559-2021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44445</v>
      </c>
      <c r="E353" s="1" t="n">
        <v>46216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41471-2023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45171</v>
      </c>
      <c r="E354" s="1" t="n">
        <v>46216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21583-2025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45783</v>
      </c>
      <c r="E355" s="1" t="n">
        <v>46216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49684-2024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45596</v>
      </c>
      <c r="E356" s="1" t="n">
        <v>46216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19322-2024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46216</v>
      </c>
      <c r="F357" t="inlineStr">
        <is>
          <t>DALARNAS LÄN</t>
        </is>
      </c>
      <c r="G357" t="inlineStr">
        <is>
          <t>SÄTER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19767-2024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45432</v>
      </c>
      <c r="E358" s="1" t="n">
        <v>46216</v>
      </c>
      <c r="F358" t="inlineStr">
        <is>
          <t>DALARNAS LÄN</t>
        </is>
      </c>
      <c r="G358" t="inlineStr">
        <is>
          <t>SÄTER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6640-2025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46216</v>
      </c>
      <c r="F359" t="inlineStr">
        <is>
          <t>DALARNAS LÄN</t>
        </is>
      </c>
      <c r="G359" t="inlineStr">
        <is>
          <t>SÄTER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22970-2025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46216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10404-2024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45365</v>
      </c>
      <c r="E361" s="1" t="n">
        <v>46216</v>
      </c>
      <c r="F361" t="inlineStr">
        <is>
          <t>DALARNAS LÄN</t>
        </is>
      </c>
      <c r="G361" t="inlineStr">
        <is>
          <t>SÄTER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46216</v>
      </c>
      <c r="F362" t="inlineStr">
        <is>
          <t>DALARNAS LÄN</t>
        </is>
      </c>
      <c r="G362" t="inlineStr">
        <is>
          <t>SÄTER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33482-2023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46216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21911-2024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45443</v>
      </c>
      <c r="E364" s="1" t="n">
        <v>46216</v>
      </c>
      <c r="F364" t="inlineStr">
        <is>
          <t>DALARNAS LÄN</t>
        </is>
      </c>
      <c r="G364" t="inlineStr">
        <is>
          <t>SÄTER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25294-2024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45462</v>
      </c>
      <c r="E365" s="1" t="n">
        <v>46216</v>
      </c>
      <c r="F365" t="inlineStr">
        <is>
          <t>DALARNAS LÄN</t>
        </is>
      </c>
      <c r="G365" t="inlineStr">
        <is>
          <t>SÄTER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46216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46216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46216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46216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46216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46216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46216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46216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46216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2026-07-13T14:53:11Z</dcterms:created>
  <dcterms:modified xmlns:dcterms="http://purl.org/dc/terms/" xmlns:xsi="http://www.w3.org/2001/XMLSchema-instance" xsi:type="dcterms:W3CDTF">2026-07-13T14:53:12Z</dcterms:modified>
</cp:coreProperties>
</file>