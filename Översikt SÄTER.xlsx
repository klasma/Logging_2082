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46267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46267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46267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46267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46267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46267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46267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46267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46267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46267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46267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46267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46267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46267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570-2024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45299</v>
      </c>
      <c r="E21" s="1" t="n">
        <v>46267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Motaggsvamp
Svavelriska</t>
        </is>
      </c>
      <c r="W21">
        <f>HYPERLINK("https://klasma.github.io/Logging_2082/artfynd/A 570-2024 artfynd.xlsx", "A 570-2024")</f>
        <v/>
      </c>
      <c r="X21">
        <f>HYPERLINK("https://klasma.github.io/Logging_2082/kartor/A 570-2024 karta.png", "A 570-2024")</f>
        <v/>
      </c>
      <c r="Y21">
        <f>HYPERLINK("https://klasma.github.io/Logging_2082/kartor_geotiff/A 570-2024 georefererad karta.tif", "A 570-2024")</f>
        <v/>
      </c>
      <c r="AA21">
        <f>HYPERLINK("https://klasma.github.io/Logging_2082/klagomål/A 570-2024 FSC-klagomål.docx", "A 570-2024")</f>
        <v/>
      </c>
      <c r="AB21">
        <f>HYPERLINK("https://klasma.github.io/Logging_2082/klagomålsmail/A 570-2024 FSC-klagomål mail.docx", "A 570-2024")</f>
        <v/>
      </c>
      <c r="AC21">
        <f>HYPERLINK("https://klasma.github.io/Logging_2082/tillsyn/A 570-2024 tillsynsbegäran.docx", "A 570-2024")</f>
        <v/>
      </c>
      <c r="AD21">
        <f>HYPERLINK("https://klasma.github.io/Logging_2082/tillsynsmail/A 570-2024 tillsynsbegäran mail.docx", "A 570-2024")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46267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46267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46267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46267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46267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46267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46267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5232-2022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46267</v>
      </c>
      <c r="F29" t="inlineStr">
        <is>
          <t>DALARNAS LÄN</t>
        </is>
      </c>
      <c r="G29" t="inlineStr">
        <is>
          <t>SÄTER</t>
        </is>
      </c>
      <c r="I29" t="n">
        <v>2.5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Tvåblad</t>
        </is>
      </c>
      <c r="W29">
        <f>HYPERLINK("https://klasma.github.io/Logging_2082/artfynd/A 5232-2022 artfynd.xlsx", "A 5232-2022")</f>
        <v/>
      </c>
      <c r="X29">
        <f>HYPERLINK("https://klasma.github.io/Logging_2082/kartor/A 5232-2022 karta.png", "A 5232-2022")</f>
        <v/>
      </c>
      <c r="Y29">
        <f>HYPERLINK("https://klasma.github.io/Logging_2082/kartor_geotiff/A 5232-2022 georefererad karta.tif", "A 5232-2022")</f>
        <v/>
      </c>
      <c r="AA29">
        <f>HYPERLINK("https://klasma.github.io/Logging_2082/klagomål/A 5232-2022 FSC-klagomål.docx", "A 5232-2022")</f>
        <v/>
      </c>
      <c r="AB29">
        <f>HYPERLINK("https://klasma.github.io/Logging_2082/klagomålsmail/A 5232-2022 FSC-klagomål mail.docx", "A 5232-2022")</f>
        <v/>
      </c>
      <c r="AC29">
        <f>HYPERLINK("https://klasma.github.io/Logging_2082/tillsyn/A 5232-2022 tillsynsbegäran.docx", "A 5232-2022")</f>
        <v/>
      </c>
      <c r="AD29">
        <f>HYPERLINK("https://klasma.github.io/Logging_2082/tillsynsmail/A 5232-2022 tillsynsbegäran mail.docx", "A 5232-2022")</f>
        <v/>
      </c>
    </row>
    <row r="30" ht="15" customHeight="1">
      <c r="A30" t="inlineStr">
        <is>
          <t>A 34938-2025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46267</v>
      </c>
      <c r="F30" t="inlineStr">
        <is>
          <t>DALARNAS LÄN</t>
        </is>
      </c>
      <c r="G30" t="inlineStr">
        <is>
          <t>SÄTER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HYPERLINK("https://klasma.github.io/Logging_2082/artfynd/A 34938-2025 artfynd.xlsx", "A 34938-2025")</f>
        <v/>
      </c>
      <c r="X30">
        <f>HYPERLINK("https://klasma.github.io/Logging_2082/kartor/A 34938-2025 karta.png", "A 34938-2025")</f>
        <v/>
      </c>
      <c r="Y30">
        <f>HYPERLINK("https://klasma.github.io/Logging_2082/kartor_geotiff/A 34938-2025 georefererad karta.tif", "A 34938-2025")</f>
        <v/>
      </c>
      <c r="AA30">
        <f>HYPERLINK("https://klasma.github.io/Logging_2082/klagomål/A 34938-2025 FSC-klagomål.docx", "A 34938-2025")</f>
        <v/>
      </c>
      <c r="AB30">
        <f>HYPERLINK("https://klasma.github.io/Logging_2082/klagomålsmail/A 34938-2025 FSC-klagomål mail.docx", "A 34938-2025")</f>
        <v/>
      </c>
      <c r="AC30">
        <f>HYPERLINK("https://klasma.github.io/Logging_2082/tillsyn/A 34938-2025 tillsynsbegäran.docx", "A 34938-2025")</f>
        <v/>
      </c>
      <c r="AD30">
        <f>HYPERLINK("https://klasma.github.io/Logging_2082/tillsynsmail/A 34938-2025 tillsynsbegäran mail.docx", "A 34938-2025")</f>
        <v/>
      </c>
    </row>
    <row r="31" ht="15" customHeight="1">
      <c r="A31" t="inlineStr">
        <is>
          <t>A 35221-2025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45853</v>
      </c>
      <c r="E31" s="1" t="n">
        <v>46267</v>
      </c>
      <c r="F31" t="inlineStr">
        <is>
          <t>DALARNAS LÄN</t>
        </is>
      </c>
      <c r="G31" t="inlineStr">
        <is>
          <t>SÄTER</t>
        </is>
      </c>
      <c r="I31" t="n">
        <v>9.5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Vedskivlav</t>
        </is>
      </c>
      <c r="W31">
        <f>HYPERLINK("https://klasma.github.io/Logging_2082/artfynd/A 35221-2025 artfynd.xlsx", "A 35221-2025")</f>
        <v/>
      </c>
      <c r="X31">
        <f>HYPERLINK("https://klasma.github.io/Logging_2082/kartor/A 35221-2025 karta.png", "A 35221-2025")</f>
        <v/>
      </c>
      <c r="Y31">
        <f>HYPERLINK("https://klasma.github.io/Logging_2082/kartor_geotiff/A 35221-2025 georefererad karta.tif", "A 35221-2025")</f>
        <v/>
      </c>
      <c r="AA31">
        <f>HYPERLINK("https://klasma.github.io/Logging_2082/klagomål/A 35221-2025 FSC-klagomål.docx", "A 35221-2025")</f>
        <v/>
      </c>
      <c r="AB31">
        <f>HYPERLINK("https://klasma.github.io/Logging_2082/klagomålsmail/A 35221-2025 FSC-klagomål mail.docx", "A 35221-2025")</f>
        <v/>
      </c>
      <c r="AC31">
        <f>HYPERLINK("https://klasma.github.io/Logging_2082/tillsyn/A 35221-2025 tillsynsbegäran.docx", "A 35221-2025")</f>
        <v/>
      </c>
      <c r="AD31">
        <f>HYPERLINK("https://klasma.github.io/Logging_2082/tillsynsmail/A 35221-2025 tillsynsbegäran mail.docx", "A 35221-2025")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46267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46267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46267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46267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9682-2025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46267</v>
      </c>
      <c r="F36" t="inlineStr">
        <is>
          <t>DALARNAS LÄN</t>
        </is>
      </c>
      <c r="G36" t="inlineStr">
        <is>
          <t>SÄTER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Ögonpyrola</t>
        </is>
      </c>
      <c r="W36">
        <f>HYPERLINK("https://klasma.github.io/Logging_2082/artfynd/A 9682-2025 artfynd.xlsx", "A 9682-2025")</f>
        <v/>
      </c>
      <c r="X36">
        <f>HYPERLINK("https://klasma.github.io/Logging_2082/kartor/A 9682-2025 karta.png", "A 9682-2025")</f>
        <v/>
      </c>
      <c r="Y36">
        <f>HYPERLINK("https://klasma.github.io/Logging_2082/kartor_geotiff/A 9682-2025 georefererad karta.tif", "A 9682-2025")</f>
        <v/>
      </c>
      <c r="AA36">
        <f>HYPERLINK("https://klasma.github.io/Logging_2082/klagomål/A 9682-2025 FSC-klagomål.docx", "A 9682-2025")</f>
        <v/>
      </c>
      <c r="AB36">
        <f>HYPERLINK("https://klasma.github.io/Logging_2082/klagomålsmail/A 9682-2025 FSC-klagomål mail.docx", "A 9682-2025")</f>
        <v/>
      </c>
      <c r="AC36">
        <f>HYPERLINK("https://klasma.github.io/Logging_2082/tillsyn/A 9682-2025 tillsynsbegäran.docx", "A 9682-2025")</f>
        <v/>
      </c>
      <c r="AD36">
        <f>HYPERLINK("https://klasma.github.io/Logging_2082/tillsynsmail/A 9682-2025 tillsynsbegäran mail.docx", "A 9682-2025")</f>
        <v/>
      </c>
    </row>
    <row r="37" ht="15" customHeight="1">
      <c r="A37" t="inlineStr">
        <is>
          <t>A 39406-2024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45551</v>
      </c>
      <c r="E37" s="1" t="n">
        <v>46267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Sotriska</t>
        </is>
      </c>
      <c r="W37">
        <f>HYPERLINK("https://klasma.github.io/Logging_2082/artfynd/A 39406-2024 artfynd.xlsx", "A 39406-2024")</f>
        <v/>
      </c>
      <c r="X37">
        <f>HYPERLINK("https://klasma.github.io/Logging_2082/kartor/A 39406-2024 karta.png", "A 39406-2024")</f>
        <v/>
      </c>
      <c r="Y37">
        <f>HYPERLINK("https://klasma.github.io/Logging_2082/kartor_geotiff/A 39406-2024 georefererad karta.tif", "A 39406-2024")</f>
        <v/>
      </c>
      <c r="AA37">
        <f>HYPERLINK("https://klasma.github.io/Logging_2082/klagomål/A 39406-2024 FSC-klagomål.docx", "A 39406-2024")</f>
        <v/>
      </c>
      <c r="AB37">
        <f>HYPERLINK("https://klasma.github.io/Logging_2082/klagomålsmail/A 39406-2024 FSC-klagomål mail.docx", "A 39406-2024")</f>
        <v/>
      </c>
      <c r="AC37">
        <f>HYPERLINK("https://klasma.github.io/Logging_2082/tillsyn/A 39406-2024 tillsynsbegäran.docx", "A 39406-2024")</f>
        <v/>
      </c>
      <c r="AD37">
        <f>HYPERLINK("https://klasma.github.io/Logging_2082/tillsynsmail/A 39406-2024 tillsynsbegäran mail.docx", "A 39406-2024")</f>
        <v/>
      </c>
    </row>
    <row r="38" ht="15" customHeight="1">
      <c r="A38" t="inlineStr">
        <is>
          <t>A 57427-2022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46267</v>
      </c>
      <c r="F38" t="inlineStr">
        <is>
          <t>DALARNAS LÄN</t>
        </is>
      </c>
      <c r="G38" t="inlineStr">
        <is>
          <t>SÄTER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HYPERLINK("https://klasma.github.io/Logging_2082/artfynd/A 57427-2022 artfynd.xlsx", "A 57427-2022")</f>
        <v/>
      </c>
      <c r="X38">
        <f>HYPERLINK("https://klasma.github.io/Logging_2082/kartor/A 57427-2022 karta.png", "A 57427-2022")</f>
        <v/>
      </c>
      <c r="Y38">
        <f>HYPERLINK("https://klasma.github.io/Logging_2082/kartor_geotiff/A 57427-2022 georefererad karta.tif", "A 57427-2022")</f>
        <v/>
      </c>
      <c r="AA38">
        <f>HYPERLINK("https://klasma.github.io/Logging_2082/klagomål/A 57427-2022 FSC-klagomål.docx", "A 57427-2022")</f>
        <v/>
      </c>
      <c r="AB38">
        <f>HYPERLINK("https://klasma.github.io/Logging_2082/klagomålsmail/A 57427-2022 FSC-klagomål mail.docx", "A 57427-2022")</f>
        <v/>
      </c>
      <c r="AC38">
        <f>HYPERLINK("https://klasma.github.io/Logging_2082/tillsyn/A 57427-2022 tillsynsbegäran.docx", "A 57427-2022")</f>
        <v/>
      </c>
      <c r="AD38">
        <f>HYPERLINK("https://klasma.github.io/Logging_2082/tillsynsmail/A 57427-2022 tillsynsbegäran mail.docx", "A 57427-2022")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46267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44992-2024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45575</v>
      </c>
      <c r="E40" s="1" t="n">
        <v>46267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HYPERLINK("https://klasma.github.io/Logging_2082/artfynd/A 44992-2024 artfynd.xlsx", "A 44992-2024")</f>
        <v/>
      </c>
      <c r="X40">
        <f>HYPERLINK("https://klasma.github.io/Logging_2082/kartor/A 44992-2024 karta.png", "A 44992-2024")</f>
        <v/>
      </c>
      <c r="Y40">
        <f>HYPERLINK("https://klasma.github.io/Logging_2082/kartor_geotiff/A 44992-2024 georefererad karta.tif", "A 44992-2024")</f>
        <v/>
      </c>
      <c r="AA40">
        <f>HYPERLINK("https://klasma.github.io/Logging_2082/klagomål/A 44992-2024 FSC-klagomål.docx", "A 44992-2024")</f>
        <v/>
      </c>
      <c r="AB40">
        <f>HYPERLINK("https://klasma.github.io/Logging_2082/klagomålsmail/A 44992-2024 FSC-klagomål mail.docx", "A 44992-2024")</f>
        <v/>
      </c>
      <c r="AC40">
        <f>HYPERLINK("https://klasma.github.io/Logging_2082/tillsyn/A 44992-2024 tillsynsbegäran.docx", "A 44992-2024")</f>
        <v/>
      </c>
      <c r="AD40">
        <f>HYPERLINK("https://klasma.github.io/Logging_2082/tillsynsmail/A 44992-2024 tillsynsbegäran mail.docx", "A 44992-2024")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46267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46267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46267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46267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27715-2023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46267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HYPERLINK("https://klasma.github.io/Logging_2082/artfynd/A 27715-2023 artfynd.xlsx", "A 27715-2023")</f>
        <v/>
      </c>
      <c r="X45">
        <f>HYPERLINK("https://klasma.github.io/Logging_2082/kartor/A 27715-2023 karta.png", "A 27715-2023")</f>
        <v/>
      </c>
      <c r="Y45">
        <f>HYPERLINK("https://klasma.github.io/Logging_2082/kartor_geotiff/A 27715-2023 georefererad karta.tif", "A 27715-2023")</f>
        <v/>
      </c>
      <c r="AA45">
        <f>HYPERLINK("https://klasma.github.io/Logging_2082/klagomål/A 27715-2023 FSC-klagomål.docx", "A 27715-2023")</f>
        <v/>
      </c>
      <c r="AB45">
        <f>HYPERLINK("https://klasma.github.io/Logging_2082/klagomålsmail/A 27715-2023 FSC-klagomål mail.docx", "A 27715-2023")</f>
        <v/>
      </c>
      <c r="AC45">
        <f>HYPERLINK("https://klasma.github.io/Logging_2082/tillsyn/A 27715-2023 tillsynsbegäran.docx", "A 27715-2023")</f>
        <v/>
      </c>
      <c r="AD45">
        <f>HYPERLINK("https://klasma.github.io/Logging_2082/tillsynsmail/A 27715-2023 tillsynsbegäran mail.docx", "A 27715-2023")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46267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46267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46267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46267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46267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46267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46267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46267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46267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46267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46267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46267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46267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46267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46267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46267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46267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46267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46267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46267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46267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46267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46267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46267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46267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46267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46267</v>
      </c>
      <c r="F72" t="inlineStr">
        <is>
          <t>DALARNAS LÄN</t>
        </is>
      </c>
      <c r="G72" t="inlineStr">
        <is>
          <t>SÄTER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46267</v>
      </c>
      <c r="F73" t="inlineStr">
        <is>
          <t>DALARNAS LÄN</t>
        </is>
      </c>
      <c r="G73" t="inlineStr">
        <is>
          <t>SÄTER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46267</v>
      </c>
      <c r="F74" t="inlineStr">
        <is>
          <t>DALARNAS LÄN</t>
        </is>
      </c>
      <c r="G74" t="inlineStr">
        <is>
          <t>SÄTER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46267</v>
      </c>
      <c r="F75" t="inlineStr">
        <is>
          <t>DALARNAS LÄN</t>
        </is>
      </c>
      <c r="G75" t="inlineStr">
        <is>
          <t>SÄTER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46267</v>
      </c>
      <c r="F76" t="inlineStr">
        <is>
          <t>DALARNAS LÄN</t>
        </is>
      </c>
      <c r="G76" t="inlineStr">
        <is>
          <t>SÄTER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46267</v>
      </c>
      <c r="F77" t="inlineStr">
        <is>
          <t>DALARNAS LÄN</t>
        </is>
      </c>
      <c r="G77" t="inlineStr">
        <is>
          <t>SÄTER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46267</v>
      </c>
      <c r="F78" t="inlineStr">
        <is>
          <t>DALARNAS LÄN</t>
        </is>
      </c>
      <c r="G78" t="inlineStr">
        <is>
          <t>SÄTER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45719</v>
      </c>
      <c r="E79" s="1" t="n">
        <v>46267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20337-2024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46267</v>
      </c>
      <c r="F80" t="inlineStr">
        <is>
          <t>DALARNAS LÄN</t>
        </is>
      </c>
      <c r="G80" t="inlineStr">
        <is>
          <t>SÄTER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46267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44869</v>
      </c>
      <c r="E82" s="1" t="n">
        <v>46267</v>
      </c>
      <c r="F82" t="inlineStr">
        <is>
          <t>DALARNAS LÄN</t>
        </is>
      </c>
      <c r="G82" t="inlineStr">
        <is>
          <t>SÄTER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46267</v>
      </c>
      <c r="F83" t="inlineStr">
        <is>
          <t>DALARNAS LÄN</t>
        </is>
      </c>
      <c r="G83" t="inlineStr">
        <is>
          <t>SÄTER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46267</v>
      </c>
      <c r="F84" t="inlineStr">
        <is>
          <t>DALARNAS LÄN</t>
        </is>
      </c>
      <c r="G84" t="inlineStr">
        <is>
          <t>SÄTER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49661-2021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46267</v>
      </c>
      <c r="F85" t="inlineStr">
        <is>
          <t>DALARNAS LÄN</t>
        </is>
      </c>
      <c r="G85" t="inlineStr">
        <is>
          <t>SÄTER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46267</v>
      </c>
      <c r="F86" t="inlineStr">
        <is>
          <t>DALARNAS LÄN</t>
        </is>
      </c>
      <c r="G86" t="inlineStr">
        <is>
          <t>SÄTER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46267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59707-2022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44908</v>
      </c>
      <c r="E88" s="1" t="n">
        <v>46267</v>
      </c>
      <c r="F88" t="inlineStr">
        <is>
          <t>DALARNAS LÄN</t>
        </is>
      </c>
      <c r="G88" t="inlineStr">
        <is>
          <t>SÄTER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46267</v>
      </c>
      <c r="F89" t="inlineStr">
        <is>
          <t>DALARNAS LÄN</t>
        </is>
      </c>
      <c r="G89" t="inlineStr">
        <is>
          <t>SÄTER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46267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16840-2024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46267</v>
      </c>
      <c r="F91" t="inlineStr">
        <is>
          <t>DALARNAS LÄN</t>
        </is>
      </c>
      <c r="G91" t="inlineStr">
        <is>
          <t>SÄTER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46267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46267</v>
      </c>
      <c r="F93" t="inlineStr">
        <is>
          <t>DALARNAS LÄN</t>
        </is>
      </c>
      <c r="G93" t="inlineStr">
        <is>
          <t>SÄTER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44572</v>
      </c>
      <c r="E94" s="1" t="n">
        <v>46267</v>
      </c>
      <c r="F94" t="inlineStr">
        <is>
          <t>DALARNAS LÄN</t>
        </is>
      </c>
      <c r="G94" t="inlineStr">
        <is>
          <t>SÄTER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46267</v>
      </c>
      <c r="F95" t="inlineStr">
        <is>
          <t>DALARNAS LÄN</t>
        </is>
      </c>
      <c r="G95" t="inlineStr">
        <is>
          <t>SÄTER</t>
        </is>
      </c>
      <c r="H95" t="inlineStr">
        <is>
          <t>Kommuner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45604</v>
      </c>
      <c r="E96" s="1" t="n">
        <v>46267</v>
      </c>
      <c r="F96" t="inlineStr">
        <is>
          <t>DALARNAS LÄN</t>
        </is>
      </c>
      <c r="G96" t="inlineStr">
        <is>
          <t>SÄTER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46267</v>
      </c>
      <c r="F97" t="inlineStr">
        <is>
          <t>DALARNAS LÄN</t>
        </is>
      </c>
      <c r="G97" t="inlineStr">
        <is>
          <t>SÄTER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44972</v>
      </c>
      <c r="E98" s="1" t="n">
        <v>46267</v>
      </c>
      <c r="F98" t="inlineStr">
        <is>
          <t>DALARNAS LÄN</t>
        </is>
      </c>
      <c r="G98" t="inlineStr">
        <is>
          <t>SÄTER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46267</v>
      </c>
      <c r="F99" t="inlineStr">
        <is>
          <t>DALARNAS LÄN</t>
        </is>
      </c>
      <c r="G99" t="inlineStr">
        <is>
          <t>SÄTER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46267</v>
      </c>
      <c r="F100" t="inlineStr">
        <is>
          <t>DALARNAS LÄN</t>
        </is>
      </c>
      <c r="G100" t="inlineStr">
        <is>
          <t>SÄTER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45138</v>
      </c>
      <c r="E101" s="1" t="n">
        <v>46267</v>
      </c>
      <c r="F101" t="inlineStr">
        <is>
          <t>DALARNAS LÄN</t>
        </is>
      </c>
      <c r="G101" t="inlineStr">
        <is>
          <t>SÄTER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46267</v>
      </c>
      <c r="F102" t="inlineStr">
        <is>
          <t>DALARNAS LÄN</t>
        </is>
      </c>
      <c r="G102" t="inlineStr">
        <is>
          <t>SÄTER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46267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44585</v>
      </c>
      <c r="E104" s="1" t="n">
        <v>46267</v>
      </c>
      <c r="F104" t="inlineStr">
        <is>
          <t>DALARNAS LÄN</t>
        </is>
      </c>
      <c r="G104" t="inlineStr">
        <is>
          <t>SÄTER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44784</v>
      </c>
      <c r="E105" s="1" t="n">
        <v>46267</v>
      </c>
      <c r="F105" t="inlineStr">
        <is>
          <t>DALARNAS LÄN</t>
        </is>
      </c>
      <c r="G105" t="inlineStr">
        <is>
          <t>SÄTER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46267</v>
      </c>
      <c r="F106" t="inlineStr">
        <is>
          <t>DALARNAS LÄN</t>
        </is>
      </c>
      <c r="G106" t="inlineStr">
        <is>
          <t>SÄTER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45552</v>
      </c>
      <c r="E107" s="1" t="n">
        <v>46267</v>
      </c>
      <c r="F107" t="inlineStr">
        <is>
          <t>DALARNAS LÄN</t>
        </is>
      </c>
      <c r="G107" t="inlineStr">
        <is>
          <t>SÄTER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46267</v>
      </c>
      <c r="F108" t="inlineStr">
        <is>
          <t>DALARNAS LÄN</t>
        </is>
      </c>
      <c r="G108" t="inlineStr">
        <is>
          <t>SÄTER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45771</v>
      </c>
      <c r="E109" s="1" t="n">
        <v>46267</v>
      </c>
      <c r="F109" t="inlineStr">
        <is>
          <t>DALARNAS LÄN</t>
        </is>
      </c>
      <c r="G109" t="inlineStr">
        <is>
          <t>SÄTER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46267</v>
      </c>
      <c r="F110" t="inlineStr">
        <is>
          <t>DALARNAS LÄN</t>
        </is>
      </c>
      <c r="G110" t="inlineStr">
        <is>
          <t>SÄTER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46267</v>
      </c>
      <c r="F111" t="inlineStr">
        <is>
          <t>DALARNAS LÄN</t>
        </is>
      </c>
      <c r="G111" t="inlineStr">
        <is>
          <t>SÄTER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46267</v>
      </c>
      <c r="F112" t="inlineStr">
        <is>
          <t>DALARNAS LÄN</t>
        </is>
      </c>
      <c r="G112" t="inlineStr">
        <is>
          <t>SÄTER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46267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46267</v>
      </c>
      <c r="F114" t="inlineStr">
        <is>
          <t>DALARNAS LÄN</t>
        </is>
      </c>
      <c r="G114" t="inlineStr">
        <is>
          <t>SÄTER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46267</v>
      </c>
      <c r="F115" t="inlineStr">
        <is>
          <t>DALARNAS LÄN</t>
        </is>
      </c>
      <c r="G115" t="inlineStr">
        <is>
          <t>SÄTER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46267</v>
      </c>
      <c r="F116" t="inlineStr">
        <is>
          <t>DALARNAS LÄN</t>
        </is>
      </c>
      <c r="G116" t="inlineStr">
        <is>
          <t>SÄTER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46045</v>
      </c>
      <c r="E117" s="1" t="n">
        <v>46267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45569</v>
      </c>
      <c r="E118" s="1" t="n">
        <v>46267</v>
      </c>
      <c r="F118" t="inlineStr">
        <is>
          <t>DALARNAS LÄN</t>
        </is>
      </c>
      <c r="G118" t="inlineStr">
        <is>
          <t>SÄTER</t>
        </is>
      </c>
      <c r="I118" t="n">
        <v>13.2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46267</v>
      </c>
      <c r="F119" t="inlineStr">
        <is>
          <t>DALARNAS LÄN</t>
        </is>
      </c>
      <c r="G119" t="inlineStr">
        <is>
          <t>SÄTER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46267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46267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45398</v>
      </c>
      <c r="E122" s="1" t="n">
        <v>46267</v>
      </c>
      <c r="F122" t="inlineStr">
        <is>
          <t>DALARNAS LÄN</t>
        </is>
      </c>
      <c r="G122" t="inlineStr">
        <is>
          <t>SÄTER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46267</v>
      </c>
      <c r="F123" t="inlineStr">
        <is>
          <t>DALARNAS LÄN</t>
        </is>
      </c>
      <c r="G123" t="inlineStr">
        <is>
          <t>SÄTER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45170</v>
      </c>
      <c r="E124" s="1" t="n">
        <v>46267</v>
      </c>
      <c r="F124" t="inlineStr">
        <is>
          <t>DALARNAS LÄN</t>
        </is>
      </c>
      <c r="G124" t="inlineStr">
        <is>
          <t>SÄTER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42998-2023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45182</v>
      </c>
      <c r="E125" s="1" t="n">
        <v>46267</v>
      </c>
      <c r="F125" t="inlineStr">
        <is>
          <t>DALARNAS LÄN</t>
        </is>
      </c>
      <c r="G125" t="inlineStr">
        <is>
          <t>SÄTER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51320-2024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45604</v>
      </c>
      <c r="E126" s="1" t="n">
        <v>46267</v>
      </c>
      <c r="F126" t="inlineStr">
        <is>
          <t>DALARNAS LÄN</t>
        </is>
      </c>
      <c r="G126" t="inlineStr">
        <is>
          <t>SÄTER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51324-2024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45604</v>
      </c>
      <c r="E127" s="1" t="n">
        <v>46267</v>
      </c>
      <c r="F127" t="inlineStr">
        <is>
          <t>DALARNAS LÄN</t>
        </is>
      </c>
      <c r="G127" t="inlineStr">
        <is>
          <t>SÄTER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46267</v>
      </c>
      <c r="F128" t="inlineStr">
        <is>
          <t>DALARNAS LÄN</t>
        </is>
      </c>
      <c r="G128" t="inlineStr">
        <is>
          <t>SÄTER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46267</v>
      </c>
      <c r="F129" t="inlineStr">
        <is>
          <t>DALARNAS LÄN</t>
        </is>
      </c>
      <c r="G129" t="inlineStr">
        <is>
          <t>SÄTER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45063</v>
      </c>
      <c r="E130" s="1" t="n">
        <v>46267</v>
      </c>
      <c r="F130" t="inlineStr">
        <is>
          <t>DALARNAS LÄN</t>
        </is>
      </c>
      <c r="G130" t="inlineStr">
        <is>
          <t>SÄTER</t>
        </is>
      </c>
      <c r="H130" t="inlineStr">
        <is>
          <t>Kommuner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45453</v>
      </c>
      <c r="E131" s="1" t="n">
        <v>46267</v>
      </c>
      <c r="F131" t="inlineStr">
        <is>
          <t>DALARNAS LÄN</t>
        </is>
      </c>
      <c r="G131" t="inlineStr">
        <is>
          <t>SÄTER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46267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45971</v>
      </c>
      <c r="E133" s="1" t="n">
        <v>46267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45870</v>
      </c>
      <c r="E134" s="1" t="n">
        <v>46267</v>
      </c>
      <c r="F134" t="inlineStr">
        <is>
          <t>DALARNAS LÄN</t>
        </is>
      </c>
      <c r="G134" t="inlineStr">
        <is>
          <t>SÄTER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46267</v>
      </c>
      <c r="F135" t="inlineStr">
        <is>
          <t>DALARNAS LÄN</t>
        </is>
      </c>
      <c r="G135" t="inlineStr">
        <is>
          <t>SÄTER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45628</v>
      </c>
      <c r="E136" s="1" t="n">
        <v>46267</v>
      </c>
      <c r="F136" t="inlineStr">
        <is>
          <t>DALARNAS LÄN</t>
        </is>
      </c>
      <c r="G136" t="inlineStr">
        <is>
          <t>SÄTER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45628</v>
      </c>
      <c r="E137" s="1" t="n">
        <v>46267</v>
      </c>
      <c r="F137" t="inlineStr">
        <is>
          <t>DALARNAS LÄN</t>
        </is>
      </c>
      <c r="G137" t="inlineStr">
        <is>
          <t>SÄTER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46267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46267</v>
      </c>
      <c r="F139" t="inlineStr">
        <is>
          <t>DALARNAS LÄN</t>
        </is>
      </c>
      <c r="G139" t="inlineStr">
        <is>
          <t>SÄTER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45622</v>
      </c>
      <c r="E140" s="1" t="n">
        <v>46267</v>
      </c>
      <c r="F140" t="inlineStr">
        <is>
          <t>DALARNAS LÄN</t>
        </is>
      </c>
      <c r="G140" t="inlineStr">
        <is>
          <t>SÄTER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46267</v>
      </c>
      <c r="F141" t="inlineStr">
        <is>
          <t>DALARNAS LÄN</t>
        </is>
      </c>
      <c r="G141" t="inlineStr">
        <is>
          <t>SÄTER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45636</v>
      </c>
      <c r="E142" s="1" t="n">
        <v>46267</v>
      </c>
      <c r="F142" t="inlineStr">
        <is>
          <t>DALARNAS LÄN</t>
        </is>
      </c>
      <c r="G142" t="inlineStr">
        <is>
          <t>SÄTER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46267</v>
      </c>
      <c r="F143" t="inlineStr">
        <is>
          <t>DALARNAS LÄN</t>
        </is>
      </c>
      <c r="G143" t="inlineStr">
        <is>
          <t>SÄTER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45604</v>
      </c>
      <c r="E144" s="1" t="n">
        <v>46267</v>
      </c>
      <c r="F144" t="inlineStr">
        <is>
          <t>DALARNAS LÄN</t>
        </is>
      </c>
      <c r="G144" t="inlineStr">
        <is>
          <t>SÄTER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46267</v>
      </c>
      <c r="F145" t="inlineStr">
        <is>
          <t>DALARNAS LÄN</t>
        </is>
      </c>
      <c r="G145" t="inlineStr">
        <is>
          <t>SÄTER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46267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46267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46267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46267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46267</v>
      </c>
      <c r="F150" t="inlineStr">
        <is>
          <t>DALARNAS LÄN</t>
        </is>
      </c>
      <c r="G150" t="inlineStr">
        <is>
          <t>SÄTER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46057</v>
      </c>
      <c r="E151" s="1" t="n">
        <v>46267</v>
      </c>
      <c r="F151" t="inlineStr">
        <is>
          <t>DALARNAS LÄN</t>
        </is>
      </c>
      <c r="G151" t="inlineStr">
        <is>
          <t>SÄTER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46267</v>
      </c>
      <c r="F152" t="inlineStr">
        <is>
          <t>DALARNAS LÄN</t>
        </is>
      </c>
      <c r="G152" t="inlineStr">
        <is>
          <t>SÄTER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46267</v>
      </c>
      <c r="F153" t="inlineStr">
        <is>
          <t>DALARNAS LÄN</t>
        </is>
      </c>
      <c r="G153" t="inlineStr">
        <is>
          <t>SÄTER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45937</v>
      </c>
      <c r="E154" s="1" t="n">
        <v>46267</v>
      </c>
      <c r="F154" t="inlineStr">
        <is>
          <t>DALARNAS LÄN</t>
        </is>
      </c>
      <c r="G154" t="inlineStr">
        <is>
          <t>SÄTER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46267</v>
      </c>
      <c r="F155" t="inlineStr">
        <is>
          <t>DALARNAS LÄN</t>
        </is>
      </c>
      <c r="G155" t="inlineStr">
        <is>
          <t>SÄTER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28549-2022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44748</v>
      </c>
      <c r="E156" s="1" t="n">
        <v>46267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46267</v>
      </c>
      <c r="F157" t="inlineStr">
        <is>
          <t>DALARNAS LÄN</t>
        </is>
      </c>
      <c r="G157" t="inlineStr">
        <is>
          <t>SÄTER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46267</v>
      </c>
      <c r="F158" t="inlineStr">
        <is>
          <t>DALARNAS LÄN</t>
        </is>
      </c>
      <c r="G158" t="inlineStr">
        <is>
          <t>SÄTER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8435-2026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46065</v>
      </c>
      <c r="E159" s="1" t="n">
        <v>46267</v>
      </c>
      <c r="F159" t="inlineStr">
        <is>
          <t>DALARNAS LÄN</t>
        </is>
      </c>
      <c r="G159" t="inlineStr">
        <is>
          <t>SÄTER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46267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46267</v>
      </c>
      <c r="F161" t="inlineStr">
        <is>
          <t>DALARNAS LÄN</t>
        </is>
      </c>
      <c r="G161" t="inlineStr">
        <is>
          <t>SÄTER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46267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46267</v>
      </c>
      <c r="F163" t="inlineStr">
        <is>
          <t>DALARNAS LÄN</t>
        </is>
      </c>
      <c r="G163" t="inlineStr">
        <is>
          <t>SÄTER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HYPERLINK("https://klasma.github.io/Logging_2082/knärot/A 57416-2022 karta knärot.png", "A 57416-2022")</f>
        <v/>
      </c>
      <c r="AA163">
        <f>HYPERLINK("https://klasma.github.io/Logging_2082/klagomål/A 57416-2022 FSC-klagomål.docx", "A 57416-2022")</f>
        <v/>
      </c>
      <c r="AB163">
        <f>HYPERLINK("https://klasma.github.io/Logging_2082/klagomålsmail/A 57416-2022 FSC-klagomål mail.docx", "A 57416-2022")</f>
        <v/>
      </c>
      <c r="AC163">
        <f>HYPERLINK("https://klasma.github.io/Logging_2082/tillsyn/A 57416-2022 tillsynsbegäran.docx", "A 57416-2022")</f>
        <v/>
      </c>
      <c r="AD163">
        <f>HYPERLINK("https://klasma.github.io/Logging_2082/tillsynsmail/A 57416-2022 tillsynsbegäran mail.docx", "A 57416-2022")</f>
        <v/>
      </c>
    </row>
    <row r="164" ht="15" customHeight="1">
      <c r="A164" t="inlineStr">
        <is>
          <t>A 27910-2023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46267</v>
      </c>
      <c r="F164" t="inlineStr">
        <is>
          <t>DALARNAS LÄN</t>
        </is>
      </c>
      <c r="G164" t="inlineStr">
        <is>
          <t>SÄTER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46267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46267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46267</v>
      </c>
      <c r="F167" t="inlineStr">
        <is>
          <t>DALARNAS LÄN</t>
        </is>
      </c>
      <c r="G167" t="inlineStr">
        <is>
          <t>SÄTER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46267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46267</v>
      </c>
      <c r="F169" t="inlineStr">
        <is>
          <t>DALARNAS LÄN</t>
        </is>
      </c>
      <c r="G169" t="inlineStr">
        <is>
          <t>SÄTER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46267</v>
      </c>
      <c r="F170" t="inlineStr">
        <is>
          <t>DALARNAS LÄN</t>
        </is>
      </c>
      <c r="G170" t="inlineStr">
        <is>
          <t>SÄTER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46267</v>
      </c>
      <c r="F171" t="inlineStr">
        <is>
          <t>DALARNAS LÄN</t>
        </is>
      </c>
      <c r="G171" t="inlineStr">
        <is>
          <t>SÄTER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45961</v>
      </c>
      <c r="E172" s="1" t="n">
        <v>46267</v>
      </c>
      <c r="F172" t="inlineStr">
        <is>
          <t>DALARNAS LÄN</t>
        </is>
      </c>
      <c r="G172" t="inlineStr">
        <is>
          <t>SÄTER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46267</v>
      </c>
      <c r="F173" t="inlineStr">
        <is>
          <t>DALARNAS LÄN</t>
        </is>
      </c>
      <c r="G173" t="inlineStr">
        <is>
          <t>SÄTER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46267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46267</v>
      </c>
      <c r="F175" t="inlineStr">
        <is>
          <t>DALARNAS LÄN</t>
        </is>
      </c>
      <c r="G175" t="inlineStr">
        <is>
          <t>SÄTER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46267</v>
      </c>
      <c r="F176" t="inlineStr">
        <is>
          <t>DALARNAS LÄN</t>
        </is>
      </c>
      <c r="G176" t="inlineStr">
        <is>
          <t>SÄTER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46267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44532</v>
      </c>
      <c r="E178" s="1" t="n">
        <v>46267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46083</v>
      </c>
      <c r="E179" s="1" t="n">
        <v>46267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46267</v>
      </c>
      <c r="F180" t="inlineStr">
        <is>
          <t>DALARNAS LÄN</t>
        </is>
      </c>
      <c r="G180" t="inlineStr">
        <is>
          <t>SÄTER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46267</v>
      </c>
      <c r="F181" t="inlineStr">
        <is>
          <t>DALARNAS LÄN</t>
        </is>
      </c>
      <c r="G181" t="inlineStr">
        <is>
          <t>SÄTER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46267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46087</v>
      </c>
      <c r="E183" s="1" t="n">
        <v>46267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45960</v>
      </c>
      <c r="E184" s="1" t="n">
        <v>46267</v>
      </c>
      <c r="F184" t="inlineStr">
        <is>
          <t>DALARNAS LÄN</t>
        </is>
      </c>
      <c r="G184" t="inlineStr">
        <is>
          <t>SÄTER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46267</v>
      </c>
      <c r="F185" t="inlineStr">
        <is>
          <t>DALARNAS LÄN</t>
        </is>
      </c>
      <c r="G185" t="inlineStr">
        <is>
          <t>SÄTER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45993</v>
      </c>
      <c r="E186" s="1" t="n">
        <v>46267</v>
      </c>
      <c r="F186" t="inlineStr">
        <is>
          <t>DALARNAS LÄN</t>
        </is>
      </c>
      <c r="G186" t="inlineStr">
        <is>
          <t>SÄTER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45342</v>
      </c>
      <c r="E187" s="1" t="n">
        <v>46267</v>
      </c>
      <c r="F187" t="inlineStr">
        <is>
          <t>DALARNAS LÄN</t>
        </is>
      </c>
      <c r="G187" t="inlineStr">
        <is>
          <t>SÄTER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46267</v>
      </c>
      <c r="F188" t="inlineStr">
        <is>
          <t>DALARNAS LÄN</t>
        </is>
      </c>
      <c r="G188" t="inlineStr">
        <is>
          <t>SÄTER</t>
        </is>
      </c>
      <c r="H188" t="inlineStr">
        <is>
          <t>Kommuner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46267</v>
      </c>
      <c r="F189" t="inlineStr">
        <is>
          <t>DALARNAS LÄN</t>
        </is>
      </c>
      <c r="G189" t="inlineStr">
        <is>
          <t>SÄTER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45561</v>
      </c>
      <c r="E190" s="1" t="n">
        <v>46267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46093</v>
      </c>
      <c r="E191" s="1" t="n">
        <v>46267</v>
      </c>
      <c r="F191" t="inlineStr">
        <is>
          <t>DALARNAS LÄN</t>
        </is>
      </c>
      <c r="G191" t="inlineStr">
        <is>
          <t>SÄTER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46267</v>
      </c>
      <c r="F192" t="inlineStr">
        <is>
          <t>DALARNAS LÄN</t>
        </is>
      </c>
      <c r="G192" t="inlineStr">
        <is>
          <t>SÄTER</t>
        </is>
      </c>
      <c r="I192" t="n">
        <v>9.800000000000001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46267</v>
      </c>
      <c r="F193" t="inlineStr">
        <is>
          <t>DALARNAS LÄN</t>
        </is>
      </c>
      <c r="G193" t="inlineStr">
        <is>
          <t>SÄTER</t>
        </is>
      </c>
      <c r="H193" t="inlineStr">
        <is>
          <t>Kommuner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45527</v>
      </c>
      <c r="E194" s="1" t="n">
        <v>46267</v>
      </c>
      <c r="F194" t="inlineStr">
        <is>
          <t>DALARNAS LÄN</t>
        </is>
      </c>
      <c r="G194" t="inlineStr">
        <is>
          <t>SÄTER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46267</v>
      </c>
      <c r="F195" t="inlineStr">
        <is>
          <t>DALARNAS LÄN</t>
        </is>
      </c>
      <c r="G195" t="inlineStr">
        <is>
          <t>SÄTER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45140</v>
      </c>
      <c r="E196" s="1" t="n">
        <v>46267</v>
      </c>
      <c r="F196" t="inlineStr">
        <is>
          <t>DALARNAS LÄN</t>
        </is>
      </c>
      <c r="G196" t="inlineStr">
        <is>
          <t>SÄTER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46267</v>
      </c>
      <c r="F197" t="inlineStr">
        <is>
          <t>DALARNAS LÄN</t>
        </is>
      </c>
      <c r="G197" t="inlineStr">
        <is>
          <t>SÄTER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44462</v>
      </c>
      <c r="E198" s="1" t="n">
        <v>46267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46267</v>
      </c>
      <c r="F199" t="inlineStr">
        <is>
          <t>DALARNAS LÄN</t>
        </is>
      </c>
      <c r="G199" t="inlineStr">
        <is>
          <t>SÄTER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46267</v>
      </c>
      <c r="F200" t="inlineStr">
        <is>
          <t>DALARNAS LÄN</t>
        </is>
      </c>
      <c r="G200" t="inlineStr">
        <is>
          <t>SÄTER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46098</v>
      </c>
      <c r="E201" s="1" t="n">
        <v>46267</v>
      </c>
      <c r="F201" t="inlineStr">
        <is>
          <t>DALARNAS LÄN</t>
        </is>
      </c>
      <c r="G201" t="inlineStr">
        <is>
          <t>SÄTER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46098</v>
      </c>
      <c r="E202" s="1" t="n">
        <v>46267</v>
      </c>
      <c r="F202" t="inlineStr">
        <is>
          <t>DALARNAS LÄN</t>
        </is>
      </c>
      <c r="G202" t="inlineStr">
        <is>
          <t>SÄTER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45939</v>
      </c>
      <c r="E203" s="1" t="n">
        <v>46267</v>
      </c>
      <c r="F203" t="inlineStr">
        <is>
          <t>DALARNAS LÄN</t>
        </is>
      </c>
      <c r="G203" t="inlineStr">
        <is>
          <t>SÄTER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46267</v>
      </c>
      <c r="F204" t="inlineStr">
        <is>
          <t>DALARNAS LÄN</t>
        </is>
      </c>
      <c r="G204" t="inlineStr">
        <is>
          <t>SÄTER</t>
        </is>
      </c>
      <c r="I204" t="n">
        <v>12.1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46026</v>
      </c>
      <c r="E205" s="1" t="n">
        <v>46267</v>
      </c>
      <c r="F205" t="inlineStr">
        <is>
          <t>DALARNAS LÄN</t>
        </is>
      </c>
      <c r="G205" t="inlineStr">
        <is>
          <t>SÄTER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987-2026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46030</v>
      </c>
      <c r="E206" s="1" t="n">
        <v>46267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46267</v>
      </c>
      <c r="F207" t="inlineStr">
        <is>
          <t>DALARNAS LÄN</t>
        </is>
      </c>
      <c r="G207" t="inlineStr">
        <is>
          <t>SÄTER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46267</v>
      </c>
      <c r="F208" t="inlineStr">
        <is>
          <t>DALARNAS LÄN</t>
        </is>
      </c>
      <c r="G208" t="inlineStr">
        <is>
          <t>SÄTER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46267</v>
      </c>
      <c r="F209" t="inlineStr">
        <is>
          <t>DALARNAS LÄN</t>
        </is>
      </c>
      <c r="G209" t="inlineStr">
        <is>
          <t>SÄTER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46267</v>
      </c>
      <c r="F210" t="inlineStr">
        <is>
          <t>DALARNAS LÄN</t>
        </is>
      </c>
      <c r="G210" t="inlineStr">
        <is>
          <t>SÄTER</t>
        </is>
      </c>
      <c r="H210" t="inlineStr">
        <is>
          <t>Kommuner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46034</v>
      </c>
      <c r="E211" s="1" t="n">
        <v>46267</v>
      </c>
      <c r="F211" t="inlineStr">
        <is>
          <t>DALARNAS LÄN</t>
        </is>
      </c>
      <c r="G211" t="inlineStr">
        <is>
          <t>SÄTER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46267</v>
      </c>
      <c r="F212" t="inlineStr">
        <is>
          <t>DALARNAS LÄN</t>
        </is>
      </c>
      <c r="G212" t="inlineStr">
        <is>
          <t>SÄTER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46267</v>
      </c>
      <c r="F213" t="inlineStr">
        <is>
          <t>DALARNAS LÄN</t>
        </is>
      </c>
      <c r="G213" t="inlineStr">
        <is>
          <t>SÄTER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46267</v>
      </c>
      <c r="F214" t="inlineStr">
        <is>
          <t>DALARNAS LÄN</t>
        </is>
      </c>
      <c r="G214" t="inlineStr">
        <is>
          <t>SÄTER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46267</v>
      </c>
      <c r="F215" t="inlineStr">
        <is>
          <t>DALARNAS LÄN</t>
        </is>
      </c>
      <c r="G215" t="inlineStr">
        <is>
          <t>SÄTER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46267</v>
      </c>
      <c r="F216" t="inlineStr">
        <is>
          <t>DALARNAS LÄN</t>
        </is>
      </c>
      <c r="G216" t="inlineStr">
        <is>
          <t>SÄTER</t>
        </is>
      </c>
      <c r="I216" t="n">
        <v>10.9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46267</v>
      </c>
      <c r="F217" t="inlineStr">
        <is>
          <t>DALARNAS LÄN</t>
        </is>
      </c>
      <c r="G217" t="inlineStr">
        <is>
          <t>SÄTER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46267</v>
      </c>
      <c r="F218" t="inlineStr">
        <is>
          <t>DALARNAS LÄN</t>
        </is>
      </c>
      <c r="G218" t="inlineStr">
        <is>
          <t>SÄTER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45484</v>
      </c>
      <c r="E219" s="1" t="n">
        <v>46267</v>
      </c>
      <c r="F219" t="inlineStr">
        <is>
          <t>DALARNAS LÄN</t>
        </is>
      </c>
      <c r="G219" t="inlineStr">
        <is>
          <t>SÄTER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45771</v>
      </c>
      <c r="E220" s="1" t="n">
        <v>46267</v>
      </c>
      <c r="F220" t="inlineStr">
        <is>
          <t>DALARNAS LÄN</t>
        </is>
      </c>
      <c r="G220" t="inlineStr">
        <is>
          <t>SÄTER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16698-2026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46267</v>
      </c>
      <c r="F221" t="inlineStr">
        <is>
          <t>DALARNAS LÄN</t>
        </is>
      </c>
      <c r="G221" t="inlineStr">
        <is>
          <t>SÄTER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46267</v>
      </c>
      <c r="F222" t="inlineStr">
        <is>
          <t>DALARNAS LÄN</t>
        </is>
      </c>
      <c r="G222" t="inlineStr">
        <is>
          <t>SÄTER</t>
        </is>
      </c>
      <c r="H222" t="inlineStr">
        <is>
          <t>Kommuner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44630</v>
      </c>
      <c r="E223" s="1" t="n">
        <v>46267</v>
      </c>
      <c r="F223" t="inlineStr">
        <is>
          <t>DALARNAS LÄN</t>
        </is>
      </c>
      <c r="G223" t="inlineStr">
        <is>
          <t>SÄTER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46267</v>
      </c>
      <c r="F224" t="inlineStr">
        <is>
          <t>DALARNAS LÄN</t>
        </is>
      </c>
      <c r="G224" t="inlineStr">
        <is>
          <t>SÄTER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46076</v>
      </c>
      <c r="E225" s="1" t="n">
        <v>46267</v>
      </c>
      <c r="F225" t="inlineStr">
        <is>
          <t>DALARNAS LÄN</t>
        </is>
      </c>
      <c r="G225" t="inlineStr">
        <is>
          <t>SÄTER</t>
        </is>
      </c>
      <c r="I225" t="n">
        <v>15.2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12938-2026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46267</v>
      </c>
      <c r="F226" t="inlineStr">
        <is>
          <t>DALARNAS LÄN</t>
        </is>
      </c>
      <c r="G226" t="inlineStr">
        <is>
          <t>SÄTER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46267</v>
      </c>
      <c r="F227" t="inlineStr">
        <is>
          <t>DALARNAS LÄN</t>
        </is>
      </c>
      <c r="G227" t="inlineStr">
        <is>
          <t>SÄTER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46267</v>
      </c>
      <c r="F228" t="inlineStr">
        <is>
          <t>DALARNAS LÄN</t>
        </is>
      </c>
      <c r="G228" t="inlineStr">
        <is>
          <t>SÄTER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45644</v>
      </c>
      <c r="E229" s="1" t="n">
        <v>46267</v>
      </c>
      <c r="F229" t="inlineStr">
        <is>
          <t>DALARNAS LÄN</t>
        </is>
      </c>
      <c r="G229" t="inlineStr">
        <is>
          <t>SÄTER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45604</v>
      </c>
      <c r="E230" s="1" t="n">
        <v>46267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45190</v>
      </c>
      <c r="E231" s="1" t="n">
        <v>46267</v>
      </c>
      <c r="F231" t="inlineStr">
        <is>
          <t>DALARNAS LÄN</t>
        </is>
      </c>
      <c r="G231" t="inlineStr">
        <is>
          <t>SÄTER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45427</v>
      </c>
      <c r="E232" s="1" t="n">
        <v>46267</v>
      </c>
      <c r="F232" t="inlineStr">
        <is>
          <t>DALARNAS LÄN</t>
        </is>
      </c>
      <c r="G232" t="inlineStr">
        <is>
          <t>SÄTER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46267</v>
      </c>
      <c r="F233" t="inlineStr">
        <is>
          <t>DALARNAS LÄN</t>
        </is>
      </c>
      <c r="G233" t="inlineStr">
        <is>
          <t>SÄTER</t>
        </is>
      </c>
      <c r="H233" t="inlineStr">
        <is>
          <t>Kommuner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46267</v>
      </c>
      <c r="F234" t="inlineStr">
        <is>
          <t>DALARNAS LÄN</t>
        </is>
      </c>
      <c r="G234" t="inlineStr">
        <is>
          <t>SÄTER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19162-2022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44691</v>
      </c>
      <c r="E235" s="1" t="n">
        <v>46267</v>
      </c>
      <c r="F235" t="inlineStr">
        <is>
          <t>DALARNAS LÄN</t>
        </is>
      </c>
      <c r="G235" t="inlineStr">
        <is>
          <t>SÄTER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46267</v>
      </c>
      <c r="F236" t="inlineStr">
        <is>
          <t>DALARNAS LÄN</t>
        </is>
      </c>
      <c r="G236" t="inlineStr">
        <is>
          <t>SÄTER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46267</v>
      </c>
      <c r="F237" t="inlineStr">
        <is>
          <t>DALARNAS LÄN</t>
        </is>
      </c>
      <c r="G237" t="inlineStr">
        <is>
          <t>SÄTER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46267</v>
      </c>
      <c r="F238" t="inlineStr">
        <is>
          <t>DALARNAS LÄN</t>
        </is>
      </c>
      <c r="G238" t="inlineStr">
        <is>
          <t>SÄTER</t>
        </is>
      </c>
      <c r="H238" t="inlineStr">
        <is>
          <t>Kommuner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46267</v>
      </c>
      <c r="F239" t="inlineStr">
        <is>
          <t>DALARNAS LÄN</t>
        </is>
      </c>
      <c r="G239" t="inlineStr">
        <is>
          <t>SÄTER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45561</v>
      </c>
      <c r="E240" s="1" t="n">
        <v>46267</v>
      </c>
      <c r="F240" t="inlineStr">
        <is>
          <t>DALARNAS LÄN</t>
        </is>
      </c>
      <c r="G240" t="inlineStr">
        <is>
          <t>SÄTER</t>
        </is>
      </c>
      <c r="H240" t="inlineStr">
        <is>
          <t>Bergvik skog väst AB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46267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46267</v>
      </c>
      <c r="F242" t="inlineStr">
        <is>
          <t>DALARNAS LÄN</t>
        </is>
      </c>
      <c r="G242" t="inlineStr">
        <is>
          <t>SÄTER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46267</v>
      </c>
      <c r="F243" t="inlineStr">
        <is>
          <t>DALARNAS LÄN</t>
        </is>
      </c>
      <c r="G243" t="inlineStr">
        <is>
          <t>SÄTER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45240</v>
      </c>
      <c r="E244" s="1" t="n">
        <v>46267</v>
      </c>
      <c r="F244" t="inlineStr">
        <is>
          <t>DALARNAS LÄN</t>
        </is>
      </c>
      <c r="G244" t="inlineStr">
        <is>
          <t>SÄTER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46014</v>
      </c>
      <c r="E245" s="1" t="n">
        <v>46267</v>
      </c>
      <c r="F245" t="inlineStr">
        <is>
          <t>DALARNAS LÄN</t>
        </is>
      </c>
      <c r="G245" t="inlineStr">
        <is>
          <t>SÄTER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36847-2023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46267</v>
      </c>
      <c r="F246" t="inlineStr">
        <is>
          <t>DALARNAS LÄN</t>
        </is>
      </c>
      <c r="G246" t="inlineStr">
        <is>
          <t>SÄTER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46267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46267</v>
      </c>
      <c r="F248" t="inlineStr">
        <is>
          <t>DALARNAS LÄN</t>
        </is>
      </c>
      <c r="G248" t="inlineStr">
        <is>
          <t>SÄTER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45561</v>
      </c>
      <c r="E249" s="1" t="n">
        <v>46267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44724-2024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46267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46267</v>
      </c>
      <c r="F251" t="inlineStr">
        <is>
          <t>DALARNAS LÄN</t>
        </is>
      </c>
      <c r="G251" t="inlineStr">
        <is>
          <t>SÄTER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46267</v>
      </c>
      <c r="F252" t="inlineStr">
        <is>
          <t>DALARNAS LÄN</t>
        </is>
      </c>
      <c r="G252" t="inlineStr">
        <is>
          <t>SÄTER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45811</v>
      </c>
      <c r="E253" s="1" t="n">
        <v>46267</v>
      </c>
      <c r="F253" t="inlineStr">
        <is>
          <t>DALARNAS LÄN</t>
        </is>
      </c>
      <c r="G253" t="inlineStr">
        <is>
          <t>SÄTER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44719-2024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46267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10.8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44690</v>
      </c>
      <c r="E255" s="1" t="n">
        <v>46267</v>
      </c>
      <c r="F255" t="inlineStr">
        <is>
          <t>DALARNAS LÄN</t>
        </is>
      </c>
      <c r="G255" t="inlineStr">
        <is>
          <t>SÄTER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20490-2026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46267</v>
      </c>
      <c r="F256" t="inlineStr">
        <is>
          <t>DALARNAS LÄN</t>
        </is>
      </c>
      <c r="G256" t="inlineStr">
        <is>
          <t>SÄTER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46267</v>
      </c>
      <c r="F257" t="inlineStr">
        <is>
          <t>DALARNAS LÄN</t>
        </is>
      </c>
      <c r="G257" t="inlineStr">
        <is>
          <t>SÄTER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46267</v>
      </c>
      <c r="F258" t="inlineStr">
        <is>
          <t>DALARNAS LÄN</t>
        </is>
      </c>
      <c r="G258" t="inlineStr">
        <is>
          <t>SÄTER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24617-2022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44727</v>
      </c>
      <c r="E259" s="1" t="n">
        <v>46267</v>
      </c>
      <c r="F259" t="inlineStr">
        <is>
          <t>DALARNAS LÄN</t>
        </is>
      </c>
      <c r="G259" t="inlineStr">
        <is>
          <t>SÄTER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46267</v>
      </c>
      <c r="F260" t="inlineStr">
        <is>
          <t>DALARNAS LÄN</t>
        </is>
      </c>
      <c r="G260" t="inlineStr">
        <is>
          <t>SÄTER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44711</v>
      </c>
      <c r="E261" s="1" t="n">
        <v>46267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46267</v>
      </c>
      <c r="F262" t="inlineStr">
        <is>
          <t>DALARNAS LÄN</t>
        </is>
      </c>
      <c r="G262" t="inlineStr">
        <is>
          <t>SÄTER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46267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42.6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46267</v>
      </c>
      <c r="F264" t="inlineStr">
        <is>
          <t>DALARNAS LÄN</t>
        </is>
      </c>
      <c r="G264" t="inlineStr">
        <is>
          <t>SÄTER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46098</v>
      </c>
      <c r="E265" s="1" t="n">
        <v>46267</v>
      </c>
      <c r="F265" t="inlineStr">
        <is>
          <t>DALARNAS LÄN</t>
        </is>
      </c>
      <c r="G265" t="inlineStr">
        <is>
          <t>SÄTER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46267</v>
      </c>
      <c r="F266" t="inlineStr">
        <is>
          <t>DALARNAS LÄN</t>
        </is>
      </c>
      <c r="G266" t="inlineStr">
        <is>
          <t>SÄTER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45247</v>
      </c>
      <c r="E267" s="1" t="n">
        <v>46267</v>
      </c>
      <c r="F267" t="inlineStr">
        <is>
          <t>DALARNAS LÄN</t>
        </is>
      </c>
      <c r="G267" t="inlineStr">
        <is>
          <t>SÄTER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12646-2026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46267</v>
      </c>
      <c r="F268" t="inlineStr">
        <is>
          <t>DALARNAS LÄN</t>
        </is>
      </c>
      <c r="G268" t="inlineStr">
        <is>
          <t>SÄTER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44732</v>
      </c>
      <c r="E269" s="1" t="n">
        <v>46267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46267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52193-2021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44463</v>
      </c>
      <c r="E271" s="1" t="n">
        <v>46267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46267</v>
      </c>
      <c r="F272" t="inlineStr">
        <is>
          <t>DALARNAS LÄN</t>
        </is>
      </c>
      <c r="G272" t="inlineStr">
        <is>
          <t>SÄTER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45366</v>
      </c>
      <c r="E273" s="1" t="n">
        <v>46267</v>
      </c>
      <c r="F273" t="inlineStr">
        <is>
          <t>DALARNAS LÄN</t>
        </is>
      </c>
      <c r="G273" t="inlineStr">
        <is>
          <t>SÄTER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44812</v>
      </c>
      <c r="E274" s="1" t="n">
        <v>46267</v>
      </c>
      <c r="F274" t="inlineStr">
        <is>
          <t>DALARNAS LÄN</t>
        </is>
      </c>
      <c r="G274" t="inlineStr">
        <is>
          <t>SÄTER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45265</v>
      </c>
      <c r="E275" s="1" t="n">
        <v>46267</v>
      </c>
      <c r="F275" t="inlineStr">
        <is>
          <t>DALARNAS LÄN</t>
        </is>
      </c>
      <c r="G275" t="inlineStr">
        <is>
          <t>SÄTER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46267</v>
      </c>
      <c r="F276" t="inlineStr">
        <is>
          <t>DALARNAS LÄN</t>
        </is>
      </c>
      <c r="G276" t="inlineStr">
        <is>
          <t>SÄTER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46267</v>
      </c>
      <c r="F277" t="inlineStr">
        <is>
          <t>DALARNAS LÄN</t>
        </is>
      </c>
      <c r="G277" t="inlineStr">
        <is>
          <t>SÄTER</t>
        </is>
      </c>
      <c r="I277" t="n">
        <v>9.6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46267</v>
      </c>
      <c r="F278" t="inlineStr">
        <is>
          <t>DALARNAS LÄN</t>
        </is>
      </c>
      <c r="G278" t="inlineStr">
        <is>
          <t>SÄTER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46267</v>
      </c>
      <c r="F279" t="inlineStr">
        <is>
          <t>DALARNAS LÄN</t>
        </is>
      </c>
      <c r="G279" t="inlineStr">
        <is>
          <t>SÄTER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46267</v>
      </c>
      <c r="F280" t="inlineStr">
        <is>
          <t>DALARNAS LÄN</t>
        </is>
      </c>
      <c r="G280" t="inlineStr">
        <is>
          <t>SÄTER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46267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46267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45520</v>
      </c>
      <c r="E283" s="1" t="n">
        <v>46267</v>
      </c>
      <c r="F283" t="inlineStr">
        <is>
          <t>DALARNAS LÄN</t>
        </is>
      </c>
      <c r="G283" t="inlineStr">
        <is>
          <t>SÄTER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46267</v>
      </c>
      <c r="F284" t="inlineStr">
        <is>
          <t>DALARNAS LÄN</t>
        </is>
      </c>
      <c r="G284" t="inlineStr">
        <is>
          <t>SÄTER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46087</v>
      </c>
      <c r="E285" s="1" t="n">
        <v>46267</v>
      </c>
      <c r="F285" t="inlineStr">
        <is>
          <t>DALARNAS LÄN</t>
        </is>
      </c>
      <c r="G285" t="inlineStr">
        <is>
          <t>SÄTER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46164</v>
      </c>
      <c r="E286" s="1" t="n">
        <v>46267</v>
      </c>
      <c r="F286" t="inlineStr">
        <is>
          <t>DALARNAS LÄN</t>
        </is>
      </c>
      <c r="G286" t="inlineStr">
        <is>
          <t>SÄTER</t>
        </is>
      </c>
      <c r="I286" t="n">
        <v>10.1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46267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46267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46267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46267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46163</v>
      </c>
      <c r="E291" s="1" t="n">
        <v>46267</v>
      </c>
      <c r="F291" t="inlineStr">
        <is>
          <t>DALARNAS LÄN</t>
        </is>
      </c>
      <c r="G291" t="inlineStr">
        <is>
          <t>SÄTER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46267</v>
      </c>
      <c r="F292" t="inlineStr">
        <is>
          <t>DALARNAS LÄN</t>
        </is>
      </c>
      <c r="G292" t="inlineStr">
        <is>
          <t>SÄTER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46267</v>
      </c>
      <c r="F293" t="inlineStr">
        <is>
          <t>DALARNAS LÄN</t>
        </is>
      </c>
      <c r="G293" t="inlineStr">
        <is>
          <t>SÄTER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44992</v>
      </c>
      <c r="E294" s="1" t="n">
        <v>46267</v>
      </c>
      <c r="F294" t="inlineStr">
        <is>
          <t>DALARNAS LÄN</t>
        </is>
      </c>
      <c r="G294" t="inlineStr">
        <is>
          <t>SÄTER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46267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46267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44953</v>
      </c>
      <c r="E297" s="1" t="n">
        <v>46267</v>
      </c>
      <c r="F297" t="inlineStr">
        <is>
          <t>DALARNAS LÄN</t>
        </is>
      </c>
      <c r="G297" t="inlineStr">
        <is>
          <t>SÄTER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46559-2021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44445</v>
      </c>
      <c r="E298" s="1" t="n">
        <v>46267</v>
      </c>
      <c r="F298" t="inlineStr">
        <is>
          <t>DALARNAS LÄN</t>
        </is>
      </c>
      <c r="G298" t="inlineStr">
        <is>
          <t>SÄTER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51328-2024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45604</v>
      </c>
      <c r="E299" s="1" t="n">
        <v>46267</v>
      </c>
      <c r="F299" t="inlineStr">
        <is>
          <t>DALARNAS LÄN</t>
        </is>
      </c>
      <c r="G299" t="inlineStr">
        <is>
          <t>SÄTER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51339-2024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45604</v>
      </c>
      <c r="E300" s="1" t="n">
        <v>46267</v>
      </c>
      <c r="F300" t="inlineStr">
        <is>
          <t>DALARNAS LÄN</t>
        </is>
      </c>
      <c r="G300" t="inlineStr">
        <is>
          <t>SÄTER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63377-2025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46010</v>
      </c>
      <c r="E301" s="1" t="n">
        <v>46267</v>
      </c>
      <c r="F301" t="inlineStr">
        <is>
          <t>DALARNAS LÄN</t>
        </is>
      </c>
      <c r="G301" t="inlineStr">
        <is>
          <t>SÄTER</t>
        </is>
      </c>
      <c r="H301" t="inlineStr">
        <is>
          <t>Övriga statliga verk och myndigheter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10285-2026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46076</v>
      </c>
      <c r="E302" s="1" t="n">
        <v>46267</v>
      </c>
      <c r="F302" t="inlineStr">
        <is>
          <t>DALARNAS LÄN</t>
        </is>
      </c>
      <c r="G302" t="inlineStr">
        <is>
          <t>SÄTER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45546</v>
      </c>
      <c r="E303" s="1" t="n">
        <v>46267</v>
      </c>
      <c r="F303" t="inlineStr">
        <is>
          <t>DALARNAS LÄN</t>
        </is>
      </c>
      <c r="G303" t="inlineStr">
        <is>
          <t>SÄTER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51474-2024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45604</v>
      </c>
      <c r="E304" s="1" t="n">
        <v>46267</v>
      </c>
      <c r="F304" t="inlineStr">
        <is>
          <t>DALARNAS LÄN</t>
        </is>
      </c>
      <c r="G304" t="inlineStr">
        <is>
          <t>SÄTER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46267</v>
      </c>
      <c r="F305" t="inlineStr">
        <is>
          <t>DALARNAS LÄN</t>
        </is>
      </c>
      <c r="G305" t="inlineStr">
        <is>
          <t>SÄTER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12957-2022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44643</v>
      </c>
      <c r="E306" s="1" t="n">
        <v>46267</v>
      </c>
      <c r="F306" t="inlineStr">
        <is>
          <t>DALARNAS LÄN</t>
        </is>
      </c>
      <c r="G306" t="inlineStr">
        <is>
          <t>SÄTER</t>
        </is>
      </c>
      <c r="I306" t="n">
        <v>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46267</v>
      </c>
      <c r="F307" t="inlineStr">
        <is>
          <t>DALARNAS LÄN</t>
        </is>
      </c>
      <c r="G307" t="inlineStr">
        <is>
          <t>SÄTER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46267</v>
      </c>
      <c r="F308" t="inlineStr">
        <is>
          <t>DALARNAS LÄN</t>
        </is>
      </c>
      <c r="G308" t="inlineStr">
        <is>
          <t>SÄTER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46267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46191</v>
      </c>
      <c r="E310" s="1" t="n">
        <v>46267</v>
      </c>
      <c r="F310" t="inlineStr">
        <is>
          <t>DALARNAS LÄN</t>
        </is>
      </c>
      <c r="G310" t="inlineStr">
        <is>
          <t>SÄTER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46267</v>
      </c>
      <c r="F311" t="inlineStr">
        <is>
          <t>DALARNAS LÄN</t>
        </is>
      </c>
      <c r="G311" t="inlineStr">
        <is>
          <t>SÄTER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32122-2026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46234</v>
      </c>
      <c r="E312" s="1" t="n">
        <v>46267</v>
      </c>
      <c r="F312" t="inlineStr">
        <is>
          <t>DALARNAS LÄN</t>
        </is>
      </c>
      <c r="G312" t="inlineStr">
        <is>
          <t>SÄTER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46267</v>
      </c>
      <c r="F313" t="inlineStr">
        <is>
          <t>DALARNAS LÄN</t>
        </is>
      </c>
      <c r="G313" t="inlineStr">
        <is>
          <t>SÄTER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45527</v>
      </c>
      <c r="E314" s="1" t="n">
        <v>46267</v>
      </c>
      <c r="F314" t="inlineStr">
        <is>
          <t>DALARNAS LÄN</t>
        </is>
      </c>
      <c r="G314" t="inlineStr">
        <is>
          <t>SÄTER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45599</v>
      </c>
      <c r="E315" s="1" t="n">
        <v>46267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45411</v>
      </c>
      <c r="E316" s="1" t="n">
        <v>46267</v>
      </c>
      <c r="F316" t="inlineStr">
        <is>
          <t>DALARNAS LÄN</t>
        </is>
      </c>
      <c r="G316" t="inlineStr">
        <is>
          <t>SÄTER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46196</v>
      </c>
      <c r="E317" s="1" t="n">
        <v>46267</v>
      </c>
      <c r="F317" t="inlineStr">
        <is>
          <t>DALARNAS LÄN</t>
        </is>
      </c>
      <c r="G317" t="inlineStr">
        <is>
          <t>SÄTER</t>
        </is>
      </c>
      <c r="H317" t="inlineStr">
        <is>
          <t>Sveaskog</t>
        </is>
      </c>
      <c r="I317" t="n">
        <v>19.8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46267</v>
      </c>
      <c r="F318" t="inlineStr">
        <is>
          <t>DALARNAS LÄN</t>
        </is>
      </c>
      <c r="G318" t="inlineStr">
        <is>
          <t>SÄTER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44982</v>
      </c>
      <c r="E319" s="1" t="n">
        <v>46267</v>
      </c>
      <c r="F319" t="inlineStr">
        <is>
          <t>DALARNAS LÄN</t>
        </is>
      </c>
      <c r="G319" t="inlineStr">
        <is>
          <t>SÄTER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62368-2023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46267</v>
      </c>
      <c r="F320" t="inlineStr">
        <is>
          <t>DALARNAS LÄN</t>
        </is>
      </c>
      <c r="G320" t="inlineStr">
        <is>
          <t>SÄTER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44817</v>
      </c>
      <c r="E321" s="1" t="n">
        <v>46267</v>
      </c>
      <c r="F321" t="inlineStr">
        <is>
          <t>DALARNAS LÄN</t>
        </is>
      </c>
      <c r="G321" t="inlineStr">
        <is>
          <t>SÄTER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21766-2024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45442</v>
      </c>
      <c r="E322" s="1" t="n">
        <v>46267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46267</v>
      </c>
      <c r="F323" t="inlineStr">
        <is>
          <t>DALARNAS LÄN</t>
        </is>
      </c>
      <c r="G323" t="inlineStr">
        <is>
          <t>SÄTER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44784</v>
      </c>
      <c r="E324" s="1" t="n">
        <v>46267</v>
      </c>
      <c r="F324" t="inlineStr">
        <is>
          <t>DALARNAS LÄN</t>
        </is>
      </c>
      <c r="G324" t="inlineStr">
        <is>
          <t>SÄTER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44784</v>
      </c>
      <c r="E325" s="1" t="n">
        <v>46267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46267</v>
      </c>
      <c r="F326" t="inlineStr">
        <is>
          <t>DALARNAS LÄN</t>
        </is>
      </c>
      <c r="G326" t="inlineStr">
        <is>
          <t>SÄTER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46267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45268</v>
      </c>
      <c r="E328" s="1" t="n">
        <v>46267</v>
      </c>
      <c r="F328" t="inlineStr">
        <is>
          <t>DALARNAS LÄN</t>
        </is>
      </c>
      <c r="G328" t="inlineStr">
        <is>
          <t>SÄTER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34652-2024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45526</v>
      </c>
      <c r="E329" s="1" t="n">
        <v>46267</v>
      </c>
      <c r="F329" t="inlineStr">
        <is>
          <t>DALARNAS LÄN</t>
        </is>
      </c>
      <c r="G329" t="inlineStr">
        <is>
          <t>SÄTER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46267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46267</v>
      </c>
      <c r="F331" t="inlineStr">
        <is>
          <t>DALARNAS LÄN</t>
        </is>
      </c>
      <c r="G331" t="inlineStr">
        <is>
          <t>SÄTER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46267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46267</v>
      </c>
      <c r="F333" t="inlineStr">
        <is>
          <t>DALARNAS LÄN</t>
        </is>
      </c>
      <c r="G333" t="inlineStr">
        <is>
          <t>SÄTER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46267</v>
      </c>
      <c r="F334" t="inlineStr">
        <is>
          <t>DALARNAS LÄN</t>
        </is>
      </c>
      <c r="G334" t="inlineStr">
        <is>
          <t>SÄTER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46267</v>
      </c>
      <c r="F335" t="inlineStr">
        <is>
          <t>DALARNAS LÄN</t>
        </is>
      </c>
      <c r="G335" t="inlineStr">
        <is>
          <t>SÄTER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51333-2024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45604</v>
      </c>
      <c r="E336" s="1" t="n">
        <v>46267</v>
      </c>
      <c r="F336" t="inlineStr">
        <is>
          <t>DALARNAS LÄN</t>
        </is>
      </c>
      <c r="G336" t="inlineStr">
        <is>
          <t>SÄTER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45175</v>
      </c>
      <c r="E337" s="1" t="n">
        <v>46267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45664</v>
      </c>
      <c r="E338" s="1" t="n">
        <v>46267</v>
      </c>
      <c r="F338" t="inlineStr">
        <is>
          <t>DALARNAS LÄN</t>
        </is>
      </c>
      <c r="G338" t="inlineStr">
        <is>
          <t>SÄTER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  <c r="Z338">
        <f>HYPERLINK("https://klasma.github.io/Logging_2082/knärot/A 498-2025 karta knärot.png", "A 498-2025")</f>
        <v/>
      </c>
      <c r="AA338">
        <f>HYPERLINK("https://klasma.github.io/Logging_2082/klagomål/A 498-2025 FSC-klagomål.docx", "A 498-2025")</f>
        <v/>
      </c>
      <c r="AB338">
        <f>HYPERLINK("https://klasma.github.io/Logging_2082/klagomålsmail/A 498-2025 FSC-klagomål mail.docx", "A 498-2025")</f>
        <v/>
      </c>
      <c r="AC338">
        <f>HYPERLINK("https://klasma.github.io/Logging_2082/tillsyn/A 498-2025 tillsynsbegäran.docx", "A 498-2025")</f>
        <v/>
      </c>
      <c r="AD338">
        <f>HYPERLINK("https://klasma.github.io/Logging_2082/tillsynsmail/A 498-2025 tillsynsbegäran mail.docx", "A 498-2025")</f>
        <v/>
      </c>
    </row>
    <row r="339" ht="15" customHeight="1">
      <c r="A339" t="inlineStr">
        <is>
          <t>A 61344-2023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46267</v>
      </c>
      <c r="F339" t="inlineStr">
        <is>
          <t>DALARNAS LÄN</t>
        </is>
      </c>
      <c r="G339" t="inlineStr">
        <is>
          <t>SÄTER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46267</v>
      </c>
      <c r="F340" t="inlineStr">
        <is>
          <t>DALARNAS LÄN</t>
        </is>
      </c>
      <c r="G340" t="inlineStr">
        <is>
          <t>SÄTER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46267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46211</v>
      </c>
      <c r="E342" s="1" t="n">
        <v>46267</v>
      </c>
      <c r="F342" t="inlineStr">
        <is>
          <t>DALARNAS LÄN</t>
        </is>
      </c>
      <c r="G342" t="inlineStr">
        <is>
          <t>SÄTER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41471-2023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45171</v>
      </c>
      <c r="E343" s="1" t="n">
        <v>46267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45596</v>
      </c>
      <c r="E344" s="1" t="n">
        <v>46267</v>
      </c>
      <c r="F344" t="inlineStr">
        <is>
          <t>DALARNAS LÄN</t>
        </is>
      </c>
      <c r="G344" t="inlineStr">
        <is>
          <t>SÄTER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46267</v>
      </c>
      <c r="F345" t="inlineStr">
        <is>
          <t>DALARNAS LÄN</t>
        </is>
      </c>
      <c r="G345" t="inlineStr">
        <is>
          <t>SÄTER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45428</v>
      </c>
      <c r="E346" s="1" t="n">
        <v>46267</v>
      </c>
      <c r="F346" t="inlineStr">
        <is>
          <t>DALARNAS LÄN</t>
        </is>
      </c>
      <c r="G346" t="inlineStr">
        <is>
          <t>SÄTER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45432</v>
      </c>
      <c r="E347" s="1" t="n">
        <v>46267</v>
      </c>
      <c r="F347" t="inlineStr">
        <is>
          <t>DALARNAS LÄN</t>
        </is>
      </c>
      <c r="G347" t="inlineStr">
        <is>
          <t>SÄTER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46267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46267</v>
      </c>
      <c r="F349" t="inlineStr">
        <is>
          <t>DALARNAS LÄN</t>
        </is>
      </c>
      <c r="G349" t="inlineStr">
        <is>
          <t>SÄTER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45666</v>
      </c>
      <c r="E350" s="1" t="n">
        <v>46267</v>
      </c>
      <c r="F350" t="inlineStr">
        <is>
          <t>DALARNAS LÄN</t>
        </is>
      </c>
      <c r="G350" t="inlineStr">
        <is>
          <t>SÄTER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45365</v>
      </c>
      <c r="E351" s="1" t="n">
        <v>46267</v>
      </c>
      <c r="F351" t="inlineStr">
        <is>
          <t>DALARNAS LÄN</t>
        </is>
      </c>
      <c r="G351" t="inlineStr">
        <is>
          <t>SÄTER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21911-2024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46267</v>
      </c>
      <c r="F352" t="inlineStr">
        <is>
          <t>DALARNAS LÄN</t>
        </is>
      </c>
      <c r="G352" t="inlineStr">
        <is>
          <t>SÄTER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35564-2026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46262</v>
      </c>
      <c r="E353" s="1" t="n">
        <v>46267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46261</v>
      </c>
      <c r="E354" s="1" t="n">
        <v>46267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46267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45462</v>
      </c>
      <c r="E356" s="1" t="n">
        <v>46267</v>
      </c>
      <c r="F356" t="inlineStr">
        <is>
          <t>DALARNAS LÄN</t>
        </is>
      </c>
      <c r="G356" t="inlineStr">
        <is>
          <t>SÄTER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45377</v>
      </c>
      <c r="E357" s="1" t="n">
        <v>46267</v>
      </c>
      <c r="F357" t="inlineStr">
        <is>
          <t>DALARNAS LÄN</t>
        </is>
      </c>
      <c r="G357" t="inlineStr">
        <is>
          <t>SÄTER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46267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45804</v>
      </c>
      <c r="E359" s="1" t="n">
        <v>46267</v>
      </c>
      <c r="F359" t="inlineStr">
        <is>
          <t>DALARNAS LÄN</t>
        </is>
      </c>
      <c r="G359" t="inlineStr">
        <is>
          <t>SÄTER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46267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46267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46267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3057-2023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45182</v>
      </c>
      <c r="E363" s="1" t="n">
        <v>46267</v>
      </c>
      <c r="F363" t="inlineStr">
        <is>
          <t>DALARNAS LÄN</t>
        </is>
      </c>
      <c r="G363" t="inlineStr">
        <is>
          <t>SÄTER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46267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46267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46267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2939-2025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45951</v>
      </c>
      <c r="E367" s="1" t="n">
        <v>46267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46267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2026-09-02T02:04:42Z</dcterms:created>
  <dcterms:modified xmlns:dcterms="http://purl.org/dc/terms/" xmlns:xsi="http://www.w3.org/2001/XMLSchema-instance" xsi:type="dcterms:W3CDTF">2026-09-02T02:04:42Z</dcterms:modified>
</cp:coreProperties>
</file>