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46284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46284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46284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46284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46284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46284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46284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46284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46284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46284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46284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46284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46284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46284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46284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46284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46284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46284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46284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46284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46284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46284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46284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46284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46284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46284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46284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5232-2022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44594</v>
      </c>
      <c r="E42" s="1" t="n">
        <v>46284</v>
      </c>
      <c r="F42" t="inlineStr">
        <is>
          <t>DALARNAS LÄN</t>
        </is>
      </c>
      <c r="G42" t="inlineStr">
        <is>
          <t>SÄTER</t>
        </is>
      </c>
      <c r="I42" t="n">
        <v>2.5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Tvåblad</t>
        </is>
      </c>
      <c r="W42">
        <f>HYPERLINK("https://klasma.github.io/Logging_2082/artfynd/A 5232-2022 artfynd.xlsx", "A 5232-2022")</f>
        <v/>
      </c>
      <c r="X42">
        <f>HYPERLINK("https://klasma.github.io/Logging_2082/kartor/A 5232-2022 karta.png", "A 5232-2022")</f>
        <v/>
      </c>
      <c r="Y42">
        <f>HYPERLINK("https://klasma.github.io/Logging_2082/kartor_geotiff/A 5232-2022 georefererad karta.tif", "A 5232-2022")</f>
        <v/>
      </c>
      <c r="AA42">
        <f>HYPERLINK("https://klasma.github.io/Logging_2082/klagomål/A 5232-2022 FSC-klagomål.docx", "A 5232-2022")</f>
        <v/>
      </c>
      <c r="AB42">
        <f>HYPERLINK("https://klasma.github.io/Logging_2082/klagomålsmail/A 5232-2022 FSC-klagomål mail.docx", "A 5232-2022")</f>
        <v/>
      </c>
      <c r="AC42">
        <f>HYPERLINK("https://klasma.github.io/Logging_2082/tillsyn/A 5232-2022 tillsynsbegäran.docx", "A 5232-2022")</f>
        <v/>
      </c>
      <c r="AD42">
        <f>HYPERLINK("https://klasma.github.io/Logging_2082/tillsynsmail/A 5232-2022 tillsynsbegäran mail.docx", "A 5232-2022")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46284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38692-2026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46284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15.5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HYPERLINK("https://klasma.github.io/Logging_2082/artfynd/A 38692-2026 artfynd.xlsx", "A 38692-2026")</f>
        <v/>
      </c>
      <c r="X44">
        <f>HYPERLINK("https://klasma.github.io/Logging_2082/kartor/A 38692-2026 karta.png", "A 38692-2026")</f>
        <v/>
      </c>
      <c r="Y44">
        <f>HYPERLINK("https://klasma.github.io/Logging_2082/kartor_geotiff/A 38692-2026 georefererad karta.tif", "A 38692-2026")</f>
        <v/>
      </c>
      <c r="AA44">
        <f>HYPERLINK("https://klasma.github.io/Logging_2082/klagomål/A 38692-2026 FSC-klagomål.docx", "A 38692-2026")</f>
        <v/>
      </c>
      <c r="AB44">
        <f>HYPERLINK("https://klasma.github.io/Logging_2082/klagomålsmail/A 38692-2026 FSC-klagomål mail.docx", "A 38692-2026")</f>
        <v/>
      </c>
      <c r="AC44">
        <f>HYPERLINK("https://klasma.github.io/Logging_2082/tillsyn/A 38692-2026 tillsynsbegäran.docx", "A 38692-2026")</f>
        <v/>
      </c>
      <c r="AD44">
        <f>HYPERLINK("https://klasma.github.io/Logging_2082/tillsynsmail/A 38692-2026 tillsynsbegäran mail.docx", "A 38692-2026")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46284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46284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46284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46284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46284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46284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46284</v>
      </c>
      <c r="F51" t="inlineStr">
        <is>
          <t>DALARNAS LÄN</t>
        </is>
      </c>
      <c r="G51" t="inlineStr">
        <is>
          <t>SÄTER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46284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46284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52262-2021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44463</v>
      </c>
      <c r="E54" s="1" t="n">
        <v>46284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46284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46284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46284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46284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46284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46284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46284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46284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46284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46284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46284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46284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46284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46284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46284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46284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46284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46284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46284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46284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46284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46284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46284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46284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46284</v>
      </c>
      <c r="F79" t="inlineStr">
        <is>
          <t>DALARNAS LÄN</t>
        </is>
      </c>
      <c r="G79" t="inlineStr">
        <is>
          <t>SÄTER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46284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46284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46284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46284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46284</v>
      </c>
      <c r="F84" t="inlineStr">
        <is>
          <t>DALARNAS LÄN</t>
        </is>
      </c>
      <c r="G84" t="inlineStr">
        <is>
          <t>SÄTER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46284</v>
      </c>
      <c r="F85" t="inlineStr">
        <is>
          <t>DALARNAS LÄN</t>
        </is>
      </c>
      <c r="G85" t="inlineStr">
        <is>
          <t>SÄTER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46284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46284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46284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46284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46284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46284</v>
      </c>
      <c r="F91" t="inlineStr">
        <is>
          <t>DALARNAS LÄN</t>
        </is>
      </c>
      <c r="G91" t="inlineStr">
        <is>
          <t>SÄTER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46284</v>
      </c>
      <c r="F92" t="inlineStr">
        <is>
          <t>DALARNAS LÄN</t>
        </is>
      </c>
      <c r="G92" t="inlineStr">
        <is>
          <t>SÄTER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45240</v>
      </c>
      <c r="E93" s="1" t="n">
        <v>46284</v>
      </c>
      <c r="F93" t="inlineStr">
        <is>
          <t>DALARNAS LÄN</t>
        </is>
      </c>
      <c r="G93" t="inlineStr">
        <is>
          <t>SÄTER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46284</v>
      </c>
      <c r="F94" t="inlineStr">
        <is>
          <t>DALARNAS LÄN</t>
        </is>
      </c>
      <c r="G94" t="inlineStr">
        <is>
          <t>SÄTER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46284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46284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46284</v>
      </c>
      <c r="F97" t="inlineStr">
        <is>
          <t>DALARNAS LÄN</t>
        </is>
      </c>
      <c r="G97" t="inlineStr">
        <is>
          <t>SÄTER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46284</v>
      </c>
      <c r="F98" t="inlineStr">
        <is>
          <t>DALARNAS LÄN</t>
        </is>
      </c>
      <c r="G98" t="inlineStr">
        <is>
          <t>SÄTER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46284</v>
      </c>
      <c r="F99" t="inlineStr">
        <is>
          <t>DALARNAS LÄN</t>
        </is>
      </c>
      <c r="G99" t="inlineStr">
        <is>
          <t>SÄTER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46284</v>
      </c>
      <c r="F100" t="inlineStr">
        <is>
          <t>DALARNAS LÄN</t>
        </is>
      </c>
      <c r="G100" t="inlineStr">
        <is>
          <t>SÄTER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46284</v>
      </c>
      <c r="F101" t="inlineStr">
        <is>
          <t>DALARNAS LÄN</t>
        </is>
      </c>
      <c r="G101" t="inlineStr">
        <is>
          <t>SÄTER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46284</v>
      </c>
      <c r="F102" t="inlineStr">
        <is>
          <t>DALARNAS LÄN</t>
        </is>
      </c>
      <c r="G102" t="inlineStr">
        <is>
          <t>SÄTER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46284</v>
      </c>
      <c r="F103" t="inlineStr">
        <is>
          <t>DALARNAS LÄN</t>
        </is>
      </c>
      <c r="G103" t="inlineStr">
        <is>
          <t>SÄTER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46284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45599</v>
      </c>
      <c r="E105" s="1" t="n">
        <v>46284</v>
      </c>
      <c r="F105" t="inlineStr">
        <is>
          <t>DALARNAS LÄN</t>
        </is>
      </c>
      <c r="G105" t="inlineStr">
        <is>
          <t>SÄTER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46284</v>
      </c>
      <c r="F106" t="inlineStr">
        <is>
          <t>DALARNAS LÄN</t>
        </is>
      </c>
      <c r="G106" t="inlineStr">
        <is>
          <t>SÄTER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45604</v>
      </c>
      <c r="E107" s="1" t="n">
        <v>46284</v>
      </c>
      <c r="F107" t="inlineStr">
        <is>
          <t>DALARNAS LÄN</t>
        </is>
      </c>
      <c r="G107" t="inlineStr">
        <is>
          <t>SÄTER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46284</v>
      </c>
      <c r="F108" t="inlineStr">
        <is>
          <t>DALARNAS LÄN</t>
        </is>
      </c>
      <c r="G108" t="inlineStr">
        <is>
          <t>SÄTER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46284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46284</v>
      </c>
      <c r="F110" t="inlineStr">
        <is>
          <t>DALARNAS LÄN</t>
        </is>
      </c>
      <c r="G110" t="inlineStr">
        <is>
          <t>SÄTER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46284</v>
      </c>
      <c r="F111" t="inlineStr">
        <is>
          <t>DALARNAS LÄN</t>
        </is>
      </c>
      <c r="G111" t="inlineStr">
        <is>
          <t>SÄTER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46284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46284</v>
      </c>
      <c r="F113" t="inlineStr">
        <is>
          <t>DALARNAS LÄN</t>
        </is>
      </c>
      <c r="G113" t="inlineStr">
        <is>
          <t>SÄTER</t>
        </is>
      </c>
      <c r="H113" t="inlineStr">
        <is>
          <t>Kommuner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46284</v>
      </c>
      <c r="F114" t="inlineStr">
        <is>
          <t>DALARNAS LÄN</t>
        </is>
      </c>
      <c r="G114" t="inlineStr">
        <is>
          <t>SÄTER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46014</v>
      </c>
      <c r="E115" s="1" t="n">
        <v>46284</v>
      </c>
      <c r="F115" t="inlineStr">
        <is>
          <t>DALARNAS LÄN</t>
        </is>
      </c>
      <c r="G115" t="inlineStr">
        <is>
          <t>SÄTER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45190</v>
      </c>
      <c r="E116" s="1" t="n">
        <v>46284</v>
      </c>
      <c r="F116" t="inlineStr">
        <is>
          <t>DALARNAS LÄN</t>
        </is>
      </c>
      <c r="G116" t="inlineStr">
        <is>
          <t>SÄTER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46043</v>
      </c>
      <c r="E117" s="1" t="n">
        <v>46284</v>
      </c>
      <c r="F117" t="inlineStr">
        <is>
          <t>DALARNAS LÄN</t>
        </is>
      </c>
      <c r="G117" t="inlineStr">
        <is>
          <t>SÄTER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46284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46284</v>
      </c>
      <c r="F119" t="inlineStr">
        <is>
          <t>DALARNAS LÄN</t>
        </is>
      </c>
      <c r="G119" t="inlineStr">
        <is>
          <t>SÄTER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46284</v>
      </c>
      <c r="F120" t="inlineStr">
        <is>
          <t>DALARNAS LÄN</t>
        </is>
      </c>
      <c r="G120" t="inlineStr">
        <is>
          <t>SÄTER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45566</v>
      </c>
      <c r="E121" s="1" t="n">
        <v>46284</v>
      </c>
      <c r="F121" t="inlineStr">
        <is>
          <t>DALARNAS LÄN</t>
        </is>
      </c>
      <c r="G121" t="inlineStr">
        <is>
          <t>SÄTER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46136</v>
      </c>
      <c r="E122" s="1" t="n">
        <v>46284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46284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46284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46284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46284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46284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46284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46284</v>
      </c>
      <c r="F129" t="inlineStr">
        <is>
          <t>DALARNAS LÄN</t>
        </is>
      </c>
      <c r="G129" t="inlineStr">
        <is>
          <t>SÄTER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46284</v>
      </c>
      <c r="F130" t="inlineStr">
        <is>
          <t>DALARNAS LÄN</t>
        </is>
      </c>
      <c r="G130" t="inlineStr">
        <is>
          <t>SÄTER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46284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45411</v>
      </c>
      <c r="E132" s="1" t="n">
        <v>46284</v>
      </c>
      <c r="F132" t="inlineStr">
        <is>
          <t>DALARNAS LÄN</t>
        </is>
      </c>
      <c r="G132" t="inlineStr">
        <is>
          <t>SÄTER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46098</v>
      </c>
      <c r="E133" s="1" t="n">
        <v>46284</v>
      </c>
      <c r="F133" t="inlineStr">
        <is>
          <t>DALARNAS LÄN</t>
        </is>
      </c>
      <c r="G133" t="inlineStr">
        <is>
          <t>SÄTER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46284</v>
      </c>
      <c r="F134" t="inlineStr">
        <is>
          <t>DALARNAS LÄN</t>
        </is>
      </c>
      <c r="G134" t="inlineStr">
        <is>
          <t>SÄTER</t>
        </is>
      </c>
      <c r="H134" t="inlineStr">
        <is>
          <t>Kommuner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46284</v>
      </c>
      <c r="F135" t="inlineStr">
        <is>
          <t>DALARNAS LÄN</t>
        </is>
      </c>
      <c r="G135" t="inlineStr">
        <is>
          <t>SÄTER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46284</v>
      </c>
      <c r="F136" t="inlineStr">
        <is>
          <t>DALARNAS LÄN</t>
        </is>
      </c>
      <c r="G136" t="inlineStr">
        <is>
          <t>SÄTER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46284</v>
      </c>
      <c r="F137" t="inlineStr">
        <is>
          <t>DALARNAS LÄN</t>
        </is>
      </c>
      <c r="G137" t="inlineStr">
        <is>
          <t>SÄTER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46284</v>
      </c>
      <c r="F138" t="inlineStr">
        <is>
          <t>DALARNAS LÄN</t>
        </is>
      </c>
      <c r="G138" t="inlineStr">
        <is>
          <t>SÄTER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46284</v>
      </c>
      <c r="F139" t="inlineStr">
        <is>
          <t>DALARNAS LÄN</t>
        </is>
      </c>
      <c r="G139" t="inlineStr">
        <is>
          <t>SÄTER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46284</v>
      </c>
      <c r="F140" t="inlineStr">
        <is>
          <t>DALARNAS LÄN</t>
        </is>
      </c>
      <c r="G140" t="inlineStr">
        <is>
          <t>SÄTER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46284</v>
      </c>
      <c r="F141" t="inlineStr">
        <is>
          <t>DALARNAS LÄN</t>
        </is>
      </c>
      <c r="G141" t="inlineStr">
        <is>
          <t>SÄTER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46284</v>
      </c>
      <c r="F142" t="inlineStr">
        <is>
          <t>DALARNAS LÄN</t>
        </is>
      </c>
      <c r="G142" t="inlineStr">
        <is>
          <t>SÄTER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45569</v>
      </c>
      <c r="E143" s="1" t="n">
        <v>46284</v>
      </c>
      <c r="F143" t="inlineStr">
        <is>
          <t>DALARNAS LÄN</t>
        </is>
      </c>
      <c r="G143" t="inlineStr">
        <is>
          <t>SÄTER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44732</v>
      </c>
      <c r="E144" s="1" t="n">
        <v>46284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46284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46284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41.4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44982</v>
      </c>
      <c r="E147" s="1" t="n">
        <v>46284</v>
      </c>
      <c r="F147" t="inlineStr">
        <is>
          <t>DALARNAS LÄN</t>
        </is>
      </c>
      <c r="G147" t="inlineStr">
        <is>
          <t>SÄTER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46284</v>
      </c>
      <c r="F148" t="inlineStr">
        <is>
          <t>DALARNAS LÄN</t>
        </is>
      </c>
      <c r="G148" t="inlineStr">
        <is>
          <t>SÄTER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46284</v>
      </c>
      <c r="F149" t="inlineStr">
        <is>
          <t>DALARNAS LÄN</t>
        </is>
      </c>
      <c r="G149" t="inlineStr">
        <is>
          <t>SÄTER</t>
        </is>
      </c>
      <c r="H149" t="inlineStr">
        <is>
          <t>Kommuner</t>
        </is>
      </c>
      <c r="I149" t="n">
        <v>42.6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46284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46284</v>
      </c>
      <c r="F151" t="inlineStr">
        <is>
          <t>DALARNAS LÄN</t>
        </is>
      </c>
      <c r="G151" t="inlineStr">
        <is>
          <t>SÄTER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46284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46284</v>
      </c>
      <c r="F153" t="inlineStr">
        <is>
          <t>DALARNAS LÄN</t>
        </is>
      </c>
      <c r="G153" t="inlineStr">
        <is>
          <t>SÄTER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  <c r="Z153">
        <f>HYPERLINK("https://klasma.github.io/Logging_2082/knärot/A 57416-2022 karta knärot.png", "A 57416-2022")</f>
        <v/>
      </c>
      <c r="AA153">
        <f>HYPERLINK("https://klasma.github.io/Logging_2082/klagomål/A 57416-2022 FSC-klagomål.docx", "A 57416-2022")</f>
        <v/>
      </c>
      <c r="AB153">
        <f>HYPERLINK("https://klasma.github.io/Logging_2082/klagomålsmail/A 57416-2022 FSC-klagomål mail.docx", "A 57416-2022")</f>
        <v/>
      </c>
      <c r="AC153">
        <f>HYPERLINK("https://klasma.github.io/Logging_2082/tillsyn/A 57416-2022 tillsynsbegäran.docx", "A 57416-2022")</f>
        <v/>
      </c>
      <c r="AD153">
        <f>HYPERLINK("https://klasma.github.io/Logging_2082/tillsynsmail/A 57416-2022 tillsynsbegäran mail.docx", "A 57416-2022")</f>
        <v/>
      </c>
    </row>
    <row r="154" ht="15" customHeight="1">
      <c r="A154" t="inlineStr">
        <is>
          <t>A 48507-2025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46284</v>
      </c>
      <c r="F154" t="inlineStr">
        <is>
          <t>DALARNAS LÄN</t>
        </is>
      </c>
      <c r="G154" t="inlineStr">
        <is>
          <t>SÄTER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46284</v>
      </c>
      <c r="F155" t="inlineStr">
        <is>
          <t>DALARNAS LÄN</t>
        </is>
      </c>
      <c r="G155" t="inlineStr">
        <is>
          <t>SÄTER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46284</v>
      </c>
      <c r="F156" t="inlineStr">
        <is>
          <t>DALARNAS LÄN</t>
        </is>
      </c>
      <c r="G156" t="inlineStr">
        <is>
          <t>SÄTER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46091</v>
      </c>
      <c r="E157" s="1" t="n">
        <v>46284</v>
      </c>
      <c r="F157" t="inlineStr">
        <is>
          <t>DALARNAS LÄN</t>
        </is>
      </c>
      <c r="G157" t="inlineStr">
        <is>
          <t>SÄTER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46284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46284</v>
      </c>
      <c r="F159" t="inlineStr">
        <is>
          <t>DALARNAS LÄN</t>
        </is>
      </c>
      <c r="G159" t="inlineStr">
        <is>
          <t>SÄTER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46284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46284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46284</v>
      </c>
      <c r="F162" t="inlineStr">
        <is>
          <t>DALARNAS LÄN</t>
        </is>
      </c>
      <c r="G162" t="inlineStr">
        <is>
          <t>SÄTER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46284</v>
      </c>
      <c r="F163" t="inlineStr">
        <is>
          <t>DALARNAS LÄN</t>
        </is>
      </c>
      <c r="G163" t="inlineStr">
        <is>
          <t>SÄTER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46284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46284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46284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46284</v>
      </c>
      <c r="F167" t="inlineStr">
        <is>
          <t>DALARNAS LÄN</t>
        </is>
      </c>
      <c r="G167" t="inlineStr">
        <is>
          <t>SÄTER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46284</v>
      </c>
      <c r="F168" t="inlineStr">
        <is>
          <t>DALARNAS LÄN</t>
        </is>
      </c>
      <c r="G168" t="inlineStr">
        <is>
          <t>SÄTER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46284</v>
      </c>
      <c r="F169" t="inlineStr">
        <is>
          <t>DALARNAS LÄN</t>
        </is>
      </c>
      <c r="G169" t="inlineStr">
        <is>
          <t>SÄTER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46284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46284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46284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46284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44869</v>
      </c>
      <c r="E174" s="1" t="n">
        <v>46284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46284</v>
      </c>
      <c r="F175" t="inlineStr">
        <is>
          <t>DALARNAS LÄN</t>
        </is>
      </c>
      <c r="G175" t="inlineStr">
        <is>
          <t>SÄTER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45321</v>
      </c>
      <c r="E176" s="1" t="n">
        <v>46284</v>
      </c>
      <c r="F176" t="inlineStr">
        <is>
          <t>DALARNAS LÄN</t>
        </is>
      </c>
      <c r="G176" t="inlineStr">
        <is>
          <t>SÄTER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46284</v>
      </c>
      <c r="F177" t="inlineStr">
        <is>
          <t>DALARNAS LÄN</t>
        </is>
      </c>
      <c r="G177" t="inlineStr">
        <is>
          <t>SÄTER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46284</v>
      </c>
      <c r="F178" t="inlineStr">
        <is>
          <t>DALARNAS LÄN</t>
        </is>
      </c>
      <c r="G178" t="inlineStr">
        <is>
          <t>SÄTER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46284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46284</v>
      </c>
      <c r="F180" t="inlineStr">
        <is>
          <t>DALARNAS LÄN</t>
        </is>
      </c>
      <c r="G180" t="inlineStr">
        <is>
          <t>SÄTER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51320-2024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45604</v>
      </c>
      <c r="E181" s="1" t="n">
        <v>46284</v>
      </c>
      <c r="F181" t="inlineStr">
        <is>
          <t>DALARNAS LÄN</t>
        </is>
      </c>
      <c r="G181" t="inlineStr">
        <is>
          <t>SÄTER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45604</v>
      </c>
      <c r="E182" s="1" t="n">
        <v>46284</v>
      </c>
      <c r="F182" t="inlineStr">
        <is>
          <t>DALARNAS LÄN</t>
        </is>
      </c>
      <c r="G182" t="inlineStr">
        <is>
          <t>SÄTER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46284</v>
      </c>
      <c r="F183" t="inlineStr">
        <is>
          <t>DALARNAS LÄN</t>
        </is>
      </c>
      <c r="G183" t="inlineStr">
        <is>
          <t>SÄTER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46284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46284</v>
      </c>
      <c r="F185" t="inlineStr">
        <is>
          <t>DALARNAS LÄN</t>
        </is>
      </c>
      <c r="G185" t="inlineStr">
        <is>
          <t>SÄTER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51323-2024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45604</v>
      </c>
      <c r="E186" s="1" t="n">
        <v>46284</v>
      </c>
      <c r="F186" t="inlineStr">
        <is>
          <t>DALARNAS LÄN</t>
        </is>
      </c>
      <c r="G186" t="inlineStr">
        <is>
          <t>SÄTER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46284</v>
      </c>
      <c r="F187" t="inlineStr">
        <is>
          <t>DALARNAS LÄN</t>
        </is>
      </c>
      <c r="G187" t="inlineStr">
        <is>
          <t>SÄTER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45527</v>
      </c>
      <c r="E188" s="1" t="n">
        <v>46284</v>
      </c>
      <c r="F188" t="inlineStr">
        <is>
          <t>DALARNAS LÄN</t>
        </is>
      </c>
      <c r="G188" t="inlineStr">
        <is>
          <t>SÄTER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46284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46284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46284</v>
      </c>
      <c r="F191" t="inlineStr">
        <is>
          <t>DALARNAS LÄN</t>
        </is>
      </c>
      <c r="G191" t="inlineStr">
        <is>
          <t>SÄTER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46284</v>
      </c>
      <c r="F192" t="inlineStr">
        <is>
          <t>DALARNAS LÄN</t>
        </is>
      </c>
      <c r="G192" t="inlineStr">
        <is>
          <t>SÄTER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46284</v>
      </c>
      <c r="F193" t="inlineStr">
        <is>
          <t>DALARNAS LÄN</t>
        </is>
      </c>
      <c r="G193" t="inlineStr">
        <is>
          <t>SÄTER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46284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46284</v>
      </c>
      <c r="F195" t="inlineStr">
        <is>
          <t>DALARNAS LÄN</t>
        </is>
      </c>
      <c r="G195" t="inlineStr">
        <is>
          <t>SÄTER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46284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46284</v>
      </c>
      <c r="F197" t="inlineStr">
        <is>
          <t>DALARNAS LÄN</t>
        </is>
      </c>
      <c r="G197" t="inlineStr">
        <is>
          <t>SÄTER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46284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46284</v>
      </c>
      <c r="F199" t="inlineStr">
        <is>
          <t>DALARNAS LÄN</t>
        </is>
      </c>
      <c r="G199" t="inlineStr">
        <is>
          <t>SÄTER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46087</v>
      </c>
      <c r="E200" s="1" t="n">
        <v>46284</v>
      </c>
      <c r="F200" t="inlineStr">
        <is>
          <t>DALARNAS LÄN</t>
        </is>
      </c>
      <c r="G200" t="inlineStr">
        <is>
          <t>SÄTER</t>
        </is>
      </c>
      <c r="H200" t="inlineStr">
        <is>
          <t>Kommuner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46284</v>
      </c>
      <c r="F201" t="inlineStr">
        <is>
          <t>DALARNAS LÄN</t>
        </is>
      </c>
      <c r="G201" t="inlineStr">
        <is>
          <t>SÄTER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46284</v>
      </c>
      <c r="F202" t="inlineStr">
        <is>
          <t>DALARNAS LÄN</t>
        </is>
      </c>
      <c r="G202" t="inlineStr">
        <is>
          <t>SÄTER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46284</v>
      </c>
      <c r="F203" t="inlineStr">
        <is>
          <t>DALARNAS LÄN</t>
        </is>
      </c>
      <c r="G203" t="inlineStr">
        <is>
          <t>SÄTER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46284</v>
      </c>
      <c r="F204" t="inlineStr">
        <is>
          <t>DALARNAS LÄN</t>
        </is>
      </c>
      <c r="G204" t="inlineStr">
        <is>
          <t>SÄTER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46284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46284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46284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46284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46284</v>
      </c>
      <c r="F209" t="inlineStr">
        <is>
          <t>DALARNAS LÄN</t>
        </is>
      </c>
      <c r="G209" t="inlineStr">
        <is>
          <t>SÄTER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46284</v>
      </c>
      <c r="F210" t="inlineStr">
        <is>
          <t>DALARNAS LÄN</t>
        </is>
      </c>
      <c r="G210" t="inlineStr">
        <is>
          <t>SÄTER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45576</v>
      </c>
      <c r="E211" s="1" t="n">
        <v>46284</v>
      </c>
      <c r="F211" t="inlineStr">
        <is>
          <t>DALARNAS LÄN</t>
        </is>
      </c>
      <c r="G211" t="inlineStr">
        <is>
          <t>SÄTER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46284</v>
      </c>
      <c r="F212" t="inlineStr">
        <is>
          <t>DALARNAS LÄN</t>
        </is>
      </c>
      <c r="G212" t="inlineStr">
        <is>
          <t>SÄTER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46284</v>
      </c>
      <c r="F213" t="inlineStr">
        <is>
          <t>DALARNAS LÄN</t>
        </is>
      </c>
      <c r="G213" t="inlineStr">
        <is>
          <t>SÄTER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46284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46284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46284</v>
      </c>
      <c r="F216" t="inlineStr">
        <is>
          <t>DALARNAS LÄN</t>
        </is>
      </c>
      <c r="G216" t="inlineStr">
        <is>
          <t>SÄTER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46284</v>
      </c>
      <c r="F217" t="inlineStr">
        <is>
          <t>DALARNAS LÄN</t>
        </is>
      </c>
      <c r="G217" t="inlineStr">
        <is>
          <t>SÄTER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46284</v>
      </c>
      <c r="F218" t="inlineStr">
        <is>
          <t>DALARNAS LÄN</t>
        </is>
      </c>
      <c r="G218" t="inlineStr">
        <is>
          <t>SÄTER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45427</v>
      </c>
      <c r="E219" s="1" t="n">
        <v>46284</v>
      </c>
      <c r="F219" t="inlineStr">
        <is>
          <t>DALARNAS LÄN</t>
        </is>
      </c>
      <c r="G219" t="inlineStr">
        <is>
          <t>SÄTER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46284</v>
      </c>
      <c r="F220" t="inlineStr">
        <is>
          <t>DALARNAS LÄN</t>
        </is>
      </c>
      <c r="G220" t="inlineStr">
        <is>
          <t>SÄTER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46284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46284</v>
      </c>
      <c r="F222" t="inlineStr">
        <is>
          <t>DALARNAS LÄN</t>
        </is>
      </c>
      <c r="G222" t="inlineStr">
        <is>
          <t>SÄTER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46284</v>
      </c>
      <c r="F223" t="inlineStr">
        <is>
          <t>DALARNAS LÄN</t>
        </is>
      </c>
      <c r="G223" t="inlineStr">
        <is>
          <t>SÄTER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46284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46026</v>
      </c>
      <c r="E225" s="1" t="n">
        <v>46284</v>
      </c>
      <c r="F225" t="inlineStr">
        <is>
          <t>DALARNAS LÄN</t>
        </is>
      </c>
      <c r="G225" t="inlineStr">
        <is>
          <t>SÄTER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46284</v>
      </c>
      <c r="F226" t="inlineStr">
        <is>
          <t>DALARNAS LÄN</t>
        </is>
      </c>
      <c r="G226" t="inlineStr">
        <is>
          <t>SÄTER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46030</v>
      </c>
      <c r="E227" s="1" t="n">
        <v>46284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46284</v>
      </c>
      <c r="F228" t="inlineStr">
        <is>
          <t>DALARNAS LÄN</t>
        </is>
      </c>
      <c r="G228" t="inlineStr">
        <is>
          <t>SÄTER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46284</v>
      </c>
      <c r="F229" t="inlineStr">
        <is>
          <t>DALARNAS LÄN</t>
        </is>
      </c>
      <c r="G229" t="inlineStr">
        <is>
          <t>SÄTER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46284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46284</v>
      </c>
      <c r="F231" t="inlineStr">
        <is>
          <t>DALARNAS LÄN</t>
        </is>
      </c>
      <c r="G231" t="inlineStr">
        <is>
          <t>SÄTER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46284</v>
      </c>
      <c r="F232" t="inlineStr">
        <is>
          <t>DALARNAS LÄN</t>
        </is>
      </c>
      <c r="G232" t="inlineStr">
        <is>
          <t>SÄTER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46284</v>
      </c>
      <c r="F233" t="inlineStr">
        <is>
          <t>DALARNAS LÄN</t>
        </is>
      </c>
      <c r="G233" t="inlineStr">
        <is>
          <t>SÄTER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46284</v>
      </c>
      <c r="F234" t="inlineStr">
        <is>
          <t>DALARNAS LÄN</t>
        </is>
      </c>
      <c r="G234" t="inlineStr">
        <is>
          <t>SÄTER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46284</v>
      </c>
      <c r="F235" t="inlineStr">
        <is>
          <t>DALARNAS LÄN</t>
        </is>
      </c>
      <c r="G235" t="inlineStr">
        <is>
          <t>SÄTER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46284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46284</v>
      </c>
      <c r="F237" t="inlineStr">
        <is>
          <t>DALARNAS LÄN</t>
        </is>
      </c>
      <c r="G237" t="inlineStr">
        <is>
          <t>SÄTER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52193-2021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46284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46284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46284</v>
      </c>
      <c r="F240" t="inlineStr">
        <is>
          <t>DALARNAS LÄN</t>
        </is>
      </c>
      <c r="G240" t="inlineStr">
        <is>
          <t>SÄTER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52220-2021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44462</v>
      </c>
      <c r="E241" s="1" t="n">
        <v>46284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46284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46284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46284</v>
      </c>
      <c r="F244" t="inlineStr">
        <is>
          <t>DALARNAS LÄN</t>
        </is>
      </c>
      <c r="G244" t="inlineStr">
        <is>
          <t>SÄTER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46284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46284</v>
      </c>
      <c r="F246" t="inlineStr">
        <is>
          <t>DALARNAS LÄN</t>
        </is>
      </c>
      <c r="G246" t="inlineStr">
        <is>
          <t>SÄTER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46284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46284</v>
      </c>
      <c r="F248" t="inlineStr">
        <is>
          <t>DALARNAS LÄN</t>
        </is>
      </c>
      <c r="G248" t="inlineStr">
        <is>
          <t>SÄTER</t>
        </is>
      </c>
      <c r="H248" t="inlineStr">
        <is>
          <t>Övriga statliga verk och myndigheter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46284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46284</v>
      </c>
      <c r="F250" t="inlineStr">
        <is>
          <t>DALARNAS LÄN</t>
        </is>
      </c>
      <c r="G250" t="inlineStr">
        <is>
          <t>SÄTER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44691</v>
      </c>
      <c r="E251" s="1" t="n">
        <v>46284</v>
      </c>
      <c r="F251" t="inlineStr">
        <is>
          <t>DALARNAS LÄN</t>
        </is>
      </c>
      <c r="G251" t="inlineStr">
        <is>
          <t>SÄTER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46284</v>
      </c>
      <c r="F252" t="inlineStr">
        <is>
          <t>DALARNAS LÄN</t>
        </is>
      </c>
      <c r="G252" t="inlineStr">
        <is>
          <t>SÄTER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46284</v>
      </c>
      <c r="F253" t="inlineStr">
        <is>
          <t>DALARNAS LÄN</t>
        </is>
      </c>
      <c r="G253" t="inlineStr">
        <is>
          <t>SÄTER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46284</v>
      </c>
      <c r="F254" t="inlineStr">
        <is>
          <t>DALARNAS LÄN</t>
        </is>
      </c>
      <c r="G254" t="inlineStr">
        <is>
          <t>SÄTER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46284</v>
      </c>
      <c r="F255" t="inlineStr">
        <is>
          <t>DALARNAS LÄN</t>
        </is>
      </c>
      <c r="G255" t="inlineStr">
        <is>
          <t>SÄTER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46284</v>
      </c>
      <c r="F256" t="inlineStr">
        <is>
          <t>DALARNAS LÄN</t>
        </is>
      </c>
      <c r="G256" t="inlineStr">
        <is>
          <t>SÄTER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46284</v>
      </c>
      <c r="F257" t="inlineStr">
        <is>
          <t>DALARNAS LÄN</t>
        </is>
      </c>
      <c r="G257" t="inlineStr">
        <is>
          <t>SÄTER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46284</v>
      </c>
      <c r="F258" t="inlineStr">
        <is>
          <t>DALARNAS LÄN</t>
        </is>
      </c>
      <c r="G258" t="inlineStr">
        <is>
          <t>SÄTER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69744-2021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44532</v>
      </c>
      <c r="E259" s="1" t="n">
        <v>46284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46284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46284</v>
      </c>
      <c r="F261" t="inlineStr">
        <is>
          <t>DALARNAS LÄN</t>
        </is>
      </c>
      <c r="G261" t="inlineStr">
        <is>
          <t>SÄTER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46284</v>
      </c>
      <c r="F262" t="inlineStr">
        <is>
          <t>DALARNAS LÄN</t>
        </is>
      </c>
      <c r="G262" t="inlineStr">
        <is>
          <t>SÄTER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46284</v>
      </c>
      <c r="F263" t="inlineStr">
        <is>
          <t>DALARNAS LÄN</t>
        </is>
      </c>
      <c r="G263" t="inlineStr">
        <is>
          <t>SÄTER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46284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46284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46284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46284</v>
      </c>
      <c r="F267" t="inlineStr">
        <is>
          <t>DALARNAS LÄN</t>
        </is>
      </c>
      <c r="G267" t="inlineStr">
        <is>
          <t>SÄTER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46284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46284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46284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46284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46284</v>
      </c>
      <c r="F272" t="inlineStr">
        <is>
          <t>DALARNAS LÄN</t>
        </is>
      </c>
      <c r="G272" t="inlineStr">
        <is>
          <t>SÄTER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46284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46284</v>
      </c>
      <c r="F274" t="inlineStr">
        <is>
          <t>DALARNAS LÄN</t>
        </is>
      </c>
      <c r="G274" t="inlineStr">
        <is>
          <t>SÄTER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46284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46284</v>
      </c>
      <c r="F276" t="inlineStr">
        <is>
          <t>DALARNAS LÄN</t>
        </is>
      </c>
      <c r="G276" t="inlineStr">
        <is>
          <t>SÄTER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46284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46284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46284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46284</v>
      </c>
      <c r="F280" t="inlineStr">
        <is>
          <t>DALARNAS LÄN</t>
        </is>
      </c>
      <c r="G280" t="inlineStr">
        <is>
          <t>SÄTER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46284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46284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46284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46284</v>
      </c>
      <c r="F284" t="inlineStr">
        <is>
          <t>DALARNAS LÄN</t>
        </is>
      </c>
      <c r="G284" t="inlineStr">
        <is>
          <t>SÄTER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46284</v>
      </c>
      <c r="F285" t="inlineStr">
        <is>
          <t>DALARNAS LÄN</t>
        </is>
      </c>
      <c r="G285" t="inlineStr">
        <is>
          <t>SÄTER</t>
        </is>
      </c>
      <c r="H285" t="inlineStr">
        <is>
          <t>Sveaskog</t>
        </is>
      </c>
      <c r="I285" t="n">
        <v>19.8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45546</v>
      </c>
      <c r="E286" s="1" t="n">
        <v>46284</v>
      </c>
      <c r="F286" t="inlineStr">
        <is>
          <t>DALARNAS LÄN</t>
        </is>
      </c>
      <c r="G286" t="inlineStr">
        <is>
          <t>SÄTER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46284</v>
      </c>
      <c r="F287" t="inlineStr">
        <is>
          <t>DALARNAS LÄN</t>
        </is>
      </c>
      <c r="G287" t="inlineStr">
        <is>
          <t>SÄTER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46284</v>
      </c>
      <c r="F288" t="inlineStr">
        <is>
          <t>DALARNAS LÄN</t>
        </is>
      </c>
      <c r="G288" t="inlineStr">
        <is>
          <t>SÄTER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44784</v>
      </c>
      <c r="E289" s="1" t="n">
        <v>46284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46284</v>
      </c>
      <c r="F290" t="inlineStr">
        <is>
          <t>DALARNAS LÄN</t>
        </is>
      </c>
      <c r="G290" t="inlineStr">
        <is>
          <t>SÄTER</t>
        </is>
      </c>
      <c r="H290" t="inlineStr">
        <is>
          <t>Kommuner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46284</v>
      </c>
      <c r="F291" t="inlineStr">
        <is>
          <t>DALARNAS LÄN</t>
        </is>
      </c>
      <c r="G291" t="inlineStr">
        <is>
          <t>SÄTER</t>
        </is>
      </c>
      <c r="I291" t="n">
        <v>15.2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46284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45247</v>
      </c>
      <c r="E293" s="1" t="n">
        <v>46284</v>
      </c>
      <c r="F293" t="inlineStr">
        <is>
          <t>DALARNAS LÄN</t>
        </is>
      </c>
      <c r="G293" t="inlineStr">
        <is>
          <t>SÄTER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46284</v>
      </c>
      <c r="F294" t="inlineStr">
        <is>
          <t>DALARNAS LÄN</t>
        </is>
      </c>
      <c r="G294" t="inlineStr">
        <is>
          <t>SÄTER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46092</v>
      </c>
      <c r="E295" s="1" t="n">
        <v>46284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46284</v>
      </c>
      <c r="F296" t="inlineStr">
        <is>
          <t>DALARNAS LÄN</t>
        </is>
      </c>
      <c r="G296" t="inlineStr">
        <is>
          <t>SÄTER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46204</v>
      </c>
      <c r="E297" s="1" t="n">
        <v>46284</v>
      </c>
      <c r="F297" t="inlineStr">
        <is>
          <t>DALARNAS LÄN</t>
        </is>
      </c>
      <c r="G297" t="inlineStr">
        <is>
          <t>SÄTER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46284</v>
      </c>
      <c r="F298" t="inlineStr">
        <is>
          <t>DALARNAS LÄN</t>
        </is>
      </c>
      <c r="G298" t="inlineStr">
        <is>
          <t>SÄTER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46284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46284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51333-2024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45604</v>
      </c>
      <c r="E301" s="1" t="n">
        <v>46284</v>
      </c>
      <c r="F301" t="inlineStr">
        <is>
          <t>DALARNAS LÄN</t>
        </is>
      </c>
      <c r="G301" t="inlineStr">
        <is>
          <t>SÄTER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46284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44784</v>
      </c>
      <c r="E303" s="1" t="n">
        <v>46284</v>
      </c>
      <c r="F303" t="inlineStr">
        <is>
          <t>DALARNAS LÄN</t>
        </is>
      </c>
      <c r="G303" t="inlineStr">
        <is>
          <t>SÄTER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46284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46284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44811</v>
      </c>
      <c r="E306" s="1" t="n">
        <v>46284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46284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45411</v>
      </c>
      <c r="E308" s="1" t="n">
        <v>46284</v>
      </c>
      <c r="F308" t="inlineStr">
        <is>
          <t>DALARNAS LÄN</t>
        </is>
      </c>
      <c r="G308" t="inlineStr">
        <is>
          <t>SÄTER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46284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46284</v>
      </c>
      <c r="F310" t="inlineStr">
        <is>
          <t>DALARNAS LÄN</t>
        </is>
      </c>
      <c r="G310" t="inlineStr">
        <is>
          <t>SÄTER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45442</v>
      </c>
      <c r="E311" s="1" t="n">
        <v>46284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44643</v>
      </c>
      <c r="E312" s="1" t="n">
        <v>46284</v>
      </c>
      <c r="F312" t="inlineStr">
        <is>
          <t>DALARNAS LÄN</t>
        </is>
      </c>
      <c r="G312" t="inlineStr">
        <is>
          <t>SÄTER</t>
        </is>
      </c>
      <c r="I312" t="n">
        <v>8.1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46284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45628</v>
      </c>
      <c r="E314" s="1" t="n">
        <v>46284</v>
      </c>
      <c r="F314" t="inlineStr">
        <is>
          <t>DALARNAS LÄN</t>
        </is>
      </c>
      <c r="G314" t="inlineStr">
        <is>
          <t>SÄTER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54312-2023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45232</v>
      </c>
      <c r="E315" s="1" t="n">
        <v>46284</v>
      </c>
      <c r="F315" t="inlineStr">
        <is>
          <t>DALARNAS LÄN</t>
        </is>
      </c>
      <c r="G315" t="inlineStr">
        <is>
          <t>SÄTER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44953</v>
      </c>
      <c r="E316" s="1" t="n">
        <v>46284</v>
      </c>
      <c r="F316" t="inlineStr">
        <is>
          <t>DALARNAS LÄN</t>
        </is>
      </c>
      <c r="G316" t="inlineStr">
        <is>
          <t>SÄTER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46284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46284</v>
      </c>
      <c r="F318" t="inlineStr">
        <is>
          <t>DALARNAS LÄN</t>
        </is>
      </c>
      <c r="G318" t="inlineStr">
        <is>
          <t>SÄTER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42998-2023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45182</v>
      </c>
      <c r="E319" s="1" t="n">
        <v>46284</v>
      </c>
      <c r="F319" t="inlineStr">
        <is>
          <t>DALARNAS LÄN</t>
        </is>
      </c>
      <c r="G319" t="inlineStr">
        <is>
          <t>SÄTER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46261</v>
      </c>
      <c r="E320" s="1" t="n">
        <v>46284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46284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35564-2026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46262</v>
      </c>
      <c r="E322" s="1" t="n">
        <v>46284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46284</v>
      </c>
      <c r="F323" t="inlineStr">
        <is>
          <t>DALARNAS LÄN</t>
        </is>
      </c>
      <c r="G323" t="inlineStr">
        <is>
          <t>SÄTER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46284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37440-2022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44809</v>
      </c>
      <c r="E325" s="1" t="n">
        <v>46284</v>
      </c>
      <c r="F325" t="inlineStr">
        <is>
          <t>DALARNAS LÄN</t>
        </is>
      </c>
      <c r="G325" t="inlineStr">
        <is>
          <t>SÄTER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44788</v>
      </c>
      <c r="E326" s="1" t="n">
        <v>46284</v>
      </c>
      <c r="F326" t="inlineStr">
        <is>
          <t>DALARNAS LÄN</t>
        </is>
      </c>
      <c r="G326" t="inlineStr">
        <is>
          <t>SÄTER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28549-2022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44748</v>
      </c>
      <c r="E327" s="1" t="n">
        <v>46284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46284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46284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46284</v>
      </c>
      <c r="F330" t="inlineStr">
        <is>
          <t>DALARNAS LÄN</t>
        </is>
      </c>
      <c r="G330" t="inlineStr">
        <is>
          <t>SÄTER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36969-2026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46273</v>
      </c>
      <c r="E331" s="1" t="n">
        <v>46284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46275</v>
      </c>
      <c r="E332" s="1" t="n">
        <v>46284</v>
      </c>
      <c r="F332" t="inlineStr">
        <is>
          <t>DALARNAS LÄN</t>
        </is>
      </c>
      <c r="G332" t="inlineStr">
        <is>
          <t>SÄTER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46234</v>
      </c>
      <c r="E333" s="1" t="n">
        <v>46284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46284</v>
      </c>
      <c r="F334" t="inlineStr">
        <is>
          <t>DALARNAS LÄN</t>
        </is>
      </c>
      <c r="G334" t="inlineStr">
        <is>
          <t>SÄTER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46275</v>
      </c>
      <c r="E335" s="1" t="n">
        <v>46284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46284</v>
      </c>
      <c r="F336" t="inlineStr">
        <is>
          <t>DALARNAS LÄN</t>
        </is>
      </c>
      <c r="G336" t="inlineStr">
        <is>
          <t>SÄTER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46284</v>
      </c>
      <c r="F337" t="inlineStr">
        <is>
          <t>DALARNAS LÄN</t>
        </is>
      </c>
      <c r="G337" t="inlineStr">
        <is>
          <t>SÄTER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45790</v>
      </c>
      <c r="E338" s="1" t="n">
        <v>46284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46283</v>
      </c>
      <c r="E339" s="1" t="n">
        <v>46284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46284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46284</v>
      </c>
      <c r="F341" t="inlineStr">
        <is>
          <t>DALARNAS LÄN</t>
        </is>
      </c>
      <c r="G341" t="inlineStr">
        <is>
          <t>SÄTER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46284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46284</v>
      </c>
      <c r="F343" t="inlineStr">
        <is>
          <t>DALARNAS LÄN</t>
        </is>
      </c>
      <c r="G343" t="inlineStr">
        <is>
          <t>SÄTER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46284</v>
      </c>
      <c r="F344" t="inlineStr">
        <is>
          <t>DALARNAS LÄN</t>
        </is>
      </c>
      <c r="G344" t="inlineStr">
        <is>
          <t>SÄTER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46284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46284</v>
      </c>
      <c r="F346" t="inlineStr">
        <is>
          <t>DALARNAS LÄN</t>
        </is>
      </c>
      <c r="G346" t="inlineStr">
        <is>
          <t>SÄTER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45804</v>
      </c>
      <c r="E347" s="1" t="n">
        <v>46284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46284</v>
      </c>
      <c r="F348" t="inlineStr">
        <is>
          <t>DALARNAS LÄN</t>
        </is>
      </c>
      <c r="G348" t="inlineStr">
        <is>
          <t>SÄTER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46284</v>
      </c>
      <c r="F349" t="inlineStr">
        <is>
          <t>DALARNAS LÄN</t>
        </is>
      </c>
      <c r="G349" t="inlineStr">
        <is>
          <t>SÄTER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45552</v>
      </c>
      <c r="E350" s="1" t="n">
        <v>46284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44784</v>
      </c>
      <c r="E351" s="1" t="n">
        <v>46284</v>
      </c>
      <c r="F351" t="inlineStr">
        <is>
          <t>DALARNAS LÄN</t>
        </is>
      </c>
      <c r="G351" t="inlineStr">
        <is>
          <t>SÄTER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46284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46284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46284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46284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46284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46284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46284</v>
      </c>
      <c r="F358" t="inlineStr">
        <is>
          <t>DALARNAS LÄN</t>
        </is>
      </c>
      <c r="G358" t="inlineStr">
        <is>
          <t>SÄTER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46284</v>
      </c>
      <c r="F359" t="inlineStr">
        <is>
          <t>DALARNAS LÄN</t>
        </is>
      </c>
      <c r="G359" t="inlineStr">
        <is>
          <t>SÄTER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46284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46284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46284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46284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46284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46284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46284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46284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46284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2026-09-19T01:59:59Z</dcterms:created>
  <dcterms:modified xmlns:dcterms="http://purl.org/dc/terms/" xmlns:xsi="http://www.w3.org/2001/XMLSchema-instance" xsi:type="dcterms:W3CDTF">2026-09-19T02:00:00Z</dcterms:modified>
</cp:coreProperties>
</file>