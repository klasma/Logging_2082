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46311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46311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46311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46311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46311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46311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46311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46311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46311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46311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46311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46311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46311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46311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46311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A 64610-2023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45281</v>
      </c>
      <c r="E19" s="1" t="n">
        <v>46311</v>
      </c>
      <c r="F19" t="inlineStr">
        <is>
          <t>DALARNAS LÄN</t>
        </is>
      </c>
      <c r="G19" t="inlineStr">
        <is>
          <t>SÄTER</t>
        </is>
      </c>
      <c r="I19" t="n">
        <v>0.9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13</v>
      </c>
      <c r="U19" t="n">
        <v>13</v>
      </c>
      <c r="V19" s="2" t="inlineStr">
        <is>
          <t>Tvåblad
Brudborste
Fläcknycklar</t>
        </is>
      </c>
      <c r="W19">
        <f>HYPERLINK("https://klasma.github.io/Logging_2082/artfynd/A 64610-2023 artfynd.xlsx", "A 64610-2023")</f>
        <v/>
      </c>
      <c r="X19">
        <f>HYPERLINK("https://klasma.github.io/Logging_2082/kartor/A 64610-2023 karta.png", "A 64610-2023")</f>
        <v/>
      </c>
      <c r="Y19">
        <f>HYPERLINK("https://klasma.github.io/Logging_2082/kartor_geotiff/A 64610-2023 georefererad karta.tif", "A 64610-2023")</f>
        <v/>
      </c>
      <c r="AA19">
        <f>HYPERLINK("https://klasma.github.io/Logging_2082/klagomål/A 64610-2023 FSC-klagomål.docx", "A 64610-2023")</f>
        <v/>
      </c>
      <c r="AB19">
        <f>HYPERLINK("https://klasma.github.io/Logging_2082/klagomålsmail/A 64610-2023 FSC-klagomål mail.docx", "A 64610-2023")</f>
        <v/>
      </c>
      <c r="AC19">
        <f>HYPERLINK("https://klasma.github.io/Logging_2082/tillsyn/A 64610-2023 tillsynsbegäran.docx", "A 64610-2023")</f>
        <v/>
      </c>
      <c r="AD19">
        <f>HYPERLINK("https://klasma.github.io/Logging_2082/tillsynsmail/A 64610-2023 tillsynsbegäran mail.docx", "A 64610-2023")</f>
        <v/>
      </c>
    </row>
    <row r="20" ht="15" customHeight="1">
      <c r="A20" t="inlineStr">
        <is>
          <t>A 21382-2025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45781</v>
      </c>
      <c r="E20" s="1" t="n">
        <v>46311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37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Brudsporre
Revlummer
Äkta lopplummer</t>
        </is>
      </c>
      <c r="W20">
        <f>HYPERLINK("https://klasma.github.io/Logging_2082/artfynd/A 21382-2025 artfynd.xlsx", "A 21382-2025")</f>
        <v/>
      </c>
      <c r="X20">
        <f>HYPERLINK("https://klasma.github.io/Logging_2082/kartor/A 21382-2025 karta.png", "A 21382-2025")</f>
        <v/>
      </c>
      <c r="Y20">
        <f>HYPERLINK("https://klasma.github.io/Logging_2082/kartor_geotiff/A 21382-2025 georefererad karta.tif", "A 21382-2025")</f>
        <v/>
      </c>
      <c r="AA20">
        <f>HYPERLINK("https://klasma.github.io/Logging_2082/klagomål/A 21382-2025 FSC-klagomål.docx", "A 21382-2025")</f>
        <v/>
      </c>
      <c r="AB20">
        <f>HYPERLINK("https://klasma.github.io/Logging_2082/klagomålsmail/A 21382-2025 FSC-klagomål mail.docx", "A 21382-2025")</f>
        <v/>
      </c>
      <c r="AC20">
        <f>HYPERLINK("https://klasma.github.io/Logging_2082/tillsyn/A 21382-2025 tillsynsbegäran.docx", "A 21382-2025")</f>
        <v/>
      </c>
      <c r="AD20">
        <f>HYPERLINK("https://klasma.github.io/Logging_2082/tillsynsmail/A 21382-2025 tillsynsbegäran mail.docx", "A 21382-2025")</f>
        <v/>
      </c>
    </row>
    <row r="21" ht="15" customHeight="1">
      <c r="A21" t="inlineStr">
        <is>
          <t>A 27374-2022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44742</v>
      </c>
      <c r="E21" s="1" t="n">
        <v>46311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4.3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13</v>
      </c>
      <c r="U21" t="n">
        <v>0</v>
      </c>
      <c r="V21" s="2" t="inlineStr">
        <is>
          <t>Garnlav
Knärot
Nästrot</t>
        </is>
      </c>
      <c r="W21">
        <f>HYPERLINK("https://klasma.github.io/Logging_2082/artfynd/A 27374-2022 artfynd.xlsx", "A 27374-2022")</f>
        <v/>
      </c>
      <c r="X21">
        <f>HYPERLINK("https://klasma.github.io/Logging_2082/kartor/A 27374-2022 karta.png", "A 27374-2022")</f>
        <v/>
      </c>
      <c r="Y21">
        <f>HYPERLINK("https://klasma.github.io/Logging_2082/kartor_geotiff/A 27374-2022 georefererad karta.tif", "A 27374-2022")</f>
        <v/>
      </c>
      <c r="Z21">
        <f>HYPERLINK("https://klasma.github.io/Logging_2082/knärot/A 27374-2022 karta knärot.png", "A 27374-2022")</f>
        <v/>
      </c>
      <c r="AA21">
        <f>HYPERLINK("https://klasma.github.io/Logging_2082/klagomål/A 27374-2022 FSC-klagomål.docx", "A 27374-2022")</f>
        <v/>
      </c>
      <c r="AB21">
        <f>HYPERLINK("https://klasma.github.io/Logging_2082/klagomålsmail/A 27374-2022 FSC-klagomål mail.docx", "A 27374-2022")</f>
        <v/>
      </c>
      <c r="AC21">
        <f>HYPERLINK("https://klasma.github.io/Logging_2082/tillsyn/A 27374-2022 tillsynsbegäran.docx", "A 27374-2022")</f>
        <v/>
      </c>
      <c r="AD21">
        <f>HYPERLINK("https://klasma.github.io/Logging_2082/tillsynsmail/A 27374-2022 tillsynsbegäran mail.docx", "A 27374-2022")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46311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46311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46311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46311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46311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46311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A 49656-2025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46311</v>
      </c>
      <c r="F28" t="inlineStr">
        <is>
          <t>DALARNAS LÄN</t>
        </is>
      </c>
      <c r="G28" t="inlineStr">
        <is>
          <t>SÄTER</t>
        </is>
      </c>
      <c r="I28" t="n">
        <v>0.6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Motaggsvamp</t>
        </is>
      </c>
      <c r="W28">
        <f>HYPERLINK("https://klasma.github.io/Logging_2082/artfynd/A 49656-2025 artfynd.xlsx", "A 49656-2025")</f>
        <v/>
      </c>
      <c r="X28">
        <f>HYPERLINK("https://klasma.github.io/Logging_2082/kartor/A 49656-2025 karta.png", "A 49656-2025")</f>
        <v/>
      </c>
      <c r="Y28">
        <f>HYPERLINK("https://klasma.github.io/Logging_2082/kartor_geotiff/A 49656-2025 georefererad karta.tif", "A 49656-2025")</f>
        <v/>
      </c>
      <c r="Z28">
        <f>HYPERLINK("https://klasma.github.io/Logging_2082/knärot/A 49656-2025 karta knärot.png", "A 49656-2025")</f>
        <v/>
      </c>
      <c r="AA28">
        <f>HYPERLINK("https://klasma.github.io/Logging_2082/klagomål/A 49656-2025 FSC-klagomål.docx", "A 49656-2025")</f>
        <v/>
      </c>
      <c r="AB28">
        <f>HYPERLINK("https://klasma.github.io/Logging_2082/klagomålsmail/A 49656-2025 FSC-klagomål mail.docx", "A 49656-2025")</f>
        <v/>
      </c>
      <c r="AC28">
        <f>HYPERLINK("https://klasma.github.io/Logging_2082/tillsyn/A 49656-2025 tillsynsbegäran.docx", "A 49656-2025")</f>
        <v/>
      </c>
      <c r="AD28">
        <f>HYPERLINK("https://klasma.github.io/Logging_2082/tillsynsmail/A 49656-2025 tillsynsbegäran mail.docx", "A 49656-2025")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46311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9682-2025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46311</v>
      </c>
      <c r="F30" t="inlineStr">
        <is>
          <t>DALARNAS LÄN</t>
        </is>
      </c>
      <c r="G30" t="inlineStr">
        <is>
          <t>SÄTER</t>
        </is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Ögonpyrola</t>
        </is>
      </c>
      <c r="W30">
        <f>HYPERLINK("https://klasma.github.io/Logging_2082/artfynd/A 9682-2025 artfynd.xlsx", "A 9682-2025")</f>
        <v/>
      </c>
      <c r="X30">
        <f>HYPERLINK("https://klasma.github.io/Logging_2082/kartor/A 9682-2025 karta.png", "A 9682-2025")</f>
        <v/>
      </c>
      <c r="Y30">
        <f>HYPERLINK("https://klasma.github.io/Logging_2082/kartor_geotiff/A 9682-2025 georefererad karta.tif", "A 9682-2025")</f>
        <v/>
      </c>
      <c r="AA30">
        <f>HYPERLINK("https://klasma.github.io/Logging_2082/klagomål/A 9682-2025 FSC-klagomål.docx", "A 9682-2025")</f>
        <v/>
      </c>
      <c r="AB30">
        <f>HYPERLINK("https://klasma.github.io/Logging_2082/klagomålsmail/A 9682-2025 FSC-klagomål mail.docx", "A 9682-2025")</f>
        <v/>
      </c>
      <c r="AC30">
        <f>HYPERLINK("https://klasma.github.io/Logging_2082/tillsyn/A 9682-2025 tillsynsbegäran.docx", "A 9682-2025")</f>
        <v/>
      </c>
      <c r="AD30">
        <f>HYPERLINK("https://klasma.github.io/Logging_2082/tillsynsmail/A 9682-2025 tillsynsbegäran mail.docx", "A 9682-2025")</f>
        <v/>
      </c>
    </row>
    <row r="31" ht="15" customHeight="1">
      <c r="A31" t="inlineStr">
        <is>
          <t>A 33605-2022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46311</v>
      </c>
      <c r="F31" t="inlineStr">
        <is>
          <t>DALARNAS LÄN</t>
        </is>
      </c>
      <c r="G31" t="inlineStr">
        <is>
          <t>SÄTER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HYPERLINK("https://klasma.github.io/Logging_2082/artfynd/A 33605-2022 artfynd.xlsx", "A 33605-2022")</f>
        <v/>
      </c>
      <c r="X31">
        <f>HYPERLINK("https://klasma.github.io/Logging_2082/kartor/A 33605-2022 karta.png", "A 33605-2022")</f>
        <v/>
      </c>
      <c r="Y31">
        <f>HYPERLINK("https://klasma.github.io/Logging_2082/kartor_geotiff/A 33605-2022 georefererad karta.tif", "A 33605-2022")</f>
        <v/>
      </c>
      <c r="AA31">
        <f>HYPERLINK("https://klasma.github.io/Logging_2082/klagomål/A 33605-2022 FSC-klagomål.docx", "A 33605-2022")</f>
        <v/>
      </c>
      <c r="AB31">
        <f>HYPERLINK("https://klasma.github.io/Logging_2082/klagomålsmail/A 33605-2022 FSC-klagomål mail.docx", "A 33605-2022")</f>
        <v/>
      </c>
      <c r="AC31">
        <f>HYPERLINK("https://klasma.github.io/Logging_2082/tillsyn/A 33605-2022 tillsynsbegäran.docx", "A 33605-2022")</f>
        <v/>
      </c>
      <c r="AD31">
        <f>HYPERLINK("https://klasma.github.io/Logging_2082/tillsynsmail/A 33605-2022 tillsynsbegäran mail.docx", "A 33605-2022")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46311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57427-2022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46311</v>
      </c>
      <c r="F33" t="inlineStr">
        <is>
          <t>DALARNAS LÄN</t>
        </is>
      </c>
      <c r="G33" t="inlineStr">
        <is>
          <t>SÄTER</t>
        </is>
      </c>
      <c r="I33" t="n">
        <v>3.3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HYPERLINK("https://klasma.github.io/Logging_2082/artfynd/A 57427-2022 artfynd.xlsx", "A 57427-2022")</f>
        <v/>
      </c>
      <c r="X33">
        <f>HYPERLINK("https://klasma.github.io/Logging_2082/kartor/A 57427-2022 karta.png", "A 57427-2022")</f>
        <v/>
      </c>
      <c r="Y33">
        <f>HYPERLINK("https://klasma.github.io/Logging_2082/kartor_geotiff/A 57427-2022 georefererad karta.tif", "A 57427-2022")</f>
        <v/>
      </c>
      <c r="AA33">
        <f>HYPERLINK("https://klasma.github.io/Logging_2082/klagomål/A 57427-2022 FSC-klagomål.docx", "A 57427-2022")</f>
        <v/>
      </c>
      <c r="AB33">
        <f>HYPERLINK("https://klasma.github.io/Logging_2082/klagomålsmail/A 57427-2022 FSC-klagomål mail.docx", "A 57427-2022")</f>
        <v/>
      </c>
      <c r="AC33">
        <f>HYPERLINK("https://klasma.github.io/Logging_2082/tillsyn/A 57427-2022 tillsynsbegäran.docx", "A 57427-2022")</f>
        <v/>
      </c>
      <c r="AD33">
        <f>HYPERLINK("https://klasma.github.io/Logging_2082/tillsynsmail/A 57427-2022 tillsynsbegäran mail.docx", "A 57427-2022")</f>
        <v/>
      </c>
    </row>
    <row r="34" ht="15" customHeight="1">
      <c r="A34" t="inlineStr">
        <is>
          <t>A 34938-2025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46311</v>
      </c>
      <c r="F34" t="inlineStr">
        <is>
          <t>DALARNAS LÄN</t>
        </is>
      </c>
      <c r="G34" t="inlineStr">
        <is>
          <t>SÄTER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HYPERLINK("https://klasma.github.io/Logging_2082/artfynd/A 34938-2025 artfynd.xlsx", "A 34938-2025")</f>
        <v/>
      </c>
      <c r="X34">
        <f>HYPERLINK("https://klasma.github.io/Logging_2082/kartor/A 34938-2025 karta.png", "A 34938-2025")</f>
        <v/>
      </c>
      <c r="Y34">
        <f>HYPERLINK("https://klasma.github.io/Logging_2082/kartor_geotiff/A 34938-2025 georefererad karta.tif", "A 34938-2025")</f>
        <v/>
      </c>
      <c r="AA34">
        <f>HYPERLINK("https://klasma.github.io/Logging_2082/klagomål/A 34938-2025 FSC-klagomål.docx", "A 34938-2025")</f>
        <v/>
      </c>
      <c r="AB34">
        <f>HYPERLINK("https://klasma.github.io/Logging_2082/klagomålsmail/A 34938-2025 FSC-klagomål mail.docx", "A 34938-2025")</f>
        <v/>
      </c>
      <c r="AC34">
        <f>HYPERLINK("https://klasma.github.io/Logging_2082/tillsyn/A 34938-2025 tillsynsbegäran.docx", "A 34938-2025")</f>
        <v/>
      </c>
      <c r="AD34">
        <f>HYPERLINK("https://klasma.github.io/Logging_2082/tillsynsmail/A 34938-2025 tillsynsbegäran mail.docx", "A 34938-2025")</f>
        <v/>
      </c>
    </row>
    <row r="35" ht="15" customHeight="1">
      <c r="A35" t="inlineStr">
        <is>
          <t>A 35221-2025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45853</v>
      </c>
      <c r="E35" s="1" t="n">
        <v>46311</v>
      </c>
      <c r="F35" t="inlineStr">
        <is>
          <t>DALARNAS LÄN</t>
        </is>
      </c>
      <c r="G35" t="inlineStr">
        <is>
          <t>SÄTER</t>
        </is>
      </c>
      <c r="I35" t="n">
        <v>9.5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Vedskivlav</t>
        </is>
      </c>
      <c r="W35">
        <f>HYPERLINK("https://klasma.github.io/Logging_2082/artfynd/A 35221-2025 artfynd.xlsx", "A 35221-2025")</f>
        <v/>
      </c>
      <c r="X35">
        <f>HYPERLINK("https://klasma.github.io/Logging_2082/kartor/A 35221-2025 karta.png", "A 35221-2025")</f>
        <v/>
      </c>
      <c r="Y35">
        <f>HYPERLINK("https://klasma.github.io/Logging_2082/kartor_geotiff/A 35221-2025 georefererad karta.tif", "A 35221-2025")</f>
        <v/>
      </c>
      <c r="AA35">
        <f>HYPERLINK("https://klasma.github.io/Logging_2082/klagomål/A 35221-2025 FSC-klagomål.docx", "A 35221-2025")</f>
        <v/>
      </c>
      <c r="AB35">
        <f>HYPERLINK("https://klasma.github.io/Logging_2082/klagomålsmail/A 35221-2025 FSC-klagomål mail.docx", "A 35221-2025")</f>
        <v/>
      </c>
      <c r="AC35">
        <f>HYPERLINK("https://klasma.github.io/Logging_2082/tillsyn/A 35221-2025 tillsynsbegäran.docx", "A 35221-2025")</f>
        <v/>
      </c>
      <c r="AD35">
        <f>HYPERLINK("https://klasma.github.io/Logging_2082/tillsynsmail/A 35221-2025 tillsynsbegäran mail.docx", "A 35221-2025")</f>
        <v/>
      </c>
    </row>
    <row r="36" ht="15" customHeight="1">
      <c r="A36" t="inlineStr">
        <is>
          <t>A 44992-2024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45575</v>
      </c>
      <c r="E36" s="1" t="n">
        <v>46311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HYPERLINK("https://klasma.github.io/Logging_2082/artfynd/A 44992-2024 artfynd.xlsx", "A 44992-2024")</f>
        <v/>
      </c>
      <c r="X36">
        <f>HYPERLINK("https://klasma.github.io/Logging_2082/kartor/A 44992-2024 karta.png", "A 44992-2024")</f>
        <v/>
      </c>
      <c r="Y36">
        <f>HYPERLINK("https://klasma.github.io/Logging_2082/kartor_geotiff/A 44992-2024 georefererad karta.tif", "A 44992-2024")</f>
        <v/>
      </c>
      <c r="AA36">
        <f>HYPERLINK("https://klasma.github.io/Logging_2082/klagomål/A 44992-2024 FSC-klagomål.docx", "A 44992-2024")</f>
        <v/>
      </c>
      <c r="AB36">
        <f>HYPERLINK("https://klasma.github.io/Logging_2082/klagomålsmail/A 44992-2024 FSC-klagomål mail.docx", "A 44992-2024")</f>
        <v/>
      </c>
      <c r="AC36">
        <f>HYPERLINK("https://klasma.github.io/Logging_2082/tillsyn/A 44992-2024 tillsynsbegäran.docx", "A 44992-2024")</f>
        <v/>
      </c>
      <c r="AD36">
        <f>HYPERLINK("https://klasma.github.io/Logging_2082/tillsynsmail/A 44992-2024 tillsynsbegäran mail.docx", "A 44992-2024")</f>
        <v/>
      </c>
    </row>
    <row r="37" ht="15" customHeight="1">
      <c r="A37" t="inlineStr">
        <is>
          <t>A 5232-2022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44594</v>
      </c>
      <c r="E37" s="1" t="n">
        <v>46311</v>
      </c>
      <c r="F37" t="inlineStr">
        <is>
          <t>DALARNAS LÄN</t>
        </is>
      </c>
      <c r="G37" t="inlineStr">
        <is>
          <t>SÄTER</t>
        </is>
      </c>
      <c r="I37" t="n">
        <v>2.5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Tvåblad</t>
        </is>
      </c>
      <c r="W37">
        <f>HYPERLINK("https://klasma.github.io/Logging_2082/artfynd/A 5232-2022 artfynd.xlsx", "A 5232-2022")</f>
        <v/>
      </c>
      <c r="X37">
        <f>HYPERLINK("https://klasma.github.io/Logging_2082/kartor/A 5232-2022 karta.png", "A 5232-2022")</f>
        <v/>
      </c>
      <c r="Y37">
        <f>HYPERLINK("https://klasma.github.io/Logging_2082/kartor_geotiff/A 5232-2022 georefererad karta.tif", "A 5232-2022")</f>
        <v/>
      </c>
      <c r="AA37">
        <f>HYPERLINK("https://klasma.github.io/Logging_2082/klagomål/A 5232-2022 FSC-klagomål.docx", "A 5232-2022")</f>
        <v/>
      </c>
      <c r="AB37">
        <f>HYPERLINK("https://klasma.github.io/Logging_2082/klagomålsmail/A 5232-2022 FSC-klagomål mail.docx", "A 5232-2022")</f>
        <v/>
      </c>
      <c r="AC37">
        <f>HYPERLINK("https://klasma.github.io/Logging_2082/tillsyn/A 5232-2022 tillsynsbegäran.docx", "A 5232-2022")</f>
        <v/>
      </c>
      <c r="AD37">
        <f>HYPERLINK("https://klasma.github.io/Logging_2082/tillsynsmail/A 5232-2022 tillsynsbegäran mail.docx", "A 5232-2022")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46311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21120-2026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46311</v>
      </c>
      <c r="F39" t="inlineStr">
        <is>
          <t>DALARNAS LÄN</t>
        </is>
      </c>
      <c r="G39" t="inlineStr">
        <is>
          <t>SÄTER</t>
        </is>
      </c>
      <c r="I39" t="n">
        <v>4.8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21120-2026 artfynd.xlsx", "A 21120-2026")</f>
        <v/>
      </c>
      <c r="X39">
        <f>HYPERLINK("https://klasma.github.io/Logging_2082/kartor/A 21120-2026 karta.png", "A 21120-2026")</f>
        <v/>
      </c>
      <c r="Y39">
        <f>HYPERLINK("https://klasma.github.io/Logging_2082/kartor_geotiff/A 21120-2026 georefererad karta.tif", "A 21120-2026")</f>
        <v/>
      </c>
      <c r="Z39">
        <f>HYPERLINK("https://klasma.github.io/Logging_2082/knärot/A 21120-2026 karta knärot.png", "A 21120-2026")</f>
        <v/>
      </c>
      <c r="AA39">
        <f>HYPERLINK("https://klasma.github.io/Logging_2082/klagomål/A 21120-2026 FSC-klagomål.docx", "A 21120-2026")</f>
        <v/>
      </c>
      <c r="AB39">
        <f>HYPERLINK("https://klasma.github.io/Logging_2082/klagomålsmail/A 21120-2026 FSC-klagomål mail.docx", "A 21120-2026")</f>
        <v/>
      </c>
      <c r="AC39">
        <f>HYPERLINK("https://klasma.github.io/Logging_2082/tillsyn/A 21120-2026 tillsynsbegäran.docx", "A 21120-2026")</f>
        <v/>
      </c>
      <c r="AD39">
        <f>HYPERLINK("https://klasma.github.io/Logging_2082/tillsynsmail/A 21120-2026 tillsynsbegäran mail.docx", "A 21120-2026")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46311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68448-2021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46311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68448-2021 artfynd.xlsx", "A 68448-2021")</f>
        <v/>
      </c>
      <c r="X41">
        <f>HYPERLINK("https://klasma.github.io/Logging_2082/kartor/A 68448-2021 karta.png", "A 68448-2021")</f>
        <v/>
      </c>
      <c r="Y41">
        <f>HYPERLINK("https://klasma.github.io/Logging_2082/kartor_geotiff/A 68448-2021 georefererad karta.tif", "A 68448-2021")</f>
        <v/>
      </c>
      <c r="Z41">
        <f>HYPERLINK("https://klasma.github.io/Logging_2082/knärot/A 68448-2021 karta knärot.png", "A 68448-2021")</f>
        <v/>
      </c>
      <c r="AA41">
        <f>HYPERLINK("https://klasma.github.io/Logging_2082/klagomål/A 68448-2021 FSC-klagomål.docx", "A 68448-2021")</f>
        <v/>
      </c>
      <c r="AB41">
        <f>HYPERLINK("https://klasma.github.io/Logging_2082/klagomålsmail/A 68448-2021 FSC-klagomål mail.docx", "A 68448-2021")</f>
        <v/>
      </c>
      <c r="AC41">
        <f>HYPERLINK("https://klasma.github.io/Logging_2082/tillsyn/A 68448-2021 tillsynsbegäran.docx", "A 68448-2021")</f>
        <v/>
      </c>
      <c r="AD41">
        <f>HYPERLINK("https://klasma.github.io/Logging_2082/tillsynsmail/A 68448-2021 tillsynsbegäran mail.docx", "A 68448-2021")</f>
        <v/>
      </c>
    </row>
    <row r="42" ht="15" customHeight="1">
      <c r="A42" t="inlineStr">
        <is>
          <t>A 47661-2025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46311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13.8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Järnsparv</t>
        </is>
      </c>
      <c r="W42">
        <f>HYPERLINK("https://klasma.github.io/Logging_2082/artfynd/A 47661-2025 artfynd.xlsx", "A 47661-2025")</f>
        <v/>
      </c>
      <c r="X42">
        <f>HYPERLINK("https://klasma.github.io/Logging_2082/kartor/A 47661-2025 karta.png", "A 47661-2025")</f>
        <v/>
      </c>
      <c r="Y42">
        <f>HYPERLINK("https://klasma.github.io/Logging_2082/kartor_geotiff/A 47661-2025 georefererad karta.tif", "A 47661-2025")</f>
        <v/>
      </c>
      <c r="AA42">
        <f>HYPERLINK("https://klasma.github.io/Logging_2082/klagomål/A 47661-2025 FSC-klagomål.docx", "A 47661-2025")</f>
        <v/>
      </c>
      <c r="AB42">
        <f>HYPERLINK("https://klasma.github.io/Logging_2082/klagomålsmail/A 47661-2025 FSC-klagomål mail.docx", "A 47661-2025")</f>
        <v/>
      </c>
      <c r="AC42">
        <f>HYPERLINK("https://klasma.github.io/Logging_2082/tillsyn/A 47661-2025 tillsynsbegäran.docx", "A 47661-2025")</f>
        <v/>
      </c>
      <c r="AD42">
        <f>HYPERLINK("https://klasma.github.io/Logging_2082/tillsynsmail/A 47661-2025 tillsynsbegäran mail.docx", "A 47661-2025")</f>
        <v/>
      </c>
      <c r="AE42">
        <f>HYPERLINK("https://klasma.github.io/Logging_2082/fåglar/A 47661-2025 prioriterade fågelarter.docx", "A 47661-2025")</f>
        <v/>
      </c>
    </row>
    <row r="43" ht="15" customHeight="1">
      <c r="A43" t="inlineStr">
        <is>
          <t>A 27715-2023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45098</v>
      </c>
      <c r="E43" s="1" t="n">
        <v>46311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HYPERLINK("https://klasma.github.io/Logging_2082/artfynd/A 27715-2023 artfynd.xlsx", "A 27715-2023")</f>
        <v/>
      </c>
      <c r="X43">
        <f>HYPERLINK("https://klasma.github.io/Logging_2082/kartor/A 27715-2023 karta.png", "A 27715-2023")</f>
        <v/>
      </c>
      <c r="Y43">
        <f>HYPERLINK("https://klasma.github.io/Logging_2082/kartor_geotiff/A 27715-2023 georefererad karta.tif", "A 27715-2023")</f>
        <v/>
      </c>
      <c r="AA43">
        <f>HYPERLINK("https://klasma.github.io/Logging_2082/klagomål/A 27715-2023 FSC-klagomål.docx", "A 27715-2023")</f>
        <v/>
      </c>
      <c r="AB43">
        <f>HYPERLINK("https://klasma.github.io/Logging_2082/klagomålsmail/A 27715-2023 FSC-klagomål mail.docx", "A 27715-2023")</f>
        <v/>
      </c>
      <c r="AC43">
        <f>HYPERLINK("https://klasma.github.io/Logging_2082/tillsyn/A 27715-2023 tillsynsbegäran.docx", "A 27715-2023")</f>
        <v/>
      </c>
      <c r="AD43">
        <f>HYPERLINK("https://klasma.github.io/Logging_2082/tillsynsmail/A 27715-2023 tillsynsbegäran mail.docx", "A 27715-2023")</f>
        <v/>
      </c>
    </row>
    <row r="44" ht="15" customHeight="1">
      <c r="A44" t="inlineStr">
        <is>
          <t>A 49653-2025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45939</v>
      </c>
      <c r="E44" s="1" t="n">
        <v>46311</v>
      </c>
      <c r="F44" t="inlineStr">
        <is>
          <t>DALARNAS LÄN</t>
        </is>
      </c>
      <c r="G44" t="inlineStr">
        <is>
          <t>SÄTER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HYPERLINK("https://klasma.github.io/Logging_2082/artfynd/A 49653-2025 artfynd.xlsx", "A 49653-2025")</f>
        <v/>
      </c>
      <c r="X44">
        <f>HYPERLINK("https://klasma.github.io/Logging_2082/kartor/A 49653-2025 karta.png", "A 49653-2025")</f>
        <v/>
      </c>
      <c r="Y44">
        <f>HYPERLINK("https://klasma.github.io/Logging_2082/kartor_geotiff/A 49653-2025 georefererad karta.tif", "A 49653-2025")</f>
        <v/>
      </c>
      <c r="AA44">
        <f>HYPERLINK("https://klasma.github.io/Logging_2082/klagomål/A 49653-2025 FSC-klagomål.docx", "A 49653-2025")</f>
        <v/>
      </c>
      <c r="AB44">
        <f>HYPERLINK("https://klasma.github.io/Logging_2082/klagomålsmail/A 49653-2025 FSC-klagomål mail.docx", "A 49653-2025")</f>
        <v/>
      </c>
      <c r="AC44">
        <f>HYPERLINK("https://klasma.github.io/Logging_2082/tillsyn/A 49653-2025 tillsynsbegäran.docx", "A 49653-2025")</f>
        <v/>
      </c>
      <c r="AD44">
        <f>HYPERLINK("https://klasma.github.io/Logging_2082/tillsynsmail/A 49653-2025 tillsynsbegäran mail.docx", "A 49653-2025")</f>
        <v/>
      </c>
    </row>
    <row r="45" ht="15" customHeight="1">
      <c r="A45" t="inlineStr">
        <is>
          <t>A 36939-2025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45874</v>
      </c>
      <c r="E45" s="1" t="n">
        <v>46311</v>
      </c>
      <c r="F45" t="inlineStr">
        <is>
          <t>DALARNAS LÄN</t>
        </is>
      </c>
      <c r="G45" t="inlineStr">
        <is>
          <t>SÄTER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Slaguggla</t>
        </is>
      </c>
      <c r="W45">
        <f>HYPERLINK("https://klasma.github.io/Logging_2082/artfynd/A 36939-2025 artfynd.xlsx", "A 36939-2025")</f>
        <v/>
      </c>
      <c r="X45">
        <f>HYPERLINK("https://klasma.github.io/Logging_2082/kartor/A 36939-2025 karta.png", "A 36939-2025")</f>
        <v/>
      </c>
      <c r="Y45">
        <f>HYPERLINK("https://klasma.github.io/Logging_2082/kartor_geotiff/A 36939-2025 georefererad karta.tif", "A 36939-2025")</f>
        <v/>
      </c>
      <c r="AA45">
        <f>HYPERLINK("https://klasma.github.io/Logging_2082/klagomål/A 36939-2025 FSC-klagomål.docx", "A 36939-2025")</f>
        <v/>
      </c>
      <c r="AB45">
        <f>HYPERLINK("https://klasma.github.io/Logging_2082/klagomålsmail/A 36939-2025 FSC-klagomål mail.docx", "A 36939-2025")</f>
        <v/>
      </c>
      <c r="AC45">
        <f>HYPERLINK("https://klasma.github.io/Logging_2082/tillsyn/A 36939-2025 tillsynsbegäran.docx", "A 36939-2025")</f>
        <v/>
      </c>
      <c r="AD45">
        <f>HYPERLINK("https://klasma.github.io/Logging_2082/tillsynsmail/A 36939-2025 tillsynsbegäran mail.docx", "A 36939-2025")</f>
        <v/>
      </c>
      <c r="AE45">
        <f>HYPERLINK("https://klasma.github.io/Logging_2082/fåglar/A 36939-2025 prioriterade fågelarter.docx", "A 36939-2025")</f>
        <v/>
      </c>
    </row>
    <row r="46" ht="15" customHeight="1">
      <c r="A46" t="inlineStr">
        <is>
          <t>A 36969-2026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46273</v>
      </c>
      <c r="E46" s="1" t="n">
        <v>46311</v>
      </c>
      <c r="F46" t="inlineStr">
        <is>
          <t>DALARNAS LÄN</t>
        </is>
      </c>
      <c r="G46" t="inlineStr">
        <is>
          <t>SÄTER</t>
        </is>
      </c>
      <c r="H46" t="inlineStr">
        <is>
          <t>Bergvik skog väst AB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Bronshjon</t>
        </is>
      </c>
      <c r="W46">
        <f>HYPERLINK("https://klasma.github.io/Logging_2082/artfynd/A 36969-2026 artfynd.xlsx", "A 36969-2026")</f>
        <v/>
      </c>
      <c r="X46">
        <f>HYPERLINK("https://klasma.github.io/Logging_2082/kartor/A 36969-2026 karta.png", "A 36969-2026")</f>
        <v/>
      </c>
      <c r="Y46">
        <f>HYPERLINK("https://klasma.github.io/Logging_2082/kartor_geotiff/A 36969-2026 georefererad karta.tif", "A 36969-2026")</f>
        <v/>
      </c>
      <c r="AA46">
        <f>HYPERLINK("https://klasma.github.io/Logging_2082/klagomål/A 36969-2026 FSC-klagomål.docx", "A 36969-2026")</f>
        <v/>
      </c>
      <c r="AB46">
        <f>HYPERLINK("https://klasma.github.io/Logging_2082/klagomålsmail/A 36969-2026 FSC-klagomål mail.docx", "A 36969-2026")</f>
        <v/>
      </c>
      <c r="AC46">
        <f>HYPERLINK("https://klasma.github.io/Logging_2082/tillsyn/A 36969-2026 tillsynsbegäran.docx", "A 36969-2026")</f>
        <v/>
      </c>
      <c r="AD46">
        <f>HYPERLINK("https://klasma.github.io/Logging_2082/tillsynsmail/A 36969-2026 tillsynsbegäran mail.docx", "A 36969-2026")</f>
        <v/>
      </c>
    </row>
    <row r="47" ht="15" customHeight="1">
      <c r="A47" t="inlineStr">
        <is>
          <t>A 37896-2026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46311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Gräddticka</t>
        </is>
      </c>
      <c r="W47">
        <f>HYPERLINK("https://klasma.github.io/Logging_2082/artfynd/A 37896-2026 artfynd.xlsx", "A 37896-2026")</f>
        <v/>
      </c>
      <c r="X47">
        <f>HYPERLINK("https://klasma.github.io/Logging_2082/kartor/A 37896-2026 karta.png", "A 37896-2026")</f>
        <v/>
      </c>
      <c r="Y47">
        <f>HYPERLINK("https://klasma.github.io/Logging_2082/kartor_geotiff/A 37896-2026 georefererad karta.tif", "A 37896-2026")</f>
        <v/>
      </c>
      <c r="AA47">
        <f>HYPERLINK("https://klasma.github.io/Logging_2082/klagomål/A 37896-2026 FSC-klagomål.docx", "A 37896-2026")</f>
        <v/>
      </c>
      <c r="AB47">
        <f>HYPERLINK("https://klasma.github.io/Logging_2082/klagomålsmail/A 37896-2026 FSC-klagomål mail.docx", "A 37896-2026")</f>
        <v/>
      </c>
      <c r="AC47">
        <f>HYPERLINK("https://klasma.github.io/Logging_2082/tillsyn/A 37896-2026 tillsynsbegäran.docx", "A 37896-2026")</f>
        <v/>
      </c>
      <c r="AD47">
        <f>HYPERLINK("https://klasma.github.io/Logging_2082/tillsynsmail/A 37896-2026 tillsynsbegäran mail.docx", "A 37896-2026")</f>
        <v/>
      </c>
    </row>
    <row r="48" ht="15" customHeight="1">
      <c r="A48" t="inlineStr">
        <is>
          <t>A 61197-2025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46311</v>
      </c>
      <c r="F48" t="inlineStr">
        <is>
          <t>DALARNAS LÄN</t>
        </is>
      </c>
      <c r="G48" t="inlineStr">
        <is>
          <t>SÄTER</t>
        </is>
      </c>
      <c r="I48" t="n">
        <v>4.1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HYPERLINK("https://klasma.github.io/Logging_2082/artfynd/A 61197-2025 artfynd.xlsx", "A 61197-2025")</f>
        <v/>
      </c>
      <c r="X48">
        <f>HYPERLINK("https://klasma.github.io/Logging_2082/kartor/A 61197-2025 karta.png", "A 61197-2025")</f>
        <v/>
      </c>
      <c r="Y48">
        <f>HYPERLINK("https://klasma.github.io/Logging_2082/kartor_geotiff/A 61197-2025 georefererad karta.tif", "A 61197-2025")</f>
        <v/>
      </c>
      <c r="Z48">
        <f>HYPERLINK("https://klasma.github.io/Logging_2082/knärot/A 61197-2025 karta knärot.png", "A 61197-2025")</f>
        <v/>
      </c>
      <c r="AA48">
        <f>HYPERLINK("https://klasma.github.io/Logging_2082/klagomål/A 61197-2025 FSC-klagomål.docx", "A 61197-2025")</f>
        <v/>
      </c>
      <c r="AB48">
        <f>HYPERLINK("https://klasma.github.io/Logging_2082/klagomålsmail/A 61197-2025 FSC-klagomål mail.docx", "A 61197-2025")</f>
        <v/>
      </c>
      <c r="AC48">
        <f>HYPERLINK("https://klasma.github.io/Logging_2082/tillsyn/A 61197-2025 tillsynsbegäran.docx", "A 61197-2025")</f>
        <v/>
      </c>
      <c r="AD48">
        <f>HYPERLINK("https://klasma.github.io/Logging_2082/tillsynsmail/A 61197-2025 tillsynsbegäran mail.docx", "A 61197-2025")</f>
        <v/>
      </c>
    </row>
    <row r="49" ht="15" customHeight="1">
      <c r="A49" t="inlineStr">
        <is>
          <t>A 11533-2026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46083</v>
      </c>
      <c r="E49" s="1" t="n">
        <v>46311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Fläcknycklar</t>
        </is>
      </c>
      <c r="W49">
        <f>HYPERLINK("https://klasma.github.io/Logging_2082/artfynd/A 11533-2026 artfynd.xlsx", "A 11533-2026")</f>
        <v/>
      </c>
      <c r="X49">
        <f>HYPERLINK("https://klasma.github.io/Logging_2082/kartor/A 11533-2026 karta.png", "A 11533-2026")</f>
        <v/>
      </c>
      <c r="Y49">
        <f>HYPERLINK("https://klasma.github.io/Logging_2082/kartor_geotiff/A 11533-2026 georefererad karta.tif", "A 11533-2026")</f>
        <v/>
      </c>
      <c r="AA49">
        <f>HYPERLINK("https://klasma.github.io/Logging_2082/klagomål/A 11533-2026 FSC-klagomål.docx", "A 11533-2026")</f>
        <v/>
      </c>
      <c r="AB49">
        <f>HYPERLINK("https://klasma.github.io/Logging_2082/klagomålsmail/A 11533-2026 FSC-klagomål mail.docx", "A 11533-2026")</f>
        <v/>
      </c>
      <c r="AC49">
        <f>HYPERLINK("https://klasma.github.io/Logging_2082/tillsyn/A 11533-2026 tillsynsbegäran.docx", "A 11533-2026")</f>
        <v/>
      </c>
      <c r="AD49">
        <f>HYPERLINK("https://klasma.github.io/Logging_2082/tillsynsmail/A 11533-2026 tillsynsbegäran mail.docx", "A 11533-2026")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46311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46311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46311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46311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46311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46311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46311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46311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46311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46311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46311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46311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46311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44650</v>
      </c>
      <c r="E63" s="1" t="n">
        <v>46311</v>
      </c>
      <c r="F63" t="inlineStr">
        <is>
          <t>DALARNAS LÄN</t>
        </is>
      </c>
      <c r="G63" t="inlineStr">
        <is>
          <t>SÄTER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44748</v>
      </c>
      <c r="E64" s="1" t="n">
        <v>46311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46311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46311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46311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46311</v>
      </c>
      <c r="F68" t="inlineStr">
        <is>
          <t>DALARNAS LÄN</t>
        </is>
      </c>
      <c r="G68" t="inlineStr">
        <is>
          <t>SÄTER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46311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46311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54826-2023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45236</v>
      </c>
      <c r="E71" s="1" t="n">
        <v>46311</v>
      </c>
      <c r="F71" t="inlineStr">
        <is>
          <t>DALARNAS LÄN</t>
        </is>
      </c>
      <c r="G71" t="inlineStr">
        <is>
          <t>SÄTER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46311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46311</v>
      </c>
      <c r="F73" t="inlineStr">
        <is>
          <t>DALARNAS LÄN</t>
        </is>
      </c>
      <c r="G73" t="inlineStr">
        <is>
          <t>SÄTER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45411</v>
      </c>
      <c r="E74" s="1" t="n">
        <v>46311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46311</v>
      </c>
      <c r="F75" t="inlineStr">
        <is>
          <t>DALARNAS LÄN</t>
        </is>
      </c>
      <c r="G75" t="inlineStr">
        <is>
          <t>SÄTER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46311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46311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46311</v>
      </c>
      <c r="F78" t="inlineStr">
        <is>
          <t>DALARNAS LÄN</t>
        </is>
      </c>
      <c r="G78" t="inlineStr">
        <is>
          <t>SÄTER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69744-2021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44532</v>
      </c>
      <c r="E79" s="1" t="n">
        <v>46311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46311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46311</v>
      </c>
      <c r="F81" t="inlineStr">
        <is>
          <t>DALARNAS LÄN</t>
        </is>
      </c>
      <c r="G81" t="inlineStr">
        <is>
          <t>SÄTER</t>
        </is>
      </c>
      <c r="I81" t="n">
        <v>10.9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46311</v>
      </c>
      <c r="F82" t="inlineStr">
        <is>
          <t>DALARNAS LÄN</t>
        </is>
      </c>
      <c r="G82" t="inlineStr">
        <is>
          <t>SÄTER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45552</v>
      </c>
      <c r="E83" s="1" t="n">
        <v>46311</v>
      </c>
      <c r="F83" t="inlineStr">
        <is>
          <t>DALARNAS LÄN</t>
        </is>
      </c>
      <c r="G83" t="inlineStr">
        <is>
          <t>SÄTER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46311</v>
      </c>
      <c r="F84" t="inlineStr">
        <is>
          <t>DALARNAS LÄN</t>
        </is>
      </c>
      <c r="G84" t="inlineStr">
        <is>
          <t>SÄTER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45883</v>
      </c>
      <c r="E85" s="1" t="n">
        <v>46311</v>
      </c>
      <c r="F85" t="inlineStr">
        <is>
          <t>DALARNAS LÄN</t>
        </is>
      </c>
      <c r="G85" t="inlineStr">
        <is>
          <t>SÄTER</t>
        </is>
      </c>
      <c r="I85" t="n">
        <v>10.8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46311</v>
      </c>
      <c r="F86" t="inlineStr">
        <is>
          <t>DALARNAS LÄN</t>
        </is>
      </c>
      <c r="G86" t="inlineStr">
        <is>
          <t>SÄTER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46311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28852-2025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46311</v>
      </c>
      <c r="F88" t="inlineStr">
        <is>
          <t>DALARNAS LÄN</t>
        </is>
      </c>
      <c r="G88" t="inlineStr">
        <is>
          <t>SÄTER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16843-2024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46311</v>
      </c>
      <c r="F89" t="inlineStr">
        <is>
          <t>DALARNAS LÄN</t>
        </is>
      </c>
      <c r="G89" t="inlineStr">
        <is>
          <t>SÄTER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45435</v>
      </c>
      <c r="E90" s="1" t="n">
        <v>46311</v>
      </c>
      <c r="F90" t="inlineStr">
        <is>
          <t>DALARNAS LÄN</t>
        </is>
      </c>
      <c r="G90" t="inlineStr">
        <is>
          <t>SÄTER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46311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46311</v>
      </c>
      <c r="F92" t="inlineStr">
        <is>
          <t>DALARNAS LÄN</t>
        </is>
      </c>
      <c r="G92" t="inlineStr">
        <is>
          <t>SÄTER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44869</v>
      </c>
      <c r="E93" s="1" t="n">
        <v>46311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46311</v>
      </c>
      <c r="F94" t="inlineStr">
        <is>
          <t>DALARNAS LÄN</t>
        </is>
      </c>
      <c r="G94" t="inlineStr">
        <is>
          <t>SÄTER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46311</v>
      </c>
      <c r="F95" t="inlineStr">
        <is>
          <t>DALARNAS LÄN</t>
        </is>
      </c>
      <c r="G95" t="inlineStr">
        <is>
          <t>SÄTER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46311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45342</v>
      </c>
      <c r="E97" s="1" t="n">
        <v>46311</v>
      </c>
      <c r="F97" t="inlineStr">
        <is>
          <t>DALARNAS LÄN</t>
        </is>
      </c>
      <c r="G97" t="inlineStr">
        <is>
          <t>SÄTER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46311</v>
      </c>
      <c r="F98" t="inlineStr">
        <is>
          <t>DALARNAS LÄN</t>
        </is>
      </c>
      <c r="G98" t="inlineStr">
        <is>
          <t>SÄTER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46311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46311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46311</v>
      </c>
      <c r="F101" t="inlineStr">
        <is>
          <t>DALARNAS LÄN</t>
        </is>
      </c>
      <c r="G101" t="inlineStr">
        <is>
          <t>SÄTER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46311</v>
      </c>
      <c r="F102" t="inlineStr">
        <is>
          <t>DALARNAS LÄN</t>
        </is>
      </c>
      <c r="G102" t="inlineStr">
        <is>
          <t>SÄTER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62470-2022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46311</v>
      </c>
      <c r="F103" t="inlineStr">
        <is>
          <t>DALARNAS LÄN</t>
        </is>
      </c>
      <c r="G103" t="inlineStr">
        <is>
          <t>SÄTER</t>
        </is>
      </c>
      <c r="H103" t="inlineStr">
        <is>
          <t>Kommuner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45527</v>
      </c>
      <c r="E104" s="1" t="n">
        <v>46311</v>
      </c>
      <c r="F104" t="inlineStr">
        <is>
          <t>DALARNAS LÄN</t>
        </is>
      </c>
      <c r="G104" t="inlineStr">
        <is>
          <t>SÄTER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46311</v>
      </c>
      <c r="F105" t="inlineStr">
        <is>
          <t>DALARNAS LÄN</t>
        </is>
      </c>
      <c r="G105" t="inlineStr">
        <is>
          <t>SÄTER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46311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46311</v>
      </c>
      <c r="F107" t="inlineStr">
        <is>
          <t>DALARNAS LÄN</t>
        </is>
      </c>
      <c r="G107" t="inlineStr">
        <is>
          <t>SÄTER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46311</v>
      </c>
      <c r="F108" t="inlineStr">
        <is>
          <t>DALARNAS LÄN</t>
        </is>
      </c>
      <c r="G108" t="inlineStr">
        <is>
          <t>SÄTER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45855</v>
      </c>
      <c r="E109" s="1" t="n">
        <v>46311</v>
      </c>
      <c r="F109" t="inlineStr">
        <is>
          <t>DALARNAS LÄN</t>
        </is>
      </c>
      <c r="G109" t="inlineStr">
        <is>
          <t>SÄTER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46311</v>
      </c>
      <c r="F110" t="inlineStr">
        <is>
          <t>DALARNAS LÄN</t>
        </is>
      </c>
      <c r="G110" t="inlineStr">
        <is>
          <t>SÄTER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46311</v>
      </c>
      <c r="F111" t="inlineStr">
        <is>
          <t>DALARNAS LÄN</t>
        </is>
      </c>
      <c r="G111" t="inlineStr">
        <is>
          <t>SÄTER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46311</v>
      </c>
      <c r="F112" t="inlineStr">
        <is>
          <t>DALARNAS LÄN</t>
        </is>
      </c>
      <c r="G112" t="inlineStr">
        <is>
          <t>SÄTER</t>
        </is>
      </c>
      <c r="H112" t="inlineStr">
        <is>
          <t>Kommuner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51323-2024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45604</v>
      </c>
      <c r="E113" s="1" t="n">
        <v>46311</v>
      </c>
      <c r="F113" t="inlineStr">
        <is>
          <t>DALARNAS LÄN</t>
        </is>
      </c>
      <c r="G113" t="inlineStr">
        <is>
          <t>SÄTER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44572</v>
      </c>
      <c r="E114" s="1" t="n">
        <v>46311</v>
      </c>
      <c r="F114" t="inlineStr">
        <is>
          <t>DALARNAS LÄN</t>
        </is>
      </c>
      <c r="G114" t="inlineStr">
        <is>
          <t>SÄTER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46311</v>
      </c>
      <c r="F115" t="inlineStr">
        <is>
          <t>DALARNAS LÄN</t>
        </is>
      </c>
      <c r="G115" t="inlineStr">
        <is>
          <t>SÄTER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44866</v>
      </c>
      <c r="E116" s="1" t="n">
        <v>46311</v>
      </c>
      <c r="F116" t="inlineStr">
        <is>
          <t>DALARNAS LÄN</t>
        </is>
      </c>
      <c r="G116" t="inlineStr">
        <is>
          <t>SÄTER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44595</v>
      </c>
      <c r="E117" s="1" t="n">
        <v>46311</v>
      </c>
      <c r="F117" t="inlineStr">
        <is>
          <t>DALARNAS LÄN</t>
        </is>
      </c>
      <c r="G117" t="inlineStr">
        <is>
          <t>SÄTER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44609</v>
      </c>
      <c r="E118" s="1" t="n">
        <v>46311</v>
      </c>
      <c r="F118" t="inlineStr">
        <is>
          <t>DALARNAS LÄN</t>
        </is>
      </c>
      <c r="G118" t="inlineStr">
        <is>
          <t>SÄTER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46311</v>
      </c>
      <c r="F119" t="inlineStr">
        <is>
          <t>DALARNAS LÄN</t>
        </is>
      </c>
      <c r="G119" t="inlineStr">
        <is>
          <t>SÄTER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44972</v>
      </c>
      <c r="E120" s="1" t="n">
        <v>46311</v>
      </c>
      <c r="F120" t="inlineStr">
        <is>
          <t>DALARNAS LÄN</t>
        </is>
      </c>
      <c r="G120" t="inlineStr">
        <is>
          <t>SÄTER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45138</v>
      </c>
      <c r="E121" s="1" t="n">
        <v>46311</v>
      </c>
      <c r="F121" t="inlineStr">
        <is>
          <t>DALARNAS LÄN</t>
        </is>
      </c>
      <c r="G121" t="inlineStr">
        <is>
          <t>SÄTER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46311</v>
      </c>
      <c r="F122" t="inlineStr">
        <is>
          <t>DALARNAS LÄN</t>
        </is>
      </c>
      <c r="G122" t="inlineStr">
        <is>
          <t>SÄTER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44585</v>
      </c>
      <c r="E123" s="1" t="n">
        <v>46311</v>
      </c>
      <c r="F123" t="inlineStr">
        <is>
          <t>DALARNAS LÄN</t>
        </is>
      </c>
      <c r="G123" t="inlineStr">
        <is>
          <t>SÄTER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46094</v>
      </c>
      <c r="E124" s="1" t="n">
        <v>46311</v>
      </c>
      <c r="F124" t="inlineStr">
        <is>
          <t>DALARNAS LÄN</t>
        </is>
      </c>
      <c r="G124" t="inlineStr">
        <is>
          <t>SÄTER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46311</v>
      </c>
      <c r="F125" t="inlineStr">
        <is>
          <t>DALARNAS LÄN</t>
        </is>
      </c>
      <c r="G125" t="inlineStr">
        <is>
          <t>SÄTER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46311</v>
      </c>
      <c r="F126" t="inlineStr">
        <is>
          <t>DALARNAS LÄN</t>
        </is>
      </c>
      <c r="G126" t="inlineStr">
        <is>
          <t>SÄTER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13888-2026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46098</v>
      </c>
      <c r="E127" s="1" t="n">
        <v>46311</v>
      </c>
      <c r="F127" t="inlineStr">
        <is>
          <t>DALARNAS LÄN</t>
        </is>
      </c>
      <c r="G127" t="inlineStr">
        <is>
          <t>SÄTER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46098</v>
      </c>
      <c r="E128" s="1" t="n">
        <v>46311</v>
      </c>
      <c r="F128" t="inlineStr">
        <is>
          <t>DALARNAS LÄN</t>
        </is>
      </c>
      <c r="G128" t="inlineStr">
        <is>
          <t>SÄTER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45484</v>
      </c>
      <c r="E129" s="1" t="n">
        <v>46311</v>
      </c>
      <c r="F129" t="inlineStr">
        <is>
          <t>DALARNAS LÄN</t>
        </is>
      </c>
      <c r="G129" t="inlineStr">
        <is>
          <t>SÄTER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46311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46311</v>
      </c>
      <c r="F131" t="inlineStr">
        <is>
          <t>DALARNAS LÄN</t>
        </is>
      </c>
      <c r="G131" t="inlineStr">
        <is>
          <t>SÄTER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45566</v>
      </c>
      <c r="E132" s="1" t="n">
        <v>46311</v>
      </c>
      <c r="F132" t="inlineStr">
        <is>
          <t>DALARNAS LÄN</t>
        </is>
      </c>
      <c r="G132" t="inlineStr">
        <is>
          <t>SÄTER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11416-2022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46311</v>
      </c>
      <c r="F133" t="inlineStr">
        <is>
          <t>DALARNAS LÄN</t>
        </is>
      </c>
      <c r="G133" t="inlineStr">
        <is>
          <t>SÄTER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46311</v>
      </c>
      <c r="F134" t="inlineStr">
        <is>
          <t>DALARNAS LÄN</t>
        </is>
      </c>
      <c r="G134" t="inlineStr">
        <is>
          <t>SÄTER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46311</v>
      </c>
      <c r="F135" t="inlineStr">
        <is>
          <t>DALARNAS LÄN</t>
        </is>
      </c>
      <c r="G135" t="inlineStr">
        <is>
          <t>SÄTER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17253-2026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46311</v>
      </c>
      <c r="F136" t="inlineStr">
        <is>
          <t>DALARNAS LÄN</t>
        </is>
      </c>
      <c r="G136" t="inlineStr">
        <is>
          <t>SÄTER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46311</v>
      </c>
      <c r="F137" t="inlineStr">
        <is>
          <t>DALARNAS LÄN</t>
        </is>
      </c>
      <c r="G137" t="inlineStr">
        <is>
          <t>SÄTER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46311</v>
      </c>
      <c r="F138" t="inlineStr">
        <is>
          <t>DALARNAS LÄN</t>
        </is>
      </c>
      <c r="G138" t="inlineStr">
        <is>
          <t>SÄTER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45569</v>
      </c>
      <c r="E139" s="1" t="n">
        <v>46311</v>
      </c>
      <c r="F139" t="inlineStr">
        <is>
          <t>DALARNAS LÄN</t>
        </is>
      </c>
      <c r="G139" t="inlineStr">
        <is>
          <t>SÄTER</t>
        </is>
      </c>
      <c r="I139" t="n">
        <v>13.2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46092</v>
      </c>
      <c r="E140" s="1" t="n">
        <v>46311</v>
      </c>
      <c r="F140" t="inlineStr">
        <is>
          <t>DALARNAS LÄN</t>
        </is>
      </c>
      <c r="G140" t="inlineStr">
        <is>
          <t>SÄTER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46092</v>
      </c>
      <c r="E141" s="1" t="n">
        <v>46311</v>
      </c>
      <c r="F141" t="inlineStr">
        <is>
          <t>DALARNAS LÄN</t>
        </is>
      </c>
      <c r="G141" t="inlineStr">
        <is>
          <t>SÄTER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60655-2024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45644</v>
      </c>
      <c r="E142" s="1" t="n">
        <v>46311</v>
      </c>
      <c r="F142" t="inlineStr">
        <is>
          <t>DALARNAS LÄN</t>
        </is>
      </c>
      <c r="G142" t="inlineStr">
        <is>
          <t>SÄTER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45604</v>
      </c>
      <c r="E143" s="1" t="n">
        <v>46311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46311</v>
      </c>
      <c r="F144" t="inlineStr">
        <is>
          <t>DALARNAS LÄN</t>
        </is>
      </c>
      <c r="G144" t="inlineStr">
        <is>
          <t>SÄTER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46311</v>
      </c>
      <c r="F145" t="inlineStr">
        <is>
          <t>DALARNAS LÄN</t>
        </is>
      </c>
      <c r="G145" t="inlineStr">
        <is>
          <t>SÄTER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45576</v>
      </c>
      <c r="E146" s="1" t="n">
        <v>46311</v>
      </c>
      <c r="F146" t="inlineStr">
        <is>
          <t>DALARNAS LÄN</t>
        </is>
      </c>
      <c r="G146" t="inlineStr">
        <is>
          <t>SÄTER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45190</v>
      </c>
      <c r="E147" s="1" t="n">
        <v>46311</v>
      </c>
      <c r="F147" t="inlineStr">
        <is>
          <t>DALARNAS LÄN</t>
        </is>
      </c>
      <c r="G147" t="inlineStr">
        <is>
          <t>SÄTER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46311</v>
      </c>
      <c r="F148" t="inlineStr">
        <is>
          <t>DALARNAS LÄN</t>
        </is>
      </c>
      <c r="G148" t="inlineStr">
        <is>
          <t>SÄTER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46311</v>
      </c>
      <c r="F149" t="inlineStr">
        <is>
          <t>DALARNAS LÄN</t>
        </is>
      </c>
      <c r="G149" t="inlineStr">
        <is>
          <t>SÄTER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45063</v>
      </c>
      <c r="E150" s="1" t="n">
        <v>46311</v>
      </c>
      <c r="F150" t="inlineStr">
        <is>
          <t>DALARNAS LÄN</t>
        </is>
      </c>
      <c r="G150" t="inlineStr">
        <is>
          <t>SÄTER</t>
        </is>
      </c>
      <c r="H150" t="inlineStr">
        <is>
          <t>Kommuner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42998-2023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45182</v>
      </c>
      <c r="E151" s="1" t="n">
        <v>46311</v>
      </c>
      <c r="F151" t="inlineStr">
        <is>
          <t>DALARNAS LÄN</t>
        </is>
      </c>
      <c r="G151" t="inlineStr">
        <is>
          <t>SÄTER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42674-2025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46311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46311</v>
      </c>
      <c r="F153" t="inlineStr">
        <is>
          <t>DALARNAS LÄN</t>
        </is>
      </c>
      <c r="G153" t="inlineStr">
        <is>
          <t>SÄTER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51320-2024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45604</v>
      </c>
      <c r="E154" s="1" t="n">
        <v>46311</v>
      </c>
      <c r="F154" t="inlineStr">
        <is>
          <t>DALARNAS LÄN</t>
        </is>
      </c>
      <c r="G154" t="inlineStr">
        <is>
          <t>SÄTER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45604</v>
      </c>
      <c r="E155" s="1" t="n">
        <v>46311</v>
      </c>
      <c r="F155" t="inlineStr">
        <is>
          <t>DALARNAS LÄN</t>
        </is>
      </c>
      <c r="G155" t="inlineStr">
        <is>
          <t>SÄTER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46311</v>
      </c>
      <c r="F156" t="inlineStr">
        <is>
          <t>DALARNAS LÄN</t>
        </is>
      </c>
      <c r="G156" t="inlineStr">
        <is>
          <t>SÄTER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46311</v>
      </c>
      <c r="F157" t="inlineStr">
        <is>
          <t>DALARNAS LÄN</t>
        </is>
      </c>
      <c r="G157" t="inlineStr">
        <is>
          <t>SÄTER</t>
        </is>
      </c>
      <c r="H157" t="inlineStr">
        <is>
          <t>Kommuner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46311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46311</v>
      </c>
      <c r="F159" t="inlineStr">
        <is>
          <t>DALARNAS LÄN</t>
        </is>
      </c>
      <c r="G159" t="inlineStr">
        <is>
          <t>SÄTER</t>
        </is>
      </c>
      <c r="H159" t="inlineStr">
        <is>
          <t>Kommuner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46311</v>
      </c>
      <c r="F160" t="inlineStr">
        <is>
          <t>DALARNAS LÄN</t>
        </is>
      </c>
      <c r="G160" t="inlineStr">
        <is>
          <t>SÄTER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44691</v>
      </c>
      <c r="E161" s="1" t="n">
        <v>46311</v>
      </c>
      <c r="F161" t="inlineStr">
        <is>
          <t>DALARNAS LÄN</t>
        </is>
      </c>
      <c r="G161" t="inlineStr">
        <is>
          <t>SÄTER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46073</v>
      </c>
      <c r="E162" s="1" t="n">
        <v>46311</v>
      </c>
      <c r="F162" t="inlineStr">
        <is>
          <t>DALARNAS LÄN</t>
        </is>
      </c>
      <c r="G162" t="inlineStr">
        <is>
          <t>SÄTER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46311</v>
      </c>
      <c r="F163" t="inlineStr">
        <is>
          <t>DALARNAS LÄN</t>
        </is>
      </c>
      <c r="G163" t="inlineStr">
        <is>
          <t>SÄTER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46311</v>
      </c>
      <c r="F164" t="inlineStr">
        <is>
          <t>DALARNAS LÄN</t>
        </is>
      </c>
      <c r="G164" t="inlineStr">
        <is>
          <t>SÄTER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46311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46311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46311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45638</v>
      </c>
      <c r="E168" s="1" t="n">
        <v>46311</v>
      </c>
      <c r="F168" t="inlineStr">
        <is>
          <t>DALARNAS LÄN</t>
        </is>
      </c>
      <c r="G168" t="inlineStr">
        <is>
          <t>SÄTER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46311</v>
      </c>
      <c r="F169" t="inlineStr">
        <is>
          <t>DALARNAS LÄN</t>
        </is>
      </c>
      <c r="G169" t="inlineStr">
        <is>
          <t>SÄTER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46014</v>
      </c>
      <c r="E170" s="1" t="n">
        <v>46311</v>
      </c>
      <c r="F170" t="inlineStr">
        <is>
          <t>DALARNAS LÄN</t>
        </is>
      </c>
      <c r="G170" t="inlineStr">
        <is>
          <t>SÄTER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46311</v>
      </c>
      <c r="F171" t="inlineStr">
        <is>
          <t>DALARNAS LÄN</t>
        </is>
      </c>
      <c r="G171" t="inlineStr">
        <is>
          <t>SÄTER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46311</v>
      </c>
      <c r="F172" t="inlineStr">
        <is>
          <t>DALARNAS LÄN</t>
        </is>
      </c>
      <c r="G172" t="inlineStr">
        <is>
          <t>SÄTER</t>
        </is>
      </c>
      <c r="I172" t="n">
        <v>10.9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45107</v>
      </c>
      <c r="E173" s="1" t="n">
        <v>46311</v>
      </c>
      <c r="F173" t="inlineStr">
        <is>
          <t>DALARNAS LÄN</t>
        </is>
      </c>
      <c r="G173" t="inlineStr">
        <is>
          <t>SÄTER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46311</v>
      </c>
      <c r="F174" t="inlineStr">
        <is>
          <t>DALARNAS LÄN</t>
        </is>
      </c>
      <c r="G174" t="inlineStr">
        <is>
          <t>SÄTER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46311</v>
      </c>
      <c r="F175" t="inlineStr">
        <is>
          <t>DALARNAS LÄN</t>
        </is>
      </c>
      <c r="G175" t="inlineStr">
        <is>
          <t>SÄTER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54310-2023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46311</v>
      </c>
      <c r="F176" t="inlineStr">
        <is>
          <t>DALARNAS LÄN</t>
        </is>
      </c>
      <c r="G176" t="inlineStr">
        <is>
          <t>SÄTER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45561</v>
      </c>
      <c r="E177" s="1" t="n">
        <v>46311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46311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46311</v>
      </c>
      <c r="F179" t="inlineStr">
        <is>
          <t>DALARNAS LÄN</t>
        </is>
      </c>
      <c r="G179" t="inlineStr">
        <is>
          <t>SÄTER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46311</v>
      </c>
      <c r="F180" t="inlineStr">
        <is>
          <t>DALARNAS LÄN</t>
        </is>
      </c>
      <c r="G180" t="inlineStr">
        <is>
          <t>SÄTER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46311</v>
      </c>
      <c r="F181" t="inlineStr">
        <is>
          <t>DALARNAS LÄN</t>
        </is>
      </c>
      <c r="G181" t="inlineStr">
        <is>
          <t>SÄTER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46311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46311</v>
      </c>
      <c r="F183" t="inlineStr">
        <is>
          <t>DALARNAS LÄN</t>
        </is>
      </c>
      <c r="G183" t="inlineStr">
        <is>
          <t>SÄTER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46311</v>
      </c>
      <c r="F184" t="inlineStr">
        <is>
          <t>DALARNAS LÄN</t>
        </is>
      </c>
      <c r="G184" t="inlineStr">
        <is>
          <t>SÄTER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46311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46311</v>
      </c>
      <c r="F186" t="inlineStr">
        <is>
          <t>DALARNAS LÄN</t>
        </is>
      </c>
      <c r="G186" t="inlineStr">
        <is>
          <t>SÄTER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46311</v>
      </c>
      <c r="F187" t="inlineStr">
        <is>
          <t>DALARNAS LÄN</t>
        </is>
      </c>
      <c r="G187" t="inlineStr">
        <is>
          <t>SÄTER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45670</v>
      </c>
      <c r="E188" s="1" t="n">
        <v>46311</v>
      </c>
      <c r="F188" t="inlineStr">
        <is>
          <t>DALARNAS LÄN</t>
        </is>
      </c>
      <c r="G188" t="inlineStr">
        <is>
          <t>SÄTER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46311</v>
      </c>
      <c r="F189" t="inlineStr">
        <is>
          <t>DALARNAS LÄN</t>
        </is>
      </c>
      <c r="G189" t="inlineStr">
        <is>
          <t>SÄTER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46043</v>
      </c>
      <c r="E190" s="1" t="n">
        <v>46311</v>
      </c>
      <c r="F190" t="inlineStr">
        <is>
          <t>DALARNAS LÄN</t>
        </is>
      </c>
      <c r="G190" t="inlineStr">
        <is>
          <t>SÄTER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44690</v>
      </c>
      <c r="E191" s="1" t="n">
        <v>46311</v>
      </c>
      <c r="F191" t="inlineStr">
        <is>
          <t>DALARNAS LÄN</t>
        </is>
      </c>
      <c r="G191" t="inlineStr">
        <is>
          <t>SÄTER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46087</v>
      </c>
      <c r="E192" s="1" t="n">
        <v>46311</v>
      </c>
      <c r="F192" t="inlineStr">
        <is>
          <t>DALARNAS LÄN</t>
        </is>
      </c>
      <c r="G192" t="inlineStr">
        <is>
          <t>SÄTER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46311</v>
      </c>
      <c r="F193" t="inlineStr">
        <is>
          <t>DALARNAS LÄN</t>
        </is>
      </c>
      <c r="G193" t="inlineStr">
        <is>
          <t>SÄTER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28549-2022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44748</v>
      </c>
      <c r="E194" s="1" t="n">
        <v>46311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46311</v>
      </c>
      <c r="F195" t="inlineStr">
        <is>
          <t>DALARNAS LÄN</t>
        </is>
      </c>
      <c r="G195" t="inlineStr">
        <is>
          <t>SÄTER</t>
        </is>
      </c>
      <c r="H195" t="inlineStr">
        <is>
          <t>Kommuner</t>
        </is>
      </c>
      <c r="I195" t="n">
        <v>42.6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46071</v>
      </c>
      <c r="E196" s="1" t="n">
        <v>46311</v>
      </c>
      <c r="F196" t="inlineStr">
        <is>
          <t>DALARNAS LÄN</t>
        </is>
      </c>
      <c r="G196" t="inlineStr">
        <is>
          <t>SÄTER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46098</v>
      </c>
      <c r="E197" s="1" t="n">
        <v>46311</v>
      </c>
      <c r="F197" t="inlineStr">
        <is>
          <t>DALARNAS LÄN</t>
        </is>
      </c>
      <c r="G197" t="inlineStr">
        <is>
          <t>SÄTER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46311</v>
      </c>
      <c r="F198" t="inlineStr">
        <is>
          <t>DALARNAS LÄN</t>
        </is>
      </c>
      <c r="G198" t="inlineStr">
        <is>
          <t>SÄTER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46311</v>
      </c>
      <c r="F199" t="inlineStr">
        <is>
          <t>DALARNAS LÄN</t>
        </is>
      </c>
      <c r="G199" t="inlineStr">
        <is>
          <t>SÄTER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44727</v>
      </c>
      <c r="E200" s="1" t="n">
        <v>46311</v>
      </c>
      <c r="F200" t="inlineStr">
        <is>
          <t>DALARNAS LÄN</t>
        </is>
      </c>
      <c r="G200" t="inlineStr">
        <is>
          <t>SÄTER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46311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46311</v>
      </c>
      <c r="F202" t="inlineStr">
        <is>
          <t>DALARNAS LÄN</t>
        </is>
      </c>
      <c r="G202" t="inlineStr">
        <is>
          <t>SÄTER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46311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44711</v>
      </c>
      <c r="E204" s="1" t="n">
        <v>46311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46311</v>
      </c>
      <c r="F205" t="inlineStr">
        <is>
          <t>DALARNAS LÄN</t>
        </is>
      </c>
      <c r="G205" t="inlineStr">
        <is>
          <t>SÄTER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  <c r="Z205">
        <f>HYPERLINK("https://klasma.github.io/Logging_2082/knärot/A 57416-2022 karta knärot.png", "A 57416-2022")</f>
        <v/>
      </c>
      <c r="AA205">
        <f>HYPERLINK("https://klasma.github.io/Logging_2082/klagomål/A 57416-2022 FSC-klagomål.docx", "A 57416-2022")</f>
        <v/>
      </c>
      <c r="AB205">
        <f>HYPERLINK("https://klasma.github.io/Logging_2082/klagomålsmail/A 57416-2022 FSC-klagomål mail.docx", "A 57416-2022")</f>
        <v/>
      </c>
      <c r="AC205">
        <f>HYPERLINK("https://klasma.github.io/Logging_2082/tillsyn/A 57416-2022 tillsynsbegäran.docx", "A 57416-2022")</f>
        <v/>
      </c>
      <c r="AD205">
        <f>HYPERLINK("https://klasma.github.io/Logging_2082/tillsynsmail/A 57416-2022 tillsynsbegäran mail.docx", "A 57416-2022")</f>
        <v/>
      </c>
    </row>
    <row r="206" ht="15" customHeight="1">
      <c r="A206" t="inlineStr">
        <is>
          <t>A 4050-2026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46311</v>
      </c>
      <c r="F206" t="inlineStr">
        <is>
          <t>DALARNAS LÄN</t>
        </is>
      </c>
      <c r="G206" t="inlineStr">
        <is>
          <t>SÄTER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45098</v>
      </c>
      <c r="E207" s="1" t="n">
        <v>46311</v>
      </c>
      <c r="F207" t="inlineStr">
        <is>
          <t>DALARNAS LÄN</t>
        </is>
      </c>
      <c r="G207" t="inlineStr">
        <is>
          <t>SÄTER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46153</v>
      </c>
      <c r="E208" s="1" t="n">
        <v>46311</v>
      </c>
      <c r="F208" t="inlineStr">
        <is>
          <t>DALARNAS LÄN</t>
        </is>
      </c>
      <c r="G208" t="inlineStr">
        <is>
          <t>SÄTER</t>
        </is>
      </c>
      <c r="I208" t="n">
        <v>10.1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22148-2026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46153</v>
      </c>
      <c r="E209" s="1" t="n">
        <v>46311</v>
      </c>
      <c r="F209" t="inlineStr">
        <is>
          <t>DALARNAS LÄN</t>
        </is>
      </c>
      <c r="G209" t="inlineStr">
        <is>
          <t>SÄTER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46311</v>
      </c>
      <c r="F210" t="inlineStr">
        <is>
          <t>DALARNAS LÄN</t>
        </is>
      </c>
      <c r="G210" t="inlineStr">
        <is>
          <t>SÄTER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46311</v>
      </c>
      <c r="F211" t="inlineStr">
        <is>
          <t>DALARNAS LÄN</t>
        </is>
      </c>
      <c r="G211" t="inlineStr">
        <is>
          <t>SÄTER</t>
        </is>
      </c>
      <c r="I211" t="n">
        <v>9.6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44732</v>
      </c>
      <c r="E212" s="1" t="n">
        <v>46311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44788</v>
      </c>
      <c r="E213" s="1" t="n">
        <v>46311</v>
      </c>
      <c r="F213" t="inlineStr">
        <is>
          <t>DALARNAS LÄN</t>
        </is>
      </c>
      <c r="G213" t="inlineStr">
        <is>
          <t>SÄTER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46311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44812</v>
      </c>
      <c r="E215" s="1" t="n">
        <v>46311</v>
      </c>
      <c r="F215" t="inlineStr">
        <is>
          <t>DALARNAS LÄN</t>
        </is>
      </c>
      <c r="G215" t="inlineStr">
        <is>
          <t>SÄTER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45265</v>
      </c>
      <c r="E216" s="1" t="n">
        <v>46311</v>
      </c>
      <c r="F216" t="inlineStr">
        <is>
          <t>DALARNAS LÄN</t>
        </is>
      </c>
      <c r="G216" t="inlineStr">
        <is>
          <t>SÄTER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46087</v>
      </c>
      <c r="E217" s="1" t="n">
        <v>46311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63152-2023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46311</v>
      </c>
      <c r="F218" t="inlineStr">
        <is>
          <t>DALARNAS LÄN</t>
        </is>
      </c>
      <c r="G218" t="inlineStr">
        <is>
          <t>SÄTER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44964</v>
      </c>
      <c r="E219" s="1" t="n">
        <v>46311</v>
      </c>
      <c r="F219" t="inlineStr">
        <is>
          <t>DALARNAS LÄN</t>
        </is>
      </c>
      <c r="G219" t="inlineStr">
        <is>
          <t>SÄTER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46311</v>
      </c>
      <c r="F220" t="inlineStr">
        <is>
          <t>DALARNAS LÄN</t>
        </is>
      </c>
      <c r="G220" t="inlineStr">
        <is>
          <t>SÄTER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46311</v>
      </c>
      <c r="F221" t="inlineStr">
        <is>
          <t>DALARNAS LÄN</t>
        </is>
      </c>
      <c r="G221" t="inlineStr">
        <is>
          <t>SÄTER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46311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46163</v>
      </c>
      <c r="E223" s="1" t="n">
        <v>46311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46311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46163</v>
      </c>
      <c r="E225" s="1" t="n">
        <v>46311</v>
      </c>
      <c r="F225" t="inlineStr">
        <is>
          <t>DALARNAS LÄN</t>
        </is>
      </c>
      <c r="G225" t="inlineStr">
        <is>
          <t>SÄTER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46311</v>
      </c>
      <c r="F226" t="inlineStr">
        <is>
          <t>DALARNAS LÄN</t>
        </is>
      </c>
      <c r="G226" t="inlineStr">
        <is>
          <t>SÄTER</t>
        </is>
      </c>
      <c r="H226" t="inlineStr">
        <is>
          <t>Bergvik skog väst AB</t>
        </is>
      </c>
      <c r="I226" t="n">
        <v>15.2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46495-2025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46311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41.4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46167</v>
      </c>
      <c r="E228" s="1" t="n">
        <v>46311</v>
      </c>
      <c r="F228" t="inlineStr">
        <is>
          <t>DALARNAS LÄN</t>
        </is>
      </c>
      <c r="G228" t="inlineStr">
        <is>
          <t>SÄTER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44992</v>
      </c>
      <c r="E229" s="1" t="n">
        <v>46311</v>
      </c>
      <c r="F229" t="inlineStr">
        <is>
          <t>DALARNAS LÄN</t>
        </is>
      </c>
      <c r="G229" t="inlineStr">
        <is>
          <t>SÄTER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46311</v>
      </c>
      <c r="F230" t="inlineStr">
        <is>
          <t>DALARNAS LÄN</t>
        </is>
      </c>
      <c r="G230" t="inlineStr">
        <is>
          <t>SÄTER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45520</v>
      </c>
      <c r="E231" s="1" t="n">
        <v>46311</v>
      </c>
      <c r="F231" t="inlineStr">
        <is>
          <t>DALARNAS LÄN</t>
        </is>
      </c>
      <c r="G231" t="inlineStr">
        <is>
          <t>SÄTER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46311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45232</v>
      </c>
      <c r="E233" s="1" t="n">
        <v>46311</v>
      </c>
      <c r="F233" t="inlineStr">
        <is>
          <t>DALARNAS LÄN</t>
        </is>
      </c>
      <c r="G233" t="inlineStr">
        <is>
          <t>SÄTER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46311</v>
      </c>
      <c r="F234" t="inlineStr">
        <is>
          <t>DALARNAS LÄN</t>
        </is>
      </c>
      <c r="G234" t="inlineStr">
        <is>
          <t>SÄTER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46311</v>
      </c>
      <c r="F235" t="inlineStr">
        <is>
          <t>DALARNAS LÄN</t>
        </is>
      </c>
      <c r="G235" t="inlineStr">
        <is>
          <t>SÄTER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46311</v>
      </c>
      <c r="F236" t="inlineStr">
        <is>
          <t>DALARNAS LÄN</t>
        </is>
      </c>
      <c r="G236" t="inlineStr">
        <is>
          <t>SÄTER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46311</v>
      </c>
      <c r="F237" t="inlineStr">
        <is>
          <t>DALARNAS LÄN</t>
        </is>
      </c>
      <c r="G237" t="inlineStr">
        <is>
          <t>SÄTER</t>
        </is>
      </c>
      <c r="H237" t="inlineStr">
        <is>
          <t>Övriga statliga verk och myndigheter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46311</v>
      </c>
      <c r="F238" t="inlineStr">
        <is>
          <t>DALARNAS LÄN</t>
        </is>
      </c>
      <c r="G238" t="inlineStr">
        <is>
          <t>SÄTER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46311</v>
      </c>
      <c r="F239" t="inlineStr">
        <is>
          <t>DALARNAS LÄN</t>
        </is>
      </c>
      <c r="G239" t="inlineStr">
        <is>
          <t>SÄTER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46311</v>
      </c>
      <c r="F240" t="inlineStr">
        <is>
          <t>DALARNAS LÄN</t>
        </is>
      </c>
      <c r="G240" t="inlineStr">
        <is>
          <t>SÄTER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46311</v>
      </c>
      <c r="F241" t="inlineStr">
        <is>
          <t>DALARNAS LÄN</t>
        </is>
      </c>
      <c r="G241" t="inlineStr">
        <is>
          <t>SÄTER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44953</v>
      </c>
      <c r="E242" s="1" t="n">
        <v>46311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46311</v>
      </c>
      <c r="F243" t="inlineStr">
        <is>
          <t>DALARNAS LÄN</t>
        </is>
      </c>
      <c r="G243" t="inlineStr">
        <is>
          <t>SÄTER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51328-2024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45604</v>
      </c>
      <c r="E244" s="1" t="n">
        <v>46311</v>
      </c>
      <c r="F244" t="inlineStr">
        <is>
          <t>DALARNAS LÄN</t>
        </is>
      </c>
      <c r="G244" t="inlineStr">
        <is>
          <t>SÄTER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51339-2024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45604</v>
      </c>
      <c r="E245" s="1" t="n">
        <v>46311</v>
      </c>
      <c r="F245" t="inlineStr">
        <is>
          <t>DALARNAS LÄN</t>
        </is>
      </c>
      <c r="G245" t="inlineStr">
        <is>
          <t>SÄTER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46311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46311</v>
      </c>
      <c r="F247" t="inlineStr">
        <is>
          <t>DALARNAS LÄN</t>
        </is>
      </c>
      <c r="G247" t="inlineStr">
        <is>
          <t>SÄTER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46191</v>
      </c>
      <c r="E248" s="1" t="n">
        <v>46311</v>
      </c>
      <c r="F248" t="inlineStr">
        <is>
          <t>DALARNAS LÄN</t>
        </is>
      </c>
      <c r="G248" t="inlineStr">
        <is>
          <t>SÄTER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46311</v>
      </c>
      <c r="F249" t="inlineStr">
        <is>
          <t>DALARNAS LÄN</t>
        </is>
      </c>
      <c r="G249" t="inlineStr">
        <is>
          <t>SÄTER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45546</v>
      </c>
      <c r="E250" s="1" t="n">
        <v>46311</v>
      </c>
      <c r="F250" t="inlineStr">
        <is>
          <t>DALARNAS LÄN</t>
        </is>
      </c>
      <c r="G250" t="inlineStr">
        <is>
          <t>SÄTER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46311</v>
      </c>
      <c r="F251" t="inlineStr">
        <is>
          <t>DALARNAS LÄN</t>
        </is>
      </c>
      <c r="G251" t="inlineStr">
        <is>
          <t>SÄTER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44643</v>
      </c>
      <c r="E252" s="1" t="n">
        <v>46311</v>
      </c>
      <c r="F252" t="inlineStr">
        <is>
          <t>DALARNAS LÄN</t>
        </is>
      </c>
      <c r="G252" t="inlineStr">
        <is>
          <t>SÄTER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50649-2025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46311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57430-2022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46311</v>
      </c>
      <c r="F254" t="inlineStr">
        <is>
          <t>DALARNAS LÄN</t>
        </is>
      </c>
      <c r="G254" t="inlineStr">
        <is>
          <t>SÄTER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46311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46311</v>
      </c>
      <c r="F256" t="inlineStr">
        <is>
          <t>DALARNAS LÄN</t>
        </is>
      </c>
      <c r="G256" t="inlineStr">
        <is>
          <t>SÄTER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8810-2026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46311</v>
      </c>
      <c r="F257" t="inlineStr">
        <is>
          <t>DALARNAS LÄN</t>
        </is>
      </c>
      <c r="G257" t="inlineStr">
        <is>
          <t>SÄTER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46311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46311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15.1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46211</v>
      </c>
      <c r="E260" s="1" t="n">
        <v>46311</v>
      </c>
      <c r="F260" t="inlineStr">
        <is>
          <t>DALARNAS LÄN</t>
        </is>
      </c>
      <c r="G260" t="inlineStr">
        <is>
          <t>SÄTER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46311</v>
      </c>
      <c r="F261" t="inlineStr">
        <is>
          <t>DALARNAS LÄN</t>
        </is>
      </c>
      <c r="G261" t="inlineStr">
        <is>
          <t>SÄTER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45527</v>
      </c>
      <c r="E262" s="1" t="n">
        <v>46311</v>
      </c>
      <c r="F262" t="inlineStr">
        <is>
          <t>DALARNAS LÄN</t>
        </is>
      </c>
      <c r="G262" t="inlineStr">
        <is>
          <t>SÄTER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46311</v>
      </c>
      <c r="F263" t="inlineStr">
        <is>
          <t>DALARNAS LÄN</t>
        </is>
      </c>
      <c r="G263" t="inlineStr">
        <is>
          <t>SÄTER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25033-2026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46311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45599</v>
      </c>
      <c r="E265" s="1" t="n">
        <v>46311</v>
      </c>
      <c r="F265" t="inlineStr">
        <is>
          <t>DALARNAS LÄN</t>
        </is>
      </c>
      <c r="G265" t="inlineStr">
        <is>
          <t>SÄTER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53559-2025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46311</v>
      </c>
      <c r="F266" t="inlineStr">
        <is>
          <t>DALARNAS LÄN</t>
        </is>
      </c>
      <c r="G266" t="inlineStr">
        <is>
          <t>SÄTER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46311</v>
      </c>
      <c r="F267" t="inlineStr">
        <is>
          <t>DALARNAS LÄN</t>
        </is>
      </c>
      <c r="G267" t="inlineStr">
        <is>
          <t>SÄTER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45411</v>
      </c>
      <c r="E268" s="1" t="n">
        <v>46311</v>
      </c>
      <c r="F268" t="inlineStr">
        <is>
          <t>DALARNAS LÄN</t>
        </is>
      </c>
      <c r="G268" t="inlineStr">
        <is>
          <t>SÄTER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45961</v>
      </c>
      <c r="E269" s="1" t="n">
        <v>46311</v>
      </c>
      <c r="F269" t="inlineStr">
        <is>
          <t>DALARNAS LÄN</t>
        </is>
      </c>
      <c r="G269" t="inlineStr">
        <is>
          <t>SÄTER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45628</v>
      </c>
      <c r="E270" s="1" t="n">
        <v>46311</v>
      </c>
      <c r="F270" t="inlineStr">
        <is>
          <t>DALARNAS LÄN</t>
        </is>
      </c>
      <c r="G270" t="inlineStr">
        <is>
          <t>SÄTER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45964</v>
      </c>
      <c r="E271" s="1" t="n">
        <v>46311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44982</v>
      </c>
      <c r="E272" s="1" t="n">
        <v>46311</v>
      </c>
      <c r="F272" t="inlineStr">
        <is>
          <t>DALARNAS LÄN</t>
        </is>
      </c>
      <c r="G272" t="inlineStr">
        <is>
          <t>SÄTER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46311</v>
      </c>
      <c r="F273" t="inlineStr">
        <is>
          <t>DALARNAS LÄN</t>
        </is>
      </c>
      <c r="G273" t="inlineStr">
        <is>
          <t>SÄTER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46275</v>
      </c>
      <c r="E274" s="1" t="n">
        <v>46311</v>
      </c>
      <c r="F274" t="inlineStr">
        <is>
          <t>DALARNAS LÄN</t>
        </is>
      </c>
      <c r="G274" t="inlineStr">
        <is>
          <t>SÄTER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39487-2022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46311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46275</v>
      </c>
      <c r="E276" s="1" t="n">
        <v>46311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21766-2024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45442</v>
      </c>
      <c r="E277" s="1" t="n">
        <v>46311</v>
      </c>
      <c r="F277" t="inlineStr">
        <is>
          <t>DALARNAS LÄN</t>
        </is>
      </c>
      <c r="G277" t="inlineStr">
        <is>
          <t>SÄTER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46311</v>
      </c>
      <c r="F278" t="inlineStr">
        <is>
          <t>DALARNAS LÄN</t>
        </is>
      </c>
      <c r="G278" t="inlineStr">
        <is>
          <t>SÄTER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44784</v>
      </c>
      <c r="E279" s="1" t="n">
        <v>46311</v>
      </c>
      <c r="F279" t="inlineStr">
        <is>
          <t>DALARNAS LÄN</t>
        </is>
      </c>
      <c r="G279" t="inlineStr">
        <is>
          <t>SÄTER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44784</v>
      </c>
      <c r="E280" s="1" t="n">
        <v>46311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46311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32122-2026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46234</v>
      </c>
      <c r="E282" s="1" t="n">
        <v>46311</v>
      </c>
      <c r="F282" t="inlineStr">
        <is>
          <t>DALARNAS LÄN</t>
        </is>
      </c>
      <c r="G282" t="inlineStr">
        <is>
          <t>SÄTER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45527</v>
      </c>
      <c r="E283" s="1" t="n">
        <v>46311</v>
      </c>
      <c r="F283" t="inlineStr">
        <is>
          <t>DALARNAS LÄN</t>
        </is>
      </c>
      <c r="G283" t="inlineStr">
        <is>
          <t>SÄTER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62533-2023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45268</v>
      </c>
      <c r="E284" s="1" t="n">
        <v>46311</v>
      </c>
      <c r="F284" t="inlineStr">
        <is>
          <t>DALARNAS LÄN</t>
        </is>
      </c>
      <c r="G284" t="inlineStr">
        <is>
          <t>SÄTER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34652-2024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45526</v>
      </c>
      <c r="E285" s="1" t="n">
        <v>46311</v>
      </c>
      <c r="F285" t="inlineStr">
        <is>
          <t>DALARNAS LÄN</t>
        </is>
      </c>
      <c r="G285" t="inlineStr">
        <is>
          <t>SÄTER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37923-2022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44811</v>
      </c>
      <c r="E286" s="1" t="n">
        <v>46311</v>
      </c>
      <c r="F286" t="inlineStr">
        <is>
          <t>DALARNAS LÄN</t>
        </is>
      </c>
      <c r="G286" t="inlineStr">
        <is>
          <t>SÄTER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46283</v>
      </c>
      <c r="E287" s="1" t="n">
        <v>46311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44978</v>
      </c>
      <c r="E288" s="1" t="n">
        <v>46311</v>
      </c>
      <c r="F288" t="inlineStr">
        <is>
          <t>DALARNAS LÄN</t>
        </is>
      </c>
      <c r="G288" t="inlineStr">
        <is>
          <t>SÄTER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26503-2022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44739</v>
      </c>
      <c r="E289" s="1" t="n">
        <v>46311</v>
      </c>
      <c r="F289" t="inlineStr">
        <is>
          <t>DALARNAS LÄN</t>
        </is>
      </c>
      <c r="G289" t="inlineStr">
        <is>
          <t>SÄTER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46311</v>
      </c>
      <c r="F290" t="inlineStr">
        <is>
          <t>DALARNAS LÄN</t>
        </is>
      </c>
      <c r="G290" t="inlineStr">
        <is>
          <t>SÄTER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42225-2022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46311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46311</v>
      </c>
      <c r="F292" t="inlineStr">
        <is>
          <t>DALARNAS LÄN</t>
        </is>
      </c>
      <c r="G292" t="inlineStr">
        <is>
          <t>SÄTER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51333-2024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46311</v>
      </c>
      <c r="F293" t="inlineStr">
        <is>
          <t>DALARNAS LÄN</t>
        </is>
      </c>
      <c r="G293" t="inlineStr">
        <is>
          <t>SÄTER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45175</v>
      </c>
      <c r="E294" s="1" t="n">
        <v>46311</v>
      </c>
      <c r="F294" t="inlineStr">
        <is>
          <t>DALARNAS LÄN</t>
        </is>
      </c>
      <c r="G294" t="inlineStr">
        <is>
          <t>SÄTER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46311</v>
      </c>
      <c r="F295" t="inlineStr">
        <is>
          <t>DALARNAS LÄN</t>
        </is>
      </c>
      <c r="G295" t="inlineStr">
        <is>
          <t>SÄTER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HYPERLINK("https://klasma.github.io/Logging_2082/knärot/A 498-2025 karta knärot.png", "A 498-2025")</f>
        <v/>
      </c>
      <c r="AA295">
        <f>HYPERLINK("https://klasma.github.io/Logging_2082/klagomål/A 498-2025 FSC-klagomål.docx", "A 498-2025")</f>
        <v/>
      </c>
      <c r="AB295">
        <f>HYPERLINK("https://klasma.github.io/Logging_2082/klagomålsmail/A 498-2025 FSC-klagomål mail.docx", "A 498-2025")</f>
        <v/>
      </c>
      <c r="AC295">
        <f>HYPERLINK("https://klasma.github.io/Logging_2082/tillsyn/A 498-2025 tillsynsbegäran.docx", "A 498-2025")</f>
        <v/>
      </c>
      <c r="AD295">
        <f>HYPERLINK("https://klasma.github.io/Logging_2082/tillsynsmail/A 498-2025 tillsynsbegäran mail.docx", "A 498-2025")</f>
        <v/>
      </c>
    </row>
    <row r="296" ht="15" customHeight="1">
      <c r="A296" t="inlineStr">
        <is>
          <t>A 58325-2025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46311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46311</v>
      </c>
      <c r="F297" t="inlineStr">
        <is>
          <t>DALARNAS LÄN</t>
        </is>
      </c>
      <c r="G297" t="inlineStr">
        <is>
          <t>SÄTER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39714-2026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46311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54312-2023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46311</v>
      </c>
      <c r="F299" t="inlineStr">
        <is>
          <t>DALARNAS LÄN</t>
        </is>
      </c>
      <c r="G299" t="inlineStr">
        <is>
          <t>SÄTER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46290</v>
      </c>
      <c r="E300" s="1" t="n">
        <v>46311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9.199999999999999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39883-2026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46311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46311</v>
      </c>
      <c r="F302" t="inlineStr">
        <is>
          <t>DALARNAS LÄN</t>
        </is>
      </c>
      <c r="G302" t="inlineStr">
        <is>
          <t>SÄTER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46311</v>
      </c>
      <c r="F303" t="inlineStr">
        <is>
          <t>DALARNAS LÄN</t>
        </is>
      </c>
      <c r="G303" t="inlineStr">
        <is>
          <t>SÄTER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41471-2023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45171</v>
      </c>
      <c r="E304" s="1" t="n">
        <v>46311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46311</v>
      </c>
      <c r="F305" t="inlineStr">
        <is>
          <t>DALARNAS LÄN</t>
        </is>
      </c>
      <c r="G305" t="inlineStr">
        <is>
          <t>SÄTER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46311</v>
      </c>
      <c r="F306" t="inlineStr">
        <is>
          <t>DALARNAS LÄN</t>
        </is>
      </c>
      <c r="G306" t="inlineStr">
        <is>
          <t>SÄTER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45783</v>
      </c>
      <c r="E307" s="1" t="n">
        <v>46311</v>
      </c>
      <c r="F307" t="inlineStr">
        <is>
          <t>DALARNAS LÄN</t>
        </is>
      </c>
      <c r="G307" t="inlineStr">
        <is>
          <t>SÄTER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19322-2024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46311</v>
      </c>
      <c r="F308" t="inlineStr">
        <is>
          <t>DALARNAS LÄN</t>
        </is>
      </c>
      <c r="G308" t="inlineStr">
        <is>
          <t>SÄTER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46311</v>
      </c>
      <c r="F309" t="inlineStr">
        <is>
          <t>DALARNAS LÄN</t>
        </is>
      </c>
      <c r="G309" t="inlineStr">
        <is>
          <t>SÄTER</t>
        </is>
      </c>
      <c r="H309" t="inlineStr">
        <is>
          <t>Sveaskog</t>
        </is>
      </c>
      <c r="I309" t="n">
        <v>19.8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46293</v>
      </c>
      <c r="E310" s="1" t="n">
        <v>46311</v>
      </c>
      <c r="F310" t="inlineStr">
        <is>
          <t>DALARNAS LÄN</t>
        </is>
      </c>
      <c r="G310" t="inlineStr">
        <is>
          <t>SÄTER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46311</v>
      </c>
      <c r="F311" t="inlineStr">
        <is>
          <t>DALARNAS LÄN</t>
        </is>
      </c>
      <c r="G311" t="inlineStr">
        <is>
          <t>SÄTER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45432</v>
      </c>
      <c r="E312" s="1" t="n">
        <v>46311</v>
      </c>
      <c r="F312" t="inlineStr">
        <is>
          <t>DALARNAS LÄN</t>
        </is>
      </c>
      <c r="G312" t="inlineStr">
        <is>
          <t>SÄTER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45790</v>
      </c>
      <c r="E313" s="1" t="n">
        <v>46311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46254</v>
      </c>
      <c r="E314" s="1" t="n">
        <v>46311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46014</v>
      </c>
      <c r="E315" s="1" t="n">
        <v>46311</v>
      </c>
      <c r="F315" t="inlineStr">
        <is>
          <t>DALARNAS LÄN</t>
        </is>
      </c>
      <c r="G315" t="inlineStr">
        <is>
          <t>SÄTER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46311</v>
      </c>
      <c r="F316" t="inlineStr">
        <is>
          <t>DALARNAS LÄN</t>
        </is>
      </c>
      <c r="G316" t="inlineStr">
        <is>
          <t>SÄTER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45666</v>
      </c>
      <c r="E317" s="1" t="n">
        <v>46311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10404-2024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46311</v>
      </c>
      <c r="F318" t="inlineStr">
        <is>
          <t>DALARNAS LÄN</t>
        </is>
      </c>
      <c r="G318" t="inlineStr">
        <is>
          <t>SÄTER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21911-2024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45443</v>
      </c>
      <c r="E319" s="1" t="n">
        <v>46311</v>
      </c>
      <c r="F319" t="inlineStr">
        <is>
          <t>DALARNAS LÄN</t>
        </is>
      </c>
      <c r="G319" t="inlineStr">
        <is>
          <t>SÄTER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46311</v>
      </c>
      <c r="F320" t="inlineStr">
        <is>
          <t>DALARNAS LÄN</t>
        </is>
      </c>
      <c r="G320" t="inlineStr">
        <is>
          <t>SÄTER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46027</v>
      </c>
      <c r="E321" s="1" t="n">
        <v>46311</v>
      </c>
      <c r="F321" t="inlineStr">
        <is>
          <t>DALARNAS LÄN</t>
        </is>
      </c>
      <c r="G321" t="inlineStr">
        <is>
          <t>SÄTER</t>
        </is>
      </c>
      <c r="I321" t="n">
        <v>12.1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46026</v>
      </c>
      <c r="E322" s="1" t="n">
        <v>46311</v>
      </c>
      <c r="F322" t="inlineStr">
        <is>
          <t>DALARNAS LÄN</t>
        </is>
      </c>
      <c r="G322" t="inlineStr">
        <is>
          <t>SÄTER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45118</v>
      </c>
      <c r="E323" s="1" t="n">
        <v>46311</v>
      </c>
      <c r="F323" t="inlineStr">
        <is>
          <t>DALARNAS LÄN</t>
        </is>
      </c>
      <c r="G323" t="inlineStr">
        <is>
          <t>SÄTER</t>
        </is>
      </c>
      <c r="H323" t="inlineStr">
        <is>
          <t>Bergvik skog väst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987-2026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46030</v>
      </c>
      <c r="E324" s="1" t="n">
        <v>46311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25294-2024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45462</v>
      </c>
      <c r="E325" s="1" t="n">
        <v>46311</v>
      </c>
      <c r="F325" t="inlineStr">
        <is>
          <t>DALARNAS LÄN</t>
        </is>
      </c>
      <c r="G325" t="inlineStr">
        <is>
          <t>SÄTER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45377</v>
      </c>
      <c r="E326" s="1" t="n">
        <v>46311</v>
      </c>
      <c r="F326" t="inlineStr">
        <is>
          <t>DALARNAS LÄN</t>
        </is>
      </c>
      <c r="G326" t="inlineStr">
        <is>
          <t>SÄTER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46031</v>
      </c>
      <c r="E327" s="1" t="n">
        <v>46311</v>
      </c>
      <c r="F327" t="inlineStr">
        <is>
          <t>DALARNAS LÄN</t>
        </is>
      </c>
      <c r="G327" t="inlineStr">
        <is>
          <t>SÄTER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46311</v>
      </c>
      <c r="F328" t="inlineStr">
        <is>
          <t>DALARNAS LÄN</t>
        </is>
      </c>
      <c r="G328" t="inlineStr">
        <is>
          <t>SÄTER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46311</v>
      </c>
      <c r="F329" t="inlineStr">
        <is>
          <t>DALARNAS LÄN</t>
        </is>
      </c>
      <c r="G329" t="inlineStr">
        <is>
          <t>SÄTER</t>
        </is>
      </c>
      <c r="H329" t="inlineStr">
        <is>
          <t>Kommuner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46311</v>
      </c>
      <c r="F330" t="inlineStr">
        <is>
          <t>DALARNAS LÄN</t>
        </is>
      </c>
      <c r="G330" t="inlineStr">
        <is>
          <t>SÄTER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46261</v>
      </c>
      <c r="E331" s="1" t="n">
        <v>46311</v>
      </c>
      <c r="F331" t="inlineStr">
        <is>
          <t>DALARNAS LÄN</t>
        </is>
      </c>
      <c r="G331" t="inlineStr">
        <is>
          <t>SÄTER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46311</v>
      </c>
      <c r="F332" t="inlineStr">
        <is>
          <t>DALARNAS LÄN</t>
        </is>
      </c>
      <c r="G332" t="inlineStr">
        <is>
          <t>SÄTER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46311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46311</v>
      </c>
      <c r="F334" t="inlineStr">
        <is>
          <t>DALARNAS LÄN</t>
        </is>
      </c>
      <c r="G334" t="inlineStr">
        <is>
          <t>SÄTER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46311</v>
      </c>
      <c r="F335" t="inlineStr">
        <is>
          <t>DALARNAS LÄN</t>
        </is>
      </c>
      <c r="G335" t="inlineStr">
        <is>
          <t>SÄTER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46311</v>
      </c>
      <c r="F336" t="inlineStr">
        <is>
          <t>DALARNAS LÄN</t>
        </is>
      </c>
      <c r="G336" t="inlineStr">
        <is>
          <t>SÄTER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46311</v>
      </c>
      <c r="F337" t="inlineStr">
        <is>
          <t>DALARNAS LÄN</t>
        </is>
      </c>
      <c r="G337" t="inlineStr">
        <is>
          <t>SÄTER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46311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46311</v>
      </c>
      <c r="F339" t="inlineStr">
        <is>
          <t>DALARNAS LÄN</t>
        </is>
      </c>
      <c r="G339" t="inlineStr">
        <is>
          <t>SÄTER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46311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44809</v>
      </c>
      <c r="E341" s="1" t="n">
        <v>46311</v>
      </c>
      <c r="F341" t="inlineStr">
        <is>
          <t>DALARNAS LÄN</t>
        </is>
      </c>
      <c r="G341" t="inlineStr">
        <is>
          <t>SÄTER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35564-2026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46262</v>
      </c>
      <c r="E342" s="1" t="n">
        <v>46311</v>
      </c>
      <c r="F342" t="inlineStr">
        <is>
          <t>DALARNAS LÄN</t>
        </is>
      </c>
      <c r="G342" t="inlineStr">
        <is>
          <t>SÄTER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46300</v>
      </c>
      <c r="E343" s="1" t="n">
        <v>46311</v>
      </c>
      <c r="F343" t="inlineStr">
        <is>
          <t>DALARNAS LÄN</t>
        </is>
      </c>
      <c r="G343" t="inlineStr">
        <is>
          <t>SÄTER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46204</v>
      </c>
      <c r="E344" s="1" t="n">
        <v>46311</v>
      </c>
      <c r="F344" t="inlineStr">
        <is>
          <t>DALARNAS LÄN</t>
        </is>
      </c>
      <c r="G344" t="inlineStr">
        <is>
          <t>SÄTER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46311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46311</v>
      </c>
      <c r="F346" t="inlineStr">
        <is>
          <t>DALARNAS LÄN</t>
        </is>
      </c>
      <c r="G346" t="inlineStr">
        <is>
          <t>SÄTER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39998-2026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46293</v>
      </c>
      <c r="E347" s="1" t="n">
        <v>46311</v>
      </c>
      <c r="F347" t="inlineStr">
        <is>
          <t>DALARNAS LÄN</t>
        </is>
      </c>
      <c r="G347" t="inlineStr">
        <is>
          <t>SÄTER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46311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46057</v>
      </c>
      <c r="E349" s="1" t="n">
        <v>46311</v>
      </c>
      <c r="F349" t="inlineStr">
        <is>
          <t>DALARNAS LÄN</t>
        </is>
      </c>
      <c r="G349" t="inlineStr">
        <is>
          <t>SÄTER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46311</v>
      </c>
      <c r="F350" t="inlineStr">
        <is>
          <t>DALARNAS LÄN</t>
        </is>
      </c>
      <c r="G350" t="inlineStr">
        <is>
          <t>SÄTER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46065</v>
      </c>
      <c r="E351" s="1" t="n">
        <v>46311</v>
      </c>
      <c r="F351" t="inlineStr">
        <is>
          <t>DALARNAS LÄN</t>
        </is>
      </c>
      <c r="G351" t="inlineStr">
        <is>
          <t>SÄTER</t>
        </is>
      </c>
      <c r="I351" t="n">
        <v>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46311</v>
      </c>
      <c r="F352" t="inlineStr">
        <is>
          <t>DALARNAS LÄN</t>
        </is>
      </c>
      <c r="G352" t="inlineStr">
        <is>
          <t>SÄTER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46311</v>
      </c>
      <c r="F353" t="inlineStr">
        <is>
          <t>DALARNAS LÄN</t>
        </is>
      </c>
      <c r="G353" t="inlineStr">
        <is>
          <t>SÄTER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46076</v>
      </c>
      <c r="E354" s="1" t="n">
        <v>46311</v>
      </c>
      <c r="F354" t="inlineStr">
        <is>
          <t>DALARNAS LÄN</t>
        </is>
      </c>
      <c r="G354" t="inlineStr">
        <is>
          <t>SÄTER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46083</v>
      </c>
      <c r="E355" s="1" t="n">
        <v>46311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10552-2026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46077</v>
      </c>
      <c r="E356" s="1" t="n">
        <v>46311</v>
      </c>
      <c r="F356" t="inlineStr">
        <is>
          <t>DALARNAS LÄN</t>
        </is>
      </c>
      <c r="G356" t="inlineStr">
        <is>
          <t>SÄTER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46311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46311</v>
      </c>
      <c r="F358" t="inlineStr">
        <is>
          <t>DALARNAS LÄN</t>
        </is>
      </c>
      <c r="G358" t="inlineStr">
        <is>
          <t>SÄTER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12957-2026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46311</v>
      </c>
      <c r="F359" t="inlineStr">
        <is>
          <t>DALARNAS LÄN</t>
        </is>
      </c>
      <c r="G359" t="inlineStr">
        <is>
          <t>SÄTER</t>
        </is>
      </c>
      <c r="I359" t="n">
        <v>9.800000000000001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46311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46311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46311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3057-2023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45182</v>
      </c>
      <c r="E363" s="1" t="n">
        <v>46311</v>
      </c>
      <c r="F363" t="inlineStr">
        <is>
          <t>DALARNAS LÄN</t>
        </is>
      </c>
      <c r="G363" t="inlineStr">
        <is>
          <t>SÄTER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46311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46311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46311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2939-2025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45951</v>
      </c>
      <c r="E367" s="1" t="n">
        <v>46311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46311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2026-10-16T02:17:39Z</dcterms:created>
  <dcterms:modified xmlns:dcterms="http://purl.org/dc/terms/" xmlns:xsi="http://www.w3.org/2001/XMLSchema-instance" xsi:type="dcterms:W3CDTF">2026-10-16T02:17:40Z</dcterms:modified>
</cp:coreProperties>
</file>