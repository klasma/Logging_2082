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46253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46253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46253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46253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46253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46253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46253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46253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Ask
Grönsångare
Kransmossa</t>
        </is>
      </c>
      <c r="W16">
        <f>HYPERLINK("https://klasma.github.io/Logging_2082/artfynd/A 12817-2026 artfynd.xlsx", "A 12817-2026")</f>
        <v/>
      </c>
      <c r="X16">
        <f>HYPERLINK("https://klasma.github.io/Logging_2082/kartor/A 12817-2026 karta.png", "A 12817-2026")</f>
        <v/>
      </c>
      <c r="Y16">
        <f>HYPERLINK("https://klasma.github.io/Logging_2082/kartor_geotiff/A 12817-2026 georefererad karta.tif", "A 12817-2026")</f>
        <v/>
      </c>
      <c r="AA16">
        <f>HYPERLINK("https://klasma.github.io/Logging_2082/klagomål/A 12817-2026 FSC-klagomål.docx", "A 12817-2026")</f>
        <v/>
      </c>
      <c r="AB16">
        <f>HYPERLINK("https://klasma.github.io/Logging_2082/klagomålsmail/A 12817-2026 FSC-klagomål mail.docx", "A 12817-2026")</f>
        <v/>
      </c>
      <c r="AC16">
        <f>HYPERLINK("https://klasma.github.io/Logging_2082/tillsyn/A 12817-2026 tillsynsbegäran.docx", "A 12817-2026")</f>
        <v/>
      </c>
      <c r="AD16">
        <f>HYPERLINK("https://klasma.github.io/Logging_2082/tillsynsmail/A 12817-2026 tillsynsbegäran mail.docx", "A 12817-2026")</f>
        <v/>
      </c>
      <c r="AE16">
        <f>HYPERLINK("https://klasma.github.io/Logging_2082/fåglar/A 12817-2026 prioriterade fågelarter.docx", "A 12817-2026")</f>
        <v/>
      </c>
    </row>
    <row r="17" ht="15" customHeight="1">
      <c r="A17" t="inlineStr">
        <is>
          <t>A 21382-2025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45781</v>
      </c>
      <c r="E17" s="1" t="n">
        <v>46253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37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Brudsporre
Revlummer
Äkta lopplummer</t>
        </is>
      </c>
      <c r="W17">
        <f>HYPERLINK("https://klasma.github.io/Logging_2082/artfynd/A 21382-2025 artfynd.xlsx", "A 21382-2025")</f>
        <v/>
      </c>
      <c r="X17">
        <f>HYPERLINK("https://klasma.github.io/Logging_2082/kartor/A 21382-2025 karta.png", "A 21382-2025")</f>
        <v/>
      </c>
      <c r="Y17">
        <f>HYPERLINK("https://klasma.github.io/Logging_2082/kartor_geotiff/A 21382-2025 georefererad karta.tif", "A 21382-2025")</f>
        <v/>
      </c>
      <c r="AA17">
        <f>HYPERLINK("https://klasma.github.io/Logging_2082/klagomål/A 21382-2025 FSC-klagomål.docx", "A 21382-2025")</f>
        <v/>
      </c>
      <c r="AB17">
        <f>HYPERLINK("https://klasma.github.io/Logging_2082/klagomålsmail/A 21382-2025 FSC-klagomål mail.docx", "A 21382-2025")</f>
        <v/>
      </c>
      <c r="AC17">
        <f>HYPERLINK("https://klasma.github.io/Logging_2082/tillsyn/A 21382-2025 tillsynsbegäran.docx", "A 21382-2025")</f>
        <v/>
      </c>
      <c r="AD17">
        <f>HYPERLINK("https://klasma.github.io/Logging_2082/tillsynsmail/A 21382-2025 tillsynsbegäran mail.docx", "A 21382-2025")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46253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46253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46253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46253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46253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46253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46253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46253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46253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46253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Jungfrulin
Klasefibbla</t>
        </is>
      </c>
      <c r="W27">
        <f>HYPERLINK("https://klasma.github.io/Logging_2082/artfynd/A 52205-2021 artfynd.xlsx", "A 52205-2021")</f>
        <v/>
      </c>
      <c r="X27">
        <f>HYPERLINK("https://klasma.github.io/Logging_2082/kartor/A 52205-2021 karta.png", "A 52205-2021")</f>
        <v/>
      </c>
      <c r="Y27">
        <f>HYPERLINK("https://klasma.github.io/Logging_2082/kartor_geotiff/A 52205-2021 georefererad karta.tif", "A 52205-2021")</f>
        <v/>
      </c>
      <c r="AA27">
        <f>HYPERLINK("https://klasma.github.io/Logging_2082/klagomål/A 52205-2021 FSC-klagomål.docx", "A 52205-2021")</f>
        <v/>
      </c>
      <c r="AB27">
        <f>HYPERLINK("https://klasma.github.io/Logging_2082/klagomålsmail/A 52205-2021 FSC-klagomål mail.docx", "A 52205-2021")</f>
        <v/>
      </c>
      <c r="AC27">
        <f>HYPERLINK("https://klasma.github.io/Logging_2082/tillsyn/A 52205-2021 tillsynsbegäran.docx", "A 52205-2021")</f>
        <v/>
      </c>
      <c r="AD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46253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46253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46253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46253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46253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46253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34938-2025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46253</v>
      </c>
      <c r="F34" t="inlineStr">
        <is>
          <t>DALARNAS LÄN</t>
        </is>
      </c>
      <c r="G34" t="inlineStr">
        <is>
          <t>SÄTER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HYPERLINK("https://klasma.github.io/Logging_2082/artfynd/A 34938-2025 artfynd.xlsx", "A 34938-2025")</f>
        <v/>
      </c>
      <c r="X34">
        <f>HYPERLINK("https://klasma.github.io/Logging_2082/kartor/A 34938-2025 karta.png", "A 34938-2025")</f>
        <v/>
      </c>
      <c r="Y34">
        <f>HYPERLINK("https://klasma.github.io/Logging_2082/kartor_geotiff/A 34938-2025 georefererad karta.tif", "A 34938-2025")</f>
        <v/>
      </c>
      <c r="AA34">
        <f>HYPERLINK("https://klasma.github.io/Logging_2082/klagomål/A 34938-2025 FSC-klagomål.docx", "A 34938-2025")</f>
        <v/>
      </c>
      <c r="AB34">
        <f>HYPERLINK("https://klasma.github.io/Logging_2082/klagomålsmail/A 34938-2025 FSC-klagomål mail.docx", "A 34938-2025")</f>
        <v/>
      </c>
      <c r="AC34">
        <f>HYPERLINK("https://klasma.github.io/Logging_2082/tillsyn/A 34938-2025 tillsynsbegäran.docx", "A 34938-2025")</f>
        <v/>
      </c>
      <c r="AD34">
        <f>HYPERLINK("https://klasma.github.io/Logging_2082/tillsynsmail/A 34938-2025 tillsynsbegäran mail.docx", "A 34938-2025")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46253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35221-2025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45853</v>
      </c>
      <c r="E36" s="1" t="n">
        <v>46253</v>
      </c>
      <c r="F36" t="inlineStr">
        <is>
          <t>DALARNAS LÄN</t>
        </is>
      </c>
      <c r="G36" t="inlineStr">
        <is>
          <t>SÄTER</t>
        </is>
      </c>
      <c r="I36" t="n">
        <v>9.5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Vedskivlav</t>
        </is>
      </c>
      <c r="W36">
        <f>HYPERLINK("https://klasma.github.io/Logging_2082/artfynd/A 35221-2025 artfynd.xlsx", "A 35221-2025")</f>
        <v/>
      </c>
      <c r="X36">
        <f>HYPERLINK("https://klasma.github.io/Logging_2082/kartor/A 35221-2025 karta.png", "A 35221-2025")</f>
        <v/>
      </c>
      <c r="Y36">
        <f>HYPERLINK("https://klasma.github.io/Logging_2082/kartor_geotiff/A 35221-2025 georefererad karta.tif", "A 35221-2025")</f>
        <v/>
      </c>
      <c r="AA36">
        <f>HYPERLINK("https://klasma.github.io/Logging_2082/klagomål/A 35221-2025 FSC-klagomål.docx", "A 35221-2025")</f>
        <v/>
      </c>
      <c r="AB36">
        <f>HYPERLINK("https://klasma.github.io/Logging_2082/klagomålsmail/A 35221-2025 FSC-klagomål mail.docx", "A 35221-2025")</f>
        <v/>
      </c>
      <c r="AC36">
        <f>HYPERLINK("https://klasma.github.io/Logging_2082/tillsyn/A 35221-2025 tillsynsbegäran.docx", "A 35221-2025")</f>
        <v/>
      </c>
      <c r="AD36">
        <f>HYPERLINK("https://klasma.github.io/Logging_2082/tillsynsmail/A 35221-2025 tillsynsbegäran mail.docx", "A 35221-2025")</f>
        <v/>
      </c>
    </row>
    <row r="37" ht="15" customHeight="1">
      <c r="A37" t="inlineStr">
        <is>
          <t>A 36939-2025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46253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Slaguggla</t>
        </is>
      </c>
      <c r="W37">
        <f>HYPERLINK("https://klasma.github.io/Logging_2082/artfynd/A 36939-2025 artfynd.xlsx", "A 36939-2025")</f>
        <v/>
      </c>
      <c r="X37">
        <f>HYPERLINK("https://klasma.github.io/Logging_2082/kartor/A 36939-2025 karta.png", "A 36939-2025")</f>
        <v/>
      </c>
      <c r="Y37">
        <f>HYPERLINK("https://klasma.github.io/Logging_2082/kartor_geotiff/A 36939-2025 georefererad karta.tif", "A 36939-2025")</f>
        <v/>
      </c>
      <c r="AA37">
        <f>HYPERLINK("https://klasma.github.io/Logging_2082/klagomål/A 36939-2025 FSC-klagomål.docx", "A 36939-2025")</f>
        <v/>
      </c>
      <c r="AB37">
        <f>HYPERLINK("https://klasma.github.io/Logging_2082/klagomålsmail/A 36939-2025 FSC-klagomål mail.docx", "A 36939-2025")</f>
        <v/>
      </c>
      <c r="AC37">
        <f>HYPERLINK("https://klasma.github.io/Logging_2082/tillsyn/A 36939-2025 tillsynsbegäran.docx", "A 36939-2025")</f>
        <v/>
      </c>
      <c r="AD37">
        <f>HYPERLINK("https://klasma.github.io/Logging_2082/tillsynsmail/A 36939-2025 tillsynsbegäran mail.docx", "A 36939-2025")</f>
        <v/>
      </c>
      <c r="AE37">
        <f>HYPERLINK("https://klasma.github.io/Logging_2082/fåglar/A 36939-2025 prioriterade fågelarter.docx", "A 36939-2025")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46253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46253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46253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46253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61197-2025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46253</v>
      </c>
      <c r="F42" t="inlineStr">
        <is>
          <t>DALARNAS LÄN</t>
        </is>
      </c>
      <c r="G42" t="inlineStr">
        <is>
          <t>SÄTER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61197-2025 artfynd.xlsx", "A 61197-2025")</f>
        <v/>
      </c>
      <c r="X42">
        <f>HYPERLINK("https://klasma.github.io/Logging_2082/kartor/A 61197-2025 karta.png", "A 61197-2025")</f>
        <v/>
      </c>
      <c r="Y42">
        <f>HYPERLINK("https://klasma.github.io/Logging_2082/kartor_geotiff/A 61197-2025 georefererad karta.tif", "A 61197-2025")</f>
        <v/>
      </c>
      <c r="Z42">
        <f>HYPERLINK("https://klasma.github.io/Logging_2082/knärot/A 61197-2025 karta knärot.png", "A 61197-2025")</f>
        <v/>
      </c>
      <c r="AA42">
        <f>HYPERLINK("https://klasma.github.io/Logging_2082/klagomål/A 61197-2025 FSC-klagomål.docx", "A 61197-2025")</f>
        <v/>
      </c>
      <c r="AB42">
        <f>HYPERLINK("https://klasma.github.io/Logging_2082/klagomålsmail/A 61197-2025 FSC-klagomål mail.docx", "A 61197-2025")</f>
        <v/>
      </c>
      <c r="AC42">
        <f>HYPERLINK("https://klasma.github.io/Logging_2082/tillsyn/A 61197-2025 tillsynsbegäran.docx", "A 61197-2025")</f>
        <v/>
      </c>
      <c r="AD42">
        <f>HYPERLINK("https://klasma.github.io/Logging_2082/tillsynsmail/A 61197-2025 tillsynsbegäran mail.docx", "A 61197-2025")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46253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46253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Fjällig taggsvamp s.str.</t>
        </is>
      </c>
      <c r="W44">
        <f>HYPERLINK("https://klasma.github.io/Logging_2082/artfynd/A 21111-2026 artfynd.xlsx", "A 21111-2026")</f>
        <v/>
      </c>
      <c r="X44">
        <f>HYPERLINK("https://klasma.github.io/Logging_2082/kartor/A 21111-2026 karta.png", "A 21111-2026")</f>
        <v/>
      </c>
      <c r="Y44">
        <f>HYPERLINK("https://klasma.github.io/Logging_2082/kartor_geotiff/A 21111-2026 georefererad karta.tif", "A 21111-2026")</f>
        <v/>
      </c>
      <c r="AA44">
        <f>HYPERLINK("https://klasma.github.io/Logging_2082/klagomål/A 21111-2026 FSC-klagomål.docx", "A 21111-2026")</f>
        <v/>
      </c>
      <c r="AB44">
        <f>HYPERLINK("https://klasma.github.io/Logging_2082/klagomålsmail/A 21111-2026 FSC-klagomål mail.docx", "A 21111-2026")</f>
        <v/>
      </c>
      <c r="AC44">
        <f>HYPERLINK("https://klasma.github.io/Logging_2082/tillsyn/A 21111-2026 tillsynsbegäran.docx", "A 21111-2026")</f>
        <v/>
      </c>
      <c r="AD44">
        <f>HYPERLINK("https://klasma.github.io/Logging_2082/tillsynsmail/A 21111-2026 tillsynsbegäran mail.docx", "A 21111-2026")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46253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47064-2021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46253</v>
      </c>
      <c r="F46" t="inlineStr">
        <is>
          <t>DALARNAS LÄN</t>
        </is>
      </c>
      <c r="G46" t="inlineStr">
        <is>
          <t>SÄTER</t>
        </is>
      </c>
      <c r="I46" t="n">
        <v>2.9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Sädesärla</t>
        </is>
      </c>
      <c r="W46">
        <f>HYPERLINK("https://klasma.github.io/Logging_2082/artfynd/A 47064-2021 artfynd.xlsx", "A 47064-2021")</f>
        <v/>
      </c>
      <c r="X46">
        <f>HYPERLINK("https://klasma.github.io/Logging_2082/kartor/A 47064-2021 karta.png", "A 47064-2021")</f>
        <v/>
      </c>
      <c r="Y46">
        <f>HYPERLINK("https://klasma.github.io/Logging_2082/kartor_geotiff/A 47064-2021 georefererad karta.tif", "A 47064-2021")</f>
        <v/>
      </c>
      <c r="AA46">
        <f>HYPERLINK("https://klasma.github.io/Logging_2082/klagomål/A 47064-2021 FSC-klagomål.docx", "A 47064-2021")</f>
        <v/>
      </c>
      <c r="AB46">
        <f>HYPERLINK("https://klasma.github.io/Logging_2082/klagomålsmail/A 47064-2021 FSC-klagomål mail.docx", "A 47064-2021")</f>
        <v/>
      </c>
      <c r="AC46">
        <f>HYPERLINK("https://klasma.github.io/Logging_2082/tillsyn/A 47064-2021 tillsynsbegäran.docx", "A 47064-2021")</f>
        <v/>
      </c>
      <c r="AD46">
        <f>HYPERLINK("https://klasma.github.io/Logging_2082/tillsynsmail/A 47064-2021 tillsynsbegäran mail.docx", "A 47064-2021")</f>
        <v/>
      </c>
      <c r="AE46">
        <f>HYPERLINK("https://klasma.github.io/Logging_2082/fåglar/A 47064-2021 prioriterade fågelarter.docx", "A 47064-2021")</f>
        <v/>
      </c>
    </row>
    <row r="47" ht="15" customHeight="1">
      <c r="A47" t="inlineStr">
        <is>
          <t>A 27715-2023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46253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HYPERLINK("https://klasma.github.io/Logging_2082/artfynd/A 27715-2023 artfynd.xlsx", "A 27715-2023")</f>
        <v/>
      </c>
      <c r="X47">
        <f>HYPERLINK("https://klasma.github.io/Logging_2082/kartor/A 27715-2023 karta.png", "A 27715-2023")</f>
        <v/>
      </c>
      <c r="Y47">
        <f>HYPERLINK("https://klasma.github.io/Logging_2082/kartor_geotiff/A 27715-2023 georefererad karta.tif", "A 27715-2023")</f>
        <v/>
      </c>
      <c r="AA47">
        <f>HYPERLINK("https://klasma.github.io/Logging_2082/klagomål/A 27715-2023 FSC-klagomål.docx", "A 27715-2023")</f>
        <v/>
      </c>
      <c r="AB47">
        <f>HYPERLINK("https://klasma.github.io/Logging_2082/klagomålsmail/A 27715-2023 FSC-klagomål mail.docx", "A 27715-2023")</f>
        <v/>
      </c>
      <c r="AC47">
        <f>HYPERLINK("https://klasma.github.io/Logging_2082/tillsyn/A 27715-2023 tillsynsbegäran.docx", "A 27715-2023")</f>
        <v/>
      </c>
      <c r="AD47">
        <f>HYPERLINK("https://klasma.github.io/Logging_2082/tillsynsmail/A 27715-2023 tillsynsbegäran mail.docx", "A 27715-2023")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46253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46253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46253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46253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46253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46253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46253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46253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46253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46253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46253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46253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46253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46253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46253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46253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46253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46253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61400-2021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44500</v>
      </c>
      <c r="E66" s="1" t="n">
        <v>46253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46253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46253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46253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46253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46253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46253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46253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46253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46253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46253</v>
      </c>
      <c r="F76" t="inlineStr">
        <is>
          <t>DALARNAS LÄN</t>
        </is>
      </c>
      <c r="G76" t="inlineStr">
        <is>
          <t>SÄTER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44725</v>
      </c>
      <c r="E77" s="1" t="n">
        <v>46253</v>
      </c>
      <c r="F77" t="inlineStr">
        <is>
          <t>DALARNAS LÄN</t>
        </is>
      </c>
      <c r="G77" t="inlineStr">
        <is>
          <t>SÄTER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46253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46253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46253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46253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46253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46253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44869</v>
      </c>
      <c r="E84" s="1" t="n">
        <v>46253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46253</v>
      </c>
      <c r="F85" t="inlineStr">
        <is>
          <t>DALARNAS LÄN</t>
        </is>
      </c>
      <c r="G85" t="inlineStr">
        <is>
          <t>SÄTER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46253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46253</v>
      </c>
      <c r="F87" t="inlineStr">
        <is>
          <t>DALARNAS LÄN</t>
        </is>
      </c>
      <c r="G87" t="inlineStr">
        <is>
          <t>SÄTER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59707-2022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44908</v>
      </c>
      <c r="E88" s="1" t="n">
        <v>46253</v>
      </c>
      <c r="F88" t="inlineStr">
        <is>
          <t>DALARNAS LÄN</t>
        </is>
      </c>
      <c r="G88" t="inlineStr">
        <is>
          <t>SÄTER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46253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46253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46253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46253</v>
      </c>
      <c r="F92" t="inlineStr">
        <is>
          <t>DALARNAS LÄN</t>
        </is>
      </c>
      <c r="G92" t="inlineStr">
        <is>
          <t>SÄTER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46253</v>
      </c>
      <c r="F93" t="inlineStr">
        <is>
          <t>DALARNAS LÄN</t>
        </is>
      </c>
      <c r="G93" t="inlineStr">
        <is>
          <t>SÄTER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46253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46253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46253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44572</v>
      </c>
      <c r="E97" s="1" t="n">
        <v>46253</v>
      </c>
      <c r="F97" t="inlineStr">
        <is>
          <t>DALARNAS LÄN</t>
        </is>
      </c>
      <c r="G97" t="inlineStr">
        <is>
          <t>SÄTER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46253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44972</v>
      </c>
      <c r="E99" s="1" t="n">
        <v>46253</v>
      </c>
      <c r="F99" t="inlineStr">
        <is>
          <t>DALARNAS LÄN</t>
        </is>
      </c>
      <c r="G99" t="inlineStr">
        <is>
          <t>SÄTER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46253</v>
      </c>
      <c r="F100" t="inlineStr">
        <is>
          <t>DALARNAS LÄN</t>
        </is>
      </c>
      <c r="G100" t="inlineStr">
        <is>
          <t>SÄTER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45138</v>
      </c>
      <c r="E101" s="1" t="n">
        <v>46253</v>
      </c>
      <c r="F101" t="inlineStr">
        <is>
          <t>DALARNAS LÄN</t>
        </is>
      </c>
      <c r="G101" t="inlineStr">
        <is>
          <t>SÄTER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46253</v>
      </c>
      <c r="F102" t="inlineStr">
        <is>
          <t>DALARNAS LÄN</t>
        </is>
      </c>
      <c r="G102" t="inlineStr">
        <is>
          <t>SÄTER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46253</v>
      </c>
      <c r="F103" t="inlineStr">
        <is>
          <t>DALARNAS LÄN</t>
        </is>
      </c>
      <c r="G103" t="inlineStr">
        <is>
          <t>SÄTER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44595</v>
      </c>
      <c r="E104" s="1" t="n">
        <v>46253</v>
      </c>
      <c r="F104" t="inlineStr">
        <is>
          <t>DALARNAS LÄN</t>
        </is>
      </c>
      <c r="G104" t="inlineStr">
        <is>
          <t>SÄTER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44609</v>
      </c>
      <c r="E105" s="1" t="n">
        <v>46253</v>
      </c>
      <c r="F105" t="inlineStr">
        <is>
          <t>DALARNAS LÄN</t>
        </is>
      </c>
      <c r="G105" t="inlineStr">
        <is>
          <t>SÄTER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46253</v>
      </c>
      <c r="F106" t="inlineStr">
        <is>
          <t>DALARNAS LÄN</t>
        </is>
      </c>
      <c r="G106" t="inlineStr">
        <is>
          <t>SÄTER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46253</v>
      </c>
      <c r="F107" t="inlineStr">
        <is>
          <t>DALARNAS LÄN</t>
        </is>
      </c>
      <c r="G107" t="inlineStr">
        <is>
          <t>SÄTER</t>
        </is>
      </c>
      <c r="I107" t="n">
        <v>10.8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46253</v>
      </c>
      <c r="F108" t="inlineStr">
        <is>
          <t>DALARNAS LÄN</t>
        </is>
      </c>
      <c r="G108" t="inlineStr">
        <is>
          <t>SÄTER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46253</v>
      </c>
      <c r="F109" t="inlineStr">
        <is>
          <t>DALARNAS LÄN</t>
        </is>
      </c>
      <c r="G109" t="inlineStr">
        <is>
          <t>SÄTER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45552</v>
      </c>
      <c r="E110" s="1" t="n">
        <v>46253</v>
      </c>
      <c r="F110" t="inlineStr">
        <is>
          <t>DALARNAS LÄN</t>
        </is>
      </c>
      <c r="G110" t="inlineStr">
        <is>
          <t>SÄTER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46253</v>
      </c>
      <c r="F111" t="inlineStr">
        <is>
          <t>DALARNAS LÄN</t>
        </is>
      </c>
      <c r="G111" t="inlineStr">
        <is>
          <t>SÄTER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45771</v>
      </c>
      <c r="E112" s="1" t="n">
        <v>46253</v>
      </c>
      <c r="F112" t="inlineStr">
        <is>
          <t>DALARNAS LÄN</t>
        </is>
      </c>
      <c r="G112" t="inlineStr">
        <is>
          <t>SÄTER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46253</v>
      </c>
      <c r="F113" t="inlineStr">
        <is>
          <t>DALARNAS LÄN</t>
        </is>
      </c>
      <c r="G113" t="inlineStr">
        <is>
          <t>SÄTER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46253</v>
      </c>
      <c r="F114" t="inlineStr">
        <is>
          <t>DALARNAS LÄN</t>
        </is>
      </c>
      <c r="G114" t="inlineStr">
        <is>
          <t>SÄTER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46253</v>
      </c>
      <c r="F115" t="inlineStr">
        <is>
          <t>DALARNAS LÄN</t>
        </is>
      </c>
      <c r="G115" t="inlineStr">
        <is>
          <t>SÄTER</t>
        </is>
      </c>
      <c r="I115" t="n">
        <v>10.6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28852-2025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46253</v>
      </c>
      <c r="F116" t="inlineStr">
        <is>
          <t>DALARNAS LÄN</t>
        </is>
      </c>
      <c r="G116" t="inlineStr">
        <is>
          <t>SÄTER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46045</v>
      </c>
      <c r="E117" s="1" t="n">
        <v>46253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46045</v>
      </c>
      <c r="E118" s="1" t="n">
        <v>46253</v>
      </c>
      <c r="F118" t="inlineStr">
        <is>
          <t>DALARNAS LÄN</t>
        </is>
      </c>
      <c r="G118" t="inlineStr">
        <is>
          <t>SÄTER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46253</v>
      </c>
      <c r="F119" t="inlineStr">
        <is>
          <t>DALARNAS LÄN</t>
        </is>
      </c>
      <c r="G119" t="inlineStr">
        <is>
          <t>SÄTER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46253</v>
      </c>
      <c r="F120" t="inlineStr">
        <is>
          <t>DALARNAS LÄN</t>
        </is>
      </c>
      <c r="G120" t="inlineStr">
        <is>
          <t>SÄTER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45569</v>
      </c>
      <c r="E121" s="1" t="n">
        <v>46253</v>
      </c>
      <c r="F121" t="inlineStr">
        <is>
          <t>DALARNAS LÄN</t>
        </is>
      </c>
      <c r="G121" t="inlineStr">
        <is>
          <t>SÄTER</t>
        </is>
      </c>
      <c r="I121" t="n">
        <v>13.2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46253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44840</v>
      </c>
      <c r="E123" s="1" t="n">
        <v>46253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46253</v>
      </c>
      <c r="F124" t="inlineStr">
        <is>
          <t>DALARNAS LÄN</t>
        </is>
      </c>
      <c r="G124" t="inlineStr">
        <is>
          <t>SÄTER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46057</v>
      </c>
      <c r="E125" s="1" t="n">
        <v>46253</v>
      </c>
      <c r="F125" t="inlineStr">
        <is>
          <t>DALARNAS LÄN</t>
        </is>
      </c>
      <c r="G125" t="inlineStr">
        <is>
          <t>SÄTER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46057</v>
      </c>
      <c r="E126" s="1" t="n">
        <v>46253</v>
      </c>
      <c r="F126" t="inlineStr">
        <is>
          <t>DALARNAS LÄN</t>
        </is>
      </c>
      <c r="G126" t="inlineStr">
        <is>
          <t>SÄTER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46064</v>
      </c>
      <c r="E127" s="1" t="n">
        <v>46253</v>
      </c>
      <c r="F127" t="inlineStr">
        <is>
          <t>DALARNAS LÄN</t>
        </is>
      </c>
      <c r="G127" t="inlineStr">
        <is>
          <t>SÄTER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46253</v>
      </c>
      <c r="F128" t="inlineStr">
        <is>
          <t>DALARNAS LÄN</t>
        </is>
      </c>
      <c r="G128" t="inlineStr">
        <is>
          <t>SÄTER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45476-2024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45576</v>
      </c>
      <c r="E129" s="1" t="n">
        <v>46253</v>
      </c>
      <c r="F129" t="inlineStr">
        <is>
          <t>DALARNAS LÄN</t>
        </is>
      </c>
      <c r="G129" t="inlineStr">
        <is>
          <t>SÄTER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8435-2026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46065</v>
      </c>
      <c r="E130" s="1" t="n">
        <v>46253</v>
      </c>
      <c r="F130" t="inlineStr">
        <is>
          <t>DALARNAS LÄN</t>
        </is>
      </c>
      <c r="G130" t="inlineStr">
        <is>
          <t>SÄTER</t>
        </is>
      </c>
      <c r="I130" t="n">
        <v>9.9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46253</v>
      </c>
      <c r="F131" t="inlineStr">
        <is>
          <t>DALARNAS LÄN</t>
        </is>
      </c>
      <c r="G131" t="inlineStr">
        <is>
          <t>SÄTER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42998-2023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45182</v>
      </c>
      <c r="E132" s="1" t="n">
        <v>46253</v>
      </c>
      <c r="F132" t="inlineStr">
        <is>
          <t>DALARNAS LÄN</t>
        </is>
      </c>
      <c r="G132" t="inlineStr">
        <is>
          <t>SÄTER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51320-2024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45604</v>
      </c>
      <c r="E133" s="1" t="n">
        <v>46253</v>
      </c>
      <c r="F133" t="inlineStr">
        <is>
          <t>DALARNAS LÄN</t>
        </is>
      </c>
      <c r="G133" t="inlineStr">
        <is>
          <t>SÄTER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51324-2024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45604</v>
      </c>
      <c r="E134" s="1" t="n">
        <v>46253</v>
      </c>
      <c r="F134" t="inlineStr">
        <is>
          <t>DALARNAS LÄN</t>
        </is>
      </c>
      <c r="G134" t="inlineStr">
        <is>
          <t>SÄTER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21696-2023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45063</v>
      </c>
      <c r="E135" s="1" t="n">
        <v>46253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45453</v>
      </c>
      <c r="E136" s="1" t="n">
        <v>46253</v>
      </c>
      <c r="F136" t="inlineStr">
        <is>
          <t>DALARNAS LÄN</t>
        </is>
      </c>
      <c r="G136" t="inlineStr">
        <is>
          <t>SÄTER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46253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46253</v>
      </c>
      <c r="F138" t="inlineStr">
        <is>
          <t>DALARNAS LÄN</t>
        </is>
      </c>
      <c r="G138" t="inlineStr">
        <is>
          <t>SÄTER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46253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10146-2026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46076</v>
      </c>
      <c r="E140" s="1" t="n">
        <v>46253</v>
      </c>
      <c r="F140" t="inlineStr">
        <is>
          <t>DALARNAS LÄN</t>
        </is>
      </c>
      <c r="G140" t="inlineStr">
        <is>
          <t>SÄTER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46076</v>
      </c>
      <c r="E141" s="1" t="n">
        <v>46253</v>
      </c>
      <c r="F141" t="inlineStr">
        <is>
          <t>DALARNAS LÄN</t>
        </is>
      </c>
      <c r="G141" t="inlineStr">
        <is>
          <t>SÄTER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45628</v>
      </c>
      <c r="E142" s="1" t="n">
        <v>46253</v>
      </c>
      <c r="F142" t="inlineStr">
        <is>
          <t>DALARNAS LÄN</t>
        </is>
      </c>
      <c r="G142" t="inlineStr">
        <is>
          <t>SÄTER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45628</v>
      </c>
      <c r="E143" s="1" t="n">
        <v>46253</v>
      </c>
      <c r="F143" t="inlineStr">
        <is>
          <t>DALARNAS LÄN</t>
        </is>
      </c>
      <c r="G143" t="inlineStr">
        <is>
          <t>SÄTER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46253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13510-2023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45006</v>
      </c>
      <c r="E145" s="1" t="n">
        <v>46253</v>
      </c>
      <c r="F145" t="inlineStr">
        <is>
          <t>DALARNAS LÄN</t>
        </is>
      </c>
      <c r="G145" t="inlineStr">
        <is>
          <t>SÄTER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46083</v>
      </c>
      <c r="E146" s="1" t="n">
        <v>46253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46077</v>
      </c>
      <c r="E147" s="1" t="n">
        <v>46253</v>
      </c>
      <c r="F147" t="inlineStr">
        <is>
          <t>DALARNAS LÄN</t>
        </is>
      </c>
      <c r="G147" t="inlineStr">
        <is>
          <t>SÄTER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45638</v>
      </c>
      <c r="E148" s="1" t="n">
        <v>46253</v>
      </c>
      <c r="F148" t="inlineStr">
        <is>
          <t>DALARNAS LÄN</t>
        </is>
      </c>
      <c r="G148" t="inlineStr">
        <is>
          <t>SÄTER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45622</v>
      </c>
      <c r="E149" s="1" t="n">
        <v>46253</v>
      </c>
      <c r="F149" t="inlineStr">
        <is>
          <t>DALARNAS LÄN</t>
        </is>
      </c>
      <c r="G149" t="inlineStr">
        <is>
          <t>SÄTER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46253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46253</v>
      </c>
      <c r="F151" t="inlineStr">
        <is>
          <t>DALARNAS LÄN</t>
        </is>
      </c>
      <c r="G151" t="inlineStr">
        <is>
          <t>SÄTER</t>
        </is>
      </c>
      <c r="I151" t="n">
        <v>10.9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29833-2023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45107</v>
      </c>
      <c r="E152" s="1" t="n">
        <v>46253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46253</v>
      </c>
      <c r="F153" t="inlineStr">
        <is>
          <t>DALARNAS LÄN</t>
        </is>
      </c>
      <c r="G153" t="inlineStr">
        <is>
          <t>SÄTER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12322-2026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46087</v>
      </c>
      <c r="E154" s="1" t="n">
        <v>46253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16836-2024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45411</v>
      </c>
      <c r="E155" s="1" t="n">
        <v>46253</v>
      </c>
      <c r="F155" t="inlineStr">
        <is>
          <t>DALARNAS LÄN</t>
        </is>
      </c>
      <c r="G155" t="inlineStr">
        <is>
          <t>SÄTER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46083</v>
      </c>
      <c r="E156" s="1" t="n">
        <v>46253</v>
      </c>
      <c r="F156" t="inlineStr">
        <is>
          <t>DALARNAS LÄN</t>
        </is>
      </c>
      <c r="G156" t="inlineStr">
        <is>
          <t>SÄTER</t>
        </is>
      </c>
      <c r="H156" t="inlineStr">
        <is>
          <t>Kommuner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46253</v>
      </c>
      <c r="F157" t="inlineStr">
        <is>
          <t>DALARNAS LÄN</t>
        </is>
      </c>
      <c r="G157" t="inlineStr">
        <is>
          <t>SÄTER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46092</v>
      </c>
      <c r="E158" s="1" t="n">
        <v>46253</v>
      </c>
      <c r="F158" t="inlineStr">
        <is>
          <t>DALARNAS LÄN</t>
        </is>
      </c>
      <c r="G158" t="inlineStr">
        <is>
          <t>SÄTER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46253</v>
      </c>
      <c r="F159" t="inlineStr">
        <is>
          <t>DALARNAS LÄN</t>
        </is>
      </c>
      <c r="G159" t="inlineStr">
        <is>
          <t>SÄTER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46253</v>
      </c>
      <c r="F160" t="inlineStr">
        <is>
          <t>DALARNAS LÄN</t>
        </is>
      </c>
      <c r="G160" t="inlineStr">
        <is>
          <t>SÄTER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46253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15.2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46253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41.4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47280-2025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46253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46098</v>
      </c>
      <c r="E164" s="1" t="n">
        <v>46253</v>
      </c>
      <c r="F164" t="inlineStr">
        <is>
          <t>DALARNAS LÄN</t>
        </is>
      </c>
      <c r="G164" t="inlineStr">
        <is>
          <t>SÄTER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46098</v>
      </c>
      <c r="E165" s="1" t="n">
        <v>46253</v>
      </c>
      <c r="F165" t="inlineStr">
        <is>
          <t>DALARNAS LÄN</t>
        </is>
      </c>
      <c r="G165" t="inlineStr">
        <is>
          <t>SÄTER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46253</v>
      </c>
      <c r="F166" t="inlineStr">
        <is>
          <t>DALARNAS LÄN</t>
        </is>
      </c>
      <c r="G166" t="inlineStr">
        <is>
          <t>SÄTER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28549-2022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44748</v>
      </c>
      <c r="E167" s="1" t="n">
        <v>46253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46253</v>
      </c>
      <c r="F168" t="inlineStr">
        <is>
          <t>DALARNAS LÄN</t>
        </is>
      </c>
      <c r="G168" t="inlineStr">
        <is>
          <t>SÄTER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46253</v>
      </c>
      <c r="F169" t="inlineStr">
        <is>
          <t>DALARNAS LÄN</t>
        </is>
      </c>
      <c r="G169" t="inlineStr">
        <is>
          <t>SÄTER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46253</v>
      </c>
      <c r="F170" t="inlineStr">
        <is>
          <t>DALARNAS LÄN</t>
        </is>
      </c>
      <c r="G170" t="inlineStr">
        <is>
          <t>SÄTER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46253</v>
      </c>
      <c r="F171" t="inlineStr">
        <is>
          <t>DALARNAS LÄN</t>
        </is>
      </c>
      <c r="G171" t="inlineStr">
        <is>
          <t>SÄTER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  <c r="Z171">
        <f>HYPERLINK("https://klasma.github.io/Logging_2082/knärot/A 57416-2022 karta knärot.png", "A 57416-2022")</f>
        <v/>
      </c>
      <c r="AA171">
        <f>HYPERLINK("https://klasma.github.io/Logging_2082/klagomål/A 57416-2022 FSC-klagomål.docx", "A 57416-2022")</f>
        <v/>
      </c>
      <c r="AB171">
        <f>HYPERLINK("https://klasma.github.io/Logging_2082/klagomålsmail/A 57416-2022 FSC-klagomål mail.docx", "A 57416-2022")</f>
        <v/>
      </c>
      <c r="AC171">
        <f>HYPERLINK("https://klasma.github.io/Logging_2082/tillsyn/A 57416-2022 tillsynsbegäran.docx", "A 57416-2022")</f>
        <v/>
      </c>
      <c r="AD171">
        <f>HYPERLINK("https://klasma.github.io/Logging_2082/tillsynsmail/A 57416-2022 tillsynsbegäran mail.docx", "A 57416-2022")</f>
        <v/>
      </c>
    </row>
    <row r="172" ht="15" customHeight="1">
      <c r="A172" t="inlineStr">
        <is>
          <t>A 48862-2025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46253</v>
      </c>
      <c r="F172" t="inlineStr">
        <is>
          <t>DALARNAS LÄN</t>
        </is>
      </c>
      <c r="G172" t="inlineStr">
        <is>
          <t>SÄTER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45098</v>
      </c>
      <c r="E173" s="1" t="n">
        <v>46253</v>
      </c>
      <c r="F173" t="inlineStr">
        <is>
          <t>DALARNAS LÄN</t>
        </is>
      </c>
      <c r="G173" t="inlineStr">
        <is>
          <t>SÄTER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46253</v>
      </c>
      <c r="F174" t="inlineStr">
        <is>
          <t>DALARNAS LÄN</t>
        </is>
      </c>
      <c r="G174" t="inlineStr">
        <is>
          <t>SÄTER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45855</v>
      </c>
      <c r="E175" s="1" t="n">
        <v>46253</v>
      </c>
      <c r="F175" t="inlineStr">
        <is>
          <t>DALARNAS LÄN</t>
        </is>
      </c>
      <c r="G175" t="inlineStr">
        <is>
          <t>SÄTER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46253</v>
      </c>
      <c r="F176" t="inlineStr">
        <is>
          <t>DALARNAS LÄN</t>
        </is>
      </c>
      <c r="G176" t="inlineStr">
        <is>
          <t>SÄTER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46253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46253</v>
      </c>
      <c r="F178" t="inlineStr">
        <is>
          <t>DALARNAS LÄN</t>
        </is>
      </c>
      <c r="G178" t="inlineStr">
        <is>
          <t>SÄTER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46253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46253</v>
      </c>
      <c r="F180" t="inlineStr">
        <is>
          <t>DALARNAS LÄN</t>
        </is>
      </c>
      <c r="G180" t="inlineStr">
        <is>
          <t>SÄTER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44788</v>
      </c>
      <c r="E181" s="1" t="n">
        <v>46253</v>
      </c>
      <c r="F181" t="inlineStr">
        <is>
          <t>DALARNAS LÄN</t>
        </is>
      </c>
      <c r="G181" t="inlineStr">
        <is>
          <t>SÄTER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46253</v>
      </c>
      <c r="F182" t="inlineStr">
        <is>
          <t>DALARNAS LÄN</t>
        </is>
      </c>
      <c r="G182" t="inlineStr">
        <is>
          <t>SÄTER</t>
        </is>
      </c>
      <c r="I182" t="n">
        <v>15.2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45951</v>
      </c>
      <c r="E183" s="1" t="n">
        <v>46253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46253</v>
      </c>
      <c r="F184" t="inlineStr">
        <is>
          <t>DALARNAS LÄN</t>
        </is>
      </c>
      <c r="G184" t="inlineStr">
        <is>
          <t>SÄTER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51826-2025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46253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15.1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46253</v>
      </c>
      <c r="F186" t="inlineStr">
        <is>
          <t>DALARNAS LÄN</t>
        </is>
      </c>
      <c r="G186" t="inlineStr">
        <is>
          <t>SÄTER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46253</v>
      </c>
      <c r="F187" t="inlineStr">
        <is>
          <t>DALARNAS LÄN</t>
        </is>
      </c>
      <c r="G187" t="inlineStr">
        <is>
          <t>SÄTER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46253</v>
      </c>
      <c r="F188" t="inlineStr">
        <is>
          <t>DALARNAS LÄN</t>
        </is>
      </c>
      <c r="G188" t="inlineStr">
        <is>
          <t>SÄTER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12942-2026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46253</v>
      </c>
      <c r="F189" t="inlineStr">
        <is>
          <t>DALARNAS LÄN</t>
        </is>
      </c>
      <c r="G189" t="inlineStr">
        <is>
          <t>SÄTER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69744-2021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46253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53559-2025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45960</v>
      </c>
      <c r="E191" s="1" t="n">
        <v>46253</v>
      </c>
      <c r="F191" t="inlineStr">
        <is>
          <t>DALARNAS LÄN</t>
        </is>
      </c>
      <c r="G191" t="inlineStr">
        <is>
          <t>SÄTER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46253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46253</v>
      </c>
      <c r="F193" t="inlineStr">
        <is>
          <t>DALARNAS LÄN</t>
        </is>
      </c>
      <c r="G193" t="inlineStr">
        <is>
          <t>SÄTER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46253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46253</v>
      </c>
      <c r="F195" t="inlineStr">
        <is>
          <t>DALARNAS LÄN</t>
        </is>
      </c>
      <c r="G195" t="inlineStr">
        <is>
          <t>SÄTER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46253</v>
      </c>
      <c r="F196" t="inlineStr">
        <is>
          <t>DALARNAS LÄN</t>
        </is>
      </c>
      <c r="G196" t="inlineStr">
        <is>
          <t>SÄTER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46253</v>
      </c>
      <c r="F197" t="inlineStr">
        <is>
          <t>DALARNAS LÄN</t>
        </is>
      </c>
      <c r="G197" t="inlineStr">
        <is>
          <t>SÄTER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45161-2021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44439</v>
      </c>
      <c r="E198" s="1" t="n">
        <v>46253</v>
      </c>
      <c r="F198" t="inlineStr">
        <is>
          <t>DALARNAS LÄN</t>
        </is>
      </c>
      <c r="G198" t="inlineStr">
        <is>
          <t>SÄTER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45971</v>
      </c>
      <c r="E199" s="1" t="n">
        <v>46253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46136</v>
      </c>
      <c r="E200" s="1" t="n">
        <v>46253</v>
      </c>
      <c r="F200" t="inlineStr">
        <is>
          <t>DALARNAS LÄN</t>
        </is>
      </c>
      <c r="G200" t="inlineStr">
        <is>
          <t>SÄTER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46253</v>
      </c>
      <c r="F201" t="inlineStr">
        <is>
          <t>DALARNAS LÄN</t>
        </is>
      </c>
      <c r="G201" t="inlineStr">
        <is>
          <t>SÄTER</t>
        </is>
      </c>
      <c r="I201" t="n">
        <v>8.1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46084</v>
      </c>
      <c r="E202" s="1" t="n">
        <v>46253</v>
      </c>
      <c r="F202" t="inlineStr">
        <is>
          <t>DALARNAS LÄN</t>
        </is>
      </c>
      <c r="G202" t="inlineStr">
        <is>
          <t>SÄTER</t>
        </is>
      </c>
      <c r="H202" t="inlineStr">
        <is>
          <t>Kommuner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46253</v>
      </c>
      <c r="F203" t="inlineStr">
        <is>
          <t>DALARNAS LÄN</t>
        </is>
      </c>
      <c r="G203" t="inlineStr">
        <is>
          <t>SÄTER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45342</v>
      </c>
      <c r="E204" s="1" t="n">
        <v>46253</v>
      </c>
      <c r="F204" t="inlineStr">
        <is>
          <t>DALARNAS LÄN</t>
        </is>
      </c>
      <c r="G204" t="inlineStr">
        <is>
          <t>SÄTER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46253</v>
      </c>
      <c r="F205" t="inlineStr">
        <is>
          <t>DALARNAS LÄN</t>
        </is>
      </c>
      <c r="G205" t="inlineStr">
        <is>
          <t>SÄTER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46253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45561</v>
      </c>
      <c r="E207" s="1" t="n">
        <v>46253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46253</v>
      </c>
      <c r="F208" t="inlineStr">
        <is>
          <t>DALARNAS LÄN</t>
        </is>
      </c>
      <c r="G208" t="inlineStr">
        <is>
          <t>SÄTER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44924</v>
      </c>
      <c r="E209" s="1" t="n">
        <v>46253</v>
      </c>
      <c r="F209" t="inlineStr">
        <is>
          <t>DALARNAS LÄN</t>
        </is>
      </c>
      <c r="G209" t="inlineStr">
        <is>
          <t>SÄTER</t>
        </is>
      </c>
      <c r="H209" t="inlineStr">
        <is>
          <t>Kommuner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63654-2025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46014</v>
      </c>
      <c r="E210" s="1" t="n">
        <v>46253</v>
      </c>
      <c r="F210" t="inlineStr">
        <is>
          <t>DALARNAS LÄN</t>
        </is>
      </c>
      <c r="G210" t="inlineStr">
        <is>
          <t>SÄTER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46253</v>
      </c>
      <c r="F211" t="inlineStr">
        <is>
          <t>DALARNAS LÄN</t>
        </is>
      </c>
      <c r="G211" t="inlineStr">
        <is>
          <t>SÄTER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46253</v>
      </c>
      <c r="F212" t="inlineStr">
        <is>
          <t>DALARNAS LÄN</t>
        </is>
      </c>
      <c r="G212" t="inlineStr">
        <is>
          <t>SÄTER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46253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45140</v>
      </c>
      <c r="E214" s="1" t="n">
        <v>46253</v>
      </c>
      <c r="F214" t="inlineStr">
        <is>
          <t>DALARNAS LÄN</t>
        </is>
      </c>
      <c r="G214" t="inlineStr">
        <is>
          <t>SÄTER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46253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46253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52220-2021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44462</v>
      </c>
      <c r="E217" s="1" t="n">
        <v>46253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43125-2024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46253</v>
      </c>
      <c r="F218" t="inlineStr">
        <is>
          <t>DALARNAS LÄN</t>
        </is>
      </c>
      <c r="G218" t="inlineStr">
        <is>
          <t>SÄTER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46253</v>
      </c>
      <c r="F219" t="inlineStr">
        <is>
          <t>DALARNAS LÄN</t>
        </is>
      </c>
      <c r="G219" t="inlineStr">
        <is>
          <t>SÄTER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46253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46253</v>
      </c>
      <c r="F221" t="inlineStr">
        <is>
          <t>DALARNAS LÄN</t>
        </is>
      </c>
      <c r="G221" t="inlineStr">
        <is>
          <t>SÄTER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46253</v>
      </c>
      <c r="F222" t="inlineStr">
        <is>
          <t>DALARNAS LÄN</t>
        </is>
      </c>
      <c r="G222" t="inlineStr">
        <is>
          <t>SÄTER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46253</v>
      </c>
      <c r="F223" t="inlineStr">
        <is>
          <t>DALARNAS LÄN</t>
        </is>
      </c>
      <c r="G223" t="inlineStr">
        <is>
          <t>SÄTER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45993</v>
      </c>
      <c r="E224" s="1" t="n">
        <v>46253</v>
      </c>
      <c r="F224" t="inlineStr">
        <is>
          <t>DALARNAS LÄN</t>
        </is>
      </c>
      <c r="G224" t="inlineStr">
        <is>
          <t>SÄTER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46253</v>
      </c>
      <c r="F225" t="inlineStr">
        <is>
          <t>DALARNAS LÄN</t>
        </is>
      </c>
      <c r="G225" t="inlineStr">
        <is>
          <t>SÄTER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46253</v>
      </c>
      <c r="F226" t="inlineStr">
        <is>
          <t>DALARNAS LÄN</t>
        </is>
      </c>
      <c r="G226" t="inlineStr">
        <is>
          <t>SÄTER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46253</v>
      </c>
      <c r="F227" t="inlineStr">
        <is>
          <t>DALARNAS LÄN</t>
        </is>
      </c>
      <c r="G227" t="inlineStr">
        <is>
          <t>SÄTER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12330-2026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46087</v>
      </c>
      <c r="E228" s="1" t="n">
        <v>46253</v>
      </c>
      <c r="F228" t="inlineStr">
        <is>
          <t>DALARNAS LÄN</t>
        </is>
      </c>
      <c r="G228" t="inlineStr">
        <is>
          <t>SÄTER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46253</v>
      </c>
      <c r="F229" t="inlineStr">
        <is>
          <t>DALARNAS LÄN</t>
        </is>
      </c>
      <c r="G229" t="inlineStr">
        <is>
          <t>SÄTER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46253</v>
      </c>
      <c r="F230" t="inlineStr">
        <is>
          <t>DALARNAS LÄN</t>
        </is>
      </c>
      <c r="G230" t="inlineStr">
        <is>
          <t>SÄTER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46253</v>
      </c>
      <c r="F231" t="inlineStr">
        <is>
          <t>DALARNAS LÄN</t>
        </is>
      </c>
      <c r="G231" t="inlineStr">
        <is>
          <t>SÄTER</t>
        </is>
      </c>
      <c r="H231" t="inlineStr">
        <is>
          <t>Kommuner</t>
        </is>
      </c>
      <c r="I231" t="n">
        <v>42.6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46253</v>
      </c>
      <c r="F232" t="inlineStr">
        <is>
          <t>DALARNAS LÄN</t>
        </is>
      </c>
      <c r="G232" t="inlineStr">
        <is>
          <t>SÄTER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46098</v>
      </c>
      <c r="E233" s="1" t="n">
        <v>46253</v>
      </c>
      <c r="F233" t="inlineStr">
        <is>
          <t>DALARNAS LÄN</t>
        </is>
      </c>
      <c r="G233" t="inlineStr">
        <is>
          <t>SÄTER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44572</v>
      </c>
      <c r="E234" s="1" t="n">
        <v>46253</v>
      </c>
      <c r="F234" t="inlineStr">
        <is>
          <t>DALARNAS LÄN</t>
        </is>
      </c>
      <c r="G234" t="inlineStr">
        <is>
          <t>SÄTER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46253</v>
      </c>
      <c r="F235" t="inlineStr">
        <is>
          <t>DALARNAS LÄN</t>
        </is>
      </c>
      <c r="G235" t="inlineStr">
        <is>
          <t>SÄTER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46091</v>
      </c>
      <c r="E236" s="1" t="n">
        <v>46253</v>
      </c>
      <c r="F236" t="inlineStr">
        <is>
          <t>DALARNAS LÄN</t>
        </is>
      </c>
      <c r="G236" t="inlineStr">
        <is>
          <t>SÄTER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46253</v>
      </c>
      <c r="F237" t="inlineStr">
        <is>
          <t>DALARNAS LÄN</t>
        </is>
      </c>
      <c r="G237" t="inlineStr">
        <is>
          <t>SÄTER</t>
        </is>
      </c>
      <c r="H237" t="inlineStr">
        <is>
          <t>Bergvik skog väst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46253</v>
      </c>
      <c r="F238" t="inlineStr">
        <is>
          <t>DALARNAS LÄN</t>
        </is>
      </c>
      <c r="G238" t="inlineStr">
        <is>
          <t>SÄTER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46253</v>
      </c>
      <c r="F239" t="inlineStr">
        <is>
          <t>DALARNAS LÄN</t>
        </is>
      </c>
      <c r="G239" t="inlineStr">
        <is>
          <t>SÄTER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46253</v>
      </c>
      <c r="F240" t="inlineStr">
        <is>
          <t>DALARNAS LÄN</t>
        </is>
      </c>
      <c r="G240" t="inlineStr">
        <is>
          <t>SÄTER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45484</v>
      </c>
      <c r="E241" s="1" t="n">
        <v>46253</v>
      </c>
      <c r="F241" t="inlineStr">
        <is>
          <t>DALARNAS LÄN</t>
        </is>
      </c>
      <c r="G241" t="inlineStr">
        <is>
          <t>SÄTER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46253</v>
      </c>
      <c r="F242" t="inlineStr">
        <is>
          <t>DALARNAS LÄN</t>
        </is>
      </c>
      <c r="G242" t="inlineStr">
        <is>
          <t>SÄTER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19979-2025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46253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46153</v>
      </c>
      <c r="E244" s="1" t="n">
        <v>46253</v>
      </c>
      <c r="F244" t="inlineStr">
        <is>
          <t>DALARNAS LÄN</t>
        </is>
      </c>
      <c r="G244" t="inlineStr">
        <is>
          <t>SÄTER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46027</v>
      </c>
      <c r="E245" s="1" t="n">
        <v>46253</v>
      </c>
      <c r="F245" t="inlineStr">
        <is>
          <t>DALARNAS LÄN</t>
        </is>
      </c>
      <c r="G245" t="inlineStr">
        <is>
          <t>SÄTER</t>
        </is>
      </c>
      <c r="I245" t="n">
        <v>12.1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46026</v>
      </c>
      <c r="E246" s="1" t="n">
        <v>46253</v>
      </c>
      <c r="F246" t="inlineStr">
        <is>
          <t>DALARNAS LÄN</t>
        </is>
      </c>
      <c r="G246" t="inlineStr">
        <is>
          <t>SÄTER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46153</v>
      </c>
      <c r="E247" s="1" t="n">
        <v>46253</v>
      </c>
      <c r="F247" t="inlineStr">
        <is>
          <t>DALARNAS LÄN</t>
        </is>
      </c>
      <c r="G247" t="inlineStr">
        <is>
          <t>SÄTER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46253</v>
      </c>
      <c r="F248" t="inlineStr">
        <is>
          <t>DALARNAS LÄN</t>
        </is>
      </c>
      <c r="G248" t="inlineStr">
        <is>
          <t>SÄTER</t>
        </is>
      </c>
      <c r="I248" t="n">
        <v>9.6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987-2026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46030</v>
      </c>
      <c r="E249" s="1" t="n">
        <v>46253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46031</v>
      </c>
      <c r="E250" s="1" t="n">
        <v>46253</v>
      </c>
      <c r="F250" t="inlineStr">
        <is>
          <t>DALARNAS LÄN</t>
        </is>
      </c>
      <c r="G250" t="inlineStr">
        <is>
          <t>SÄTER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46031</v>
      </c>
      <c r="E251" s="1" t="n">
        <v>46253</v>
      </c>
      <c r="F251" t="inlineStr">
        <is>
          <t>DALARNAS LÄN</t>
        </is>
      </c>
      <c r="G251" t="inlineStr">
        <is>
          <t>SÄTER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44630</v>
      </c>
      <c r="E252" s="1" t="n">
        <v>46253</v>
      </c>
      <c r="F252" t="inlineStr">
        <is>
          <t>DALARNAS LÄN</t>
        </is>
      </c>
      <c r="G252" t="inlineStr">
        <is>
          <t>SÄTER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46253</v>
      </c>
      <c r="F253" t="inlineStr">
        <is>
          <t>DALARNAS LÄN</t>
        </is>
      </c>
      <c r="G253" t="inlineStr">
        <is>
          <t>SÄTER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46253</v>
      </c>
      <c r="F254" t="inlineStr">
        <is>
          <t>DALARNAS LÄN</t>
        </is>
      </c>
      <c r="G254" t="inlineStr">
        <is>
          <t>SÄTER</t>
        </is>
      </c>
      <c r="H254" t="inlineStr">
        <is>
          <t>Kommuner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46253</v>
      </c>
      <c r="F255" t="inlineStr">
        <is>
          <t>DALARNAS LÄN</t>
        </is>
      </c>
      <c r="G255" t="inlineStr">
        <is>
          <t>SÄTER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46253</v>
      </c>
      <c r="F256" t="inlineStr">
        <is>
          <t>DALARNAS LÄN</t>
        </is>
      </c>
      <c r="G256" t="inlineStr">
        <is>
          <t>SÄTER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46253</v>
      </c>
      <c r="F257" t="inlineStr">
        <is>
          <t>DALARNAS LÄN</t>
        </is>
      </c>
      <c r="G257" t="inlineStr">
        <is>
          <t>SÄTER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46253</v>
      </c>
      <c r="F258" t="inlineStr">
        <is>
          <t>DALARNAS LÄN</t>
        </is>
      </c>
      <c r="G258" t="inlineStr">
        <is>
          <t>SÄTER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46036</v>
      </c>
      <c r="E259" s="1" t="n">
        <v>46253</v>
      </c>
      <c r="F259" t="inlineStr">
        <is>
          <t>DALARNAS LÄN</t>
        </is>
      </c>
      <c r="G259" t="inlineStr">
        <is>
          <t>SÄTER</t>
        </is>
      </c>
      <c r="I259" t="n">
        <v>10.9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46253</v>
      </c>
      <c r="F260" t="inlineStr">
        <is>
          <t>DALARNAS LÄN</t>
        </is>
      </c>
      <c r="G260" t="inlineStr">
        <is>
          <t>SÄTER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22850-2026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46155</v>
      </c>
      <c r="E261" s="1" t="n">
        <v>46253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46087</v>
      </c>
      <c r="E262" s="1" t="n">
        <v>46253</v>
      </c>
      <c r="F262" t="inlineStr">
        <is>
          <t>DALARNAS LÄN</t>
        </is>
      </c>
      <c r="G262" t="inlineStr">
        <is>
          <t>SÄTER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46253</v>
      </c>
      <c r="F263" t="inlineStr">
        <is>
          <t>DALARNAS LÄN</t>
        </is>
      </c>
      <c r="G263" t="inlineStr">
        <is>
          <t>SÄTER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46253</v>
      </c>
      <c r="F264" t="inlineStr">
        <is>
          <t>DALARNAS LÄN</t>
        </is>
      </c>
      <c r="G264" t="inlineStr">
        <is>
          <t>SÄTER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46253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46253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46253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46253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46253</v>
      </c>
      <c r="F269" t="inlineStr">
        <is>
          <t>DALARNAS LÄN</t>
        </is>
      </c>
      <c r="G269" t="inlineStr">
        <is>
          <t>SÄTER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46253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46253</v>
      </c>
      <c r="F271" t="inlineStr">
        <is>
          <t>DALARNAS LÄN</t>
        </is>
      </c>
      <c r="G271" t="inlineStr">
        <is>
          <t>SÄTER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46253</v>
      </c>
      <c r="F272" t="inlineStr">
        <is>
          <t>DALARNAS LÄN</t>
        </is>
      </c>
      <c r="G272" t="inlineStr">
        <is>
          <t>SÄTER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45427</v>
      </c>
      <c r="E273" s="1" t="n">
        <v>46253</v>
      </c>
      <c r="F273" t="inlineStr">
        <is>
          <t>DALARNAS LÄN</t>
        </is>
      </c>
      <c r="G273" t="inlineStr">
        <is>
          <t>SÄTER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45063</v>
      </c>
      <c r="E274" s="1" t="n">
        <v>46253</v>
      </c>
      <c r="F274" t="inlineStr">
        <is>
          <t>DALARNAS LÄN</t>
        </is>
      </c>
      <c r="G274" t="inlineStr">
        <is>
          <t>SÄTER</t>
        </is>
      </c>
      <c r="H274" t="inlineStr">
        <is>
          <t>Kommuner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46253</v>
      </c>
      <c r="F275" t="inlineStr">
        <is>
          <t>DALARNAS LÄN</t>
        </is>
      </c>
      <c r="G275" t="inlineStr">
        <is>
          <t>SÄTER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46211</v>
      </c>
      <c r="E276" s="1" t="n">
        <v>46253</v>
      </c>
      <c r="F276" t="inlineStr">
        <is>
          <t>DALARNAS LÄN</t>
        </is>
      </c>
      <c r="G276" t="inlineStr">
        <is>
          <t>SÄTER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44691</v>
      </c>
      <c r="E277" s="1" t="n">
        <v>46253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46253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46253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46253</v>
      </c>
      <c r="F280" t="inlineStr">
        <is>
          <t>DALARNAS LÄN</t>
        </is>
      </c>
      <c r="G280" t="inlineStr">
        <is>
          <t>SÄTER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45240</v>
      </c>
      <c r="E281" s="1" t="n">
        <v>46253</v>
      </c>
      <c r="F281" t="inlineStr">
        <is>
          <t>DALARNAS LÄN</t>
        </is>
      </c>
      <c r="G281" t="inlineStr">
        <is>
          <t>SÄTER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36847-2023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45154</v>
      </c>
      <c r="E282" s="1" t="n">
        <v>46253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44729-2024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45574</v>
      </c>
      <c r="E283" s="1" t="n">
        <v>46253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55650-2024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45622</v>
      </c>
      <c r="E284" s="1" t="n">
        <v>46253</v>
      </c>
      <c r="F284" t="inlineStr">
        <is>
          <t>DALARNAS LÄN</t>
        </is>
      </c>
      <c r="G284" t="inlineStr">
        <is>
          <t>SÄTER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46253</v>
      </c>
      <c r="F285" t="inlineStr">
        <is>
          <t>DALARNAS LÄN</t>
        </is>
      </c>
      <c r="G285" t="inlineStr">
        <is>
          <t>SÄTER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46253</v>
      </c>
      <c r="F286" t="inlineStr">
        <is>
          <t>DALARNAS LÄN</t>
        </is>
      </c>
      <c r="G286" t="inlineStr">
        <is>
          <t>SÄTER</t>
        </is>
      </c>
      <c r="H286" t="inlineStr">
        <is>
          <t>Övriga statliga verk och myndigheter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18888-2022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44690</v>
      </c>
      <c r="E287" s="1" t="n">
        <v>46253</v>
      </c>
      <c r="F287" t="inlineStr">
        <is>
          <t>DALARNAS LÄN</t>
        </is>
      </c>
      <c r="G287" t="inlineStr">
        <is>
          <t>SÄTER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46253</v>
      </c>
      <c r="F288" t="inlineStr">
        <is>
          <t>DALARNAS LÄN</t>
        </is>
      </c>
      <c r="G288" t="inlineStr">
        <is>
          <t>SÄTER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52161-2025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45953</v>
      </c>
      <c r="E289" s="1" t="n">
        <v>46253</v>
      </c>
      <c r="F289" t="inlineStr">
        <is>
          <t>DALARNAS LÄN</t>
        </is>
      </c>
      <c r="G289" t="inlineStr">
        <is>
          <t>SÄTER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44727</v>
      </c>
      <c r="E290" s="1" t="n">
        <v>46253</v>
      </c>
      <c r="F290" t="inlineStr">
        <is>
          <t>DALARNAS LÄN</t>
        </is>
      </c>
      <c r="G290" t="inlineStr">
        <is>
          <t>SÄTER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44711</v>
      </c>
      <c r="E291" s="1" t="n">
        <v>46253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46253</v>
      </c>
      <c r="F292" t="inlineStr">
        <is>
          <t>DALARNAS LÄN</t>
        </is>
      </c>
      <c r="G292" t="inlineStr">
        <is>
          <t>SÄTER</t>
        </is>
      </c>
      <c r="H292" t="inlineStr">
        <is>
          <t>Bergvik skog väst AB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57824-2023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45247</v>
      </c>
      <c r="E293" s="1" t="n">
        <v>46253</v>
      </c>
      <c r="F293" t="inlineStr">
        <is>
          <t>DALARNAS LÄN</t>
        </is>
      </c>
      <c r="G293" t="inlineStr">
        <is>
          <t>SÄTER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46253</v>
      </c>
      <c r="F294" t="inlineStr">
        <is>
          <t>DALARNAS LÄN</t>
        </is>
      </c>
      <c r="G294" t="inlineStr">
        <is>
          <t>SÄTER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46092</v>
      </c>
      <c r="E295" s="1" t="n">
        <v>46253</v>
      </c>
      <c r="F295" t="inlineStr">
        <is>
          <t>DALARNAS LÄN</t>
        </is>
      </c>
      <c r="G295" t="inlineStr">
        <is>
          <t>SÄTER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25690-2022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44732</v>
      </c>
      <c r="E296" s="1" t="n">
        <v>46253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32122-2026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46234</v>
      </c>
      <c r="E297" s="1" t="n">
        <v>46253</v>
      </c>
      <c r="F297" t="inlineStr">
        <is>
          <t>DALARNAS LÄN</t>
        </is>
      </c>
      <c r="G297" t="inlineStr">
        <is>
          <t>SÄTER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52193-2021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44463</v>
      </c>
      <c r="E298" s="1" t="n">
        <v>46253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45366</v>
      </c>
      <c r="E299" s="1" t="n">
        <v>46253</v>
      </c>
      <c r="F299" t="inlineStr">
        <is>
          <t>DALARNAS LÄN</t>
        </is>
      </c>
      <c r="G299" t="inlineStr">
        <is>
          <t>SÄTER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38240-2022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44812</v>
      </c>
      <c r="E300" s="1" t="n">
        <v>46253</v>
      </c>
      <c r="F300" t="inlineStr">
        <is>
          <t>DALARNAS LÄN</t>
        </is>
      </c>
      <c r="G300" t="inlineStr">
        <is>
          <t>SÄTER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46253</v>
      </c>
      <c r="F301" t="inlineStr">
        <is>
          <t>DALARNAS LÄN</t>
        </is>
      </c>
      <c r="G301" t="inlineStr">
        <is>
          <t>SÄTER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45273</v>
      </c>
      <c r="E302" s="1" t="n">
        <v>46253</v>
      </c>
      <c r="F302" t="inlineStr">
        <is>
          <t>DALARNAS LÄN</t>
        </is>
      </c>
      <c r="G302" t="inlineStr">
        <is>
          <t>SÄTER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46253</v>
      </c>
      <c r="F303" t="inlineStr">
        <is>
          <t>DALARNAS LÄN</t>
        </is>
      </c>
      <c r="G303" t="inlineStr">
        <is>
          <t>SÄTER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46253</v>
      </c>
      <c r="F304" t="inlineStr">
        <is>
          <t>DALARNAS LÄN</t>
        </is>
      </c>
      <c r="G304" t="inlineStr">
        <is>
          <t>SÄTER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46253</v>
      </c>
      <c r="F305" t="inlineStr">
        <is>
          <t>DALARNAS LÄN</t>
        </is>
      </c>
      <c r="G305" t="inlineStr">
        <is>
          <t>SÄTER</t>
        </is>
      </c>
      <c r="H305" t="inlineStr">
        <is>
          <t>Sveaskog</t>
        </is>
      </c>
      <c r="I305" t="n">
        <v>19.8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26456-2024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46253</v>
      </c>
      <c r="F306" t="inlineStr">
        <is>
          <t>DALARNAS LÄN</t>
        </is>
      </c>
      <c r="G306" t="inlineStr">
        <is>
          <t>SÄTER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33872-2024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45520</v>
      </c>
      <c r="E307" s="1" t="n">
        <v>46253</v>
      </c>
      <c r="F307" t="inlineStr">
        <is>
          <t>DALARNAS LÄN</t>
        </is>
      </c>
      <c r="G307" t="inlineStr">
        <is>
          <t>SÄTER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45232</v>
      </c>
      <c r="E308" s="1" t="n">
        <v>46253</v>
      </c>
      <c r="F308" t="inlineStr">
        <is>
          <t>DALARNAS LÄN</t>
        </is>
      </c>
      <c r="G308" t="inlineStr">
        <is>
          <t>SÄTER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46204</v>
      </c>
      <c r="E309" s="1" t="n">
        <v>46253</v>
      </c>
      <c r="F309" t="inlineStr">
        <is>
          <t>DALARNAS LÄN</t>
        </is>
      </c>
      <c r="G309" t="inlineStr">
        <is>
          <t>SÄTER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2929-2022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44581</v>
      </c>
      <c r="E310" s="1" t="n">
        <v>46253</v>
      </c>
      <c r="F310" t="inlineStr">
        <is>
          <t>DALARNAS LÄN</t>
        </is>
      </c>
      <c r="G310" t="inlineStr">
        <is>
          <t>SÄTER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19773-2024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45432</v>
      </c>
      <c r="E311" s="1" t="n">
        <v>46253</v>
      </c>
      <c r="F311" t="inlineStr">
        <is>
          <t>DALARNAS LÄN</t>
        </is>
      </c>
      <c r="G311" t="inlineStr">
        <is>
          <t>SÄTER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44960</v>
      </c>
      <c r="E312" s="1" t="n">
        <v>46253</v>
      </c>
      <c r="F312" t="inlineStr">
        <is>
          <t>DALARNAS LÄN</t>
        </is>
      </c>
      <c r="G312" t="inlineStr">
        <is>
          <t>SÄTER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46253</v>
      </c>
      <c r="F313" t="inlineStr">
        <is>
          <t>DALARNAS LÄN</t>
        </is>
      </c>
      <c r="G313" t="inlineStr">
        <is>
          <t>SÄTER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46253</v>
      </c>
      <c r="F314" t="inlineStr">
        <is>
          <t>DALARNAS LÄN</t>
        </is>
      </c>
      <c r="G314" t="inlineStr">
        <is>
          <t>SÄTER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46559-2021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44445</v>
      </c>
      <c r="E315" s="1" t="n">
        <v>46253</v>
      </c>
      <c r="F315" t="inlineStr">
        <is>
          <t>DALARNAS LÄN</t>
        </is>
      </c>
      <c r="G315" t="inlineStr">
        <is>
          <t>SÄTER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51328-2024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45604</v>
      </c>
      <c r="E316" s="1" t="n">
        <v>46253</v>
      </c>
      <c r="F316" t="inlineStr">
        <is>
          <t>DALARNAS LÄN</t>
        </is>
      </c>
      <c r="G316" t="inlineStr">
        <is>
          <t>SÄTER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51339-2024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45604</v>
      </c>
      <c r="E317" s="1" t="n">
        <v>46253</v>
      </c>
      <c r="F317" t="inlineStr">
        <is>
          <t>DALARNAS LÄN</t>
        </is>
      </c>
      <c r="G317" t="inlineStr">
        <is>
          <t>SÄTER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46253</v>
      </c>
      <c r="F318" t="inlineStr">
        <is>
          <t>DALARNAS LÄN</t>
        </is>
      </c>
      <c r="G318" t="inlineStr">
        <is>
          <t>SÄTER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46253</v>
      </c>
      <c r="F319" t="inlineStr">
        <is>
          <t>DALARNAS LÄN</t>
        </is>
      </c>
      <c r="G319" t="inlineStr">
        <is>
          <t>SÄTER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12957-2022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44643</v>
      </c>
      <c r="E320" s="1" t="n">
        <v>46253</v>
      </c>
      <c r="F320" t="inlineStr">
        <is>
          <t>DALARNAS LÄN</t>
        </is>
      </c>
      <c r="G320" t="inlineStr">
        <is>
          <t>SÄTER</t>
        </is>
      </c>
      <c r="I320" t="n">
        <v>8.1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57430-2022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44896</v>
      </c>
      <c r="E321" s="1" t="n">
        <v>46253</v>
      </c>
      <c r="F321" t="inlineStr">
        <is>
          <t>DALARNAS LÄN</t>
        </is>
      </c>
      <c r="G321" t="inlineStr">
        <is>
          <t>SÄTER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46253</v>
      </c>
      <c r="F322" t="inlineStr">
        <is>
          <t>DALARNAS LÄN</t>
        </is>
      </c>
      <c r="G322" t="inlineStr">
        <is>
          <t>SÄTER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45527</v>
      </c>
      <c r="E323" s="1" t="n">
        <v>46253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34991-2024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45527</v>
      </c>
      <c r="E324" s="1" t="n">
        <v>46253</v>
      </c>
      <c r="F324" t="inlineStr">
        <is>
          <t>DALARNAS LÄN</t>
        </is>
      </c>
      <c r="G324" t="inlineStr">
        <is>
          <t>SÄTER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50187-2024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46253</v>
      </c>
      <c r="F325" t="inlineStr">
        <is>
          <t>DALARNAS LÄN</t>
        </is>
      </c>
      <c r="G325" t="inlineStr">
        <is>
          <t>SÄTER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46253</v>
      </c>
      <c r="F326" t="inlineStr">
        <is>
          <t>DALARNAS LÄN</t>
        </is>
      </c>
      <c r="G326" t="inlineStr">
        <is>
          <t>SÄTER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45628</v>
      </c>
      <c r="E327" s="1" t="n">
        <v>46253</v>
      </c>
      <c r="F327" t="inlineStr">
        <is>
          <t>DALARNAS LÄN</t>
        </is>
      </c>
      <c r="G327" t="inlineStr">
        <is>
          <t>SÄTER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9586-2023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44982</v>
      </c>
      <c r="E328" s="1" t="n">
        <v>46253</v>
      </c>
      <c r="F328" t="inlineStr">
        <is>
          <t>DALARNAS LÄN</t>
        </is>
      </c>
      <c r="G328" t="inlineStr">
        <is>
          <t>SÄTER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62368-2023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45268</v>
      </c>
      <c r="E329" s="1" t="n">
        <v>46253</v>
      </c>
      <c r="F329" t="inlineStr">
        <is>
          <t>DALARNAS LÄN</t>
        </is>
      </c>
      <c r="G329" t="inlineStr">
        <is>
          <t>SÄTER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39487-2022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44817</v>
      </c>
      <c r="E330" s="1" t="n">
        <v>46253</v>
      </c>
      <c r="F330" t="inlineStr">
        <is>
          <t>DALARNAS LÄN</t>
        </is>
      </c>
      <c r="G330" t="inlineStr">
        <is>
          <t>SÄTER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45442</v>
      </c>
      <c r="E331" s="1" t="n">
        <v>46253</v>
      </c>
      <c r="F331" t="inlineStr">
        <is>
          <t>DALARNAS LÄN</t>
        </is>
      </c>
      <c r="G331" t="inlineStr">
        <is>
          <t>SÄTER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44935</v>
      </c>
      <c r="E332" s="1" t="n">
        <v>46253</v>
      </c>
      <c r="F332" t="inlineStr">
        <is>
          <t>DALARNAS LÄN</t>
        </is>
      </c>
      <c r="G332" t="inlineStr">
        <is>
          <t>SÄTER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46253</v>
      </c>
      <c r="F333" t="inlineStr">
        <is>
          <t>DALARNAS LÄN</t>
        </is>
      </c>
      <c r="G333" t="inlineStr">
        <is>
          <t>SÄTER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46253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34993-2024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45527</v>
      </c>
      <c r="E335" s="1" t="n">
        <v>46253</v>
      </c>
      <c r="F335" t="inlineStr">
        <is>
          <t>DALARNAS LÄN</t>
        </is>
      </c>
      <c r="G335" t="inlineStr">
        <is>
          <t>SÄTER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46253</v>
      </c>
      <c r="F336" t="inlineStr">
        <is>
          <t>DALARNAS LÄN</t>
        </is>
      </c>
      <c r="G336" t="inlineStr">
        <is>
          <t>SÄTER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46253</v>
      </c>
      <c r="F337" t="inlineStr">
        <is>
          <t>DALARNAS LÄN</t>
        </is>
      </c>
      <c r="G337" t="inlineStr">
        <is>
          <t>SÄTER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44811</v>
      </c>
      <c r="E338" s="1" t="n">
        <v>46253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44978</v>
      </c>
      <c r="E339" s="1" t="n">
        <v>46253</v>
      </c>
      <c r="F339" t="inlineStr">
        <is>
          <t>DALARNAS LÄN</t>
        </is>
      </c>
      <c r="G339" t="inlineStr">
        <is>
          <t>SÄTER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44965</v>
      </c>
      <c r="E340" s="1" t="n">
        <v>46253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42225-2022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44830</v>
      </c>
      <c r="E341" s="1" t="n">
        <v>46253</v>
      </c>
      <c r="F341" t="inlineStr">
        <is>
          <t>DALARNAS LÄN</t>
        </is>
      </c>
      <c r="G341" t="inlineStr">
        <is>
          <t>SÄTER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45365</v>
      </c>
      <c r="E342" s="1" t="n">
        <v>46253</v>
      </c>
      <c r="F342" t="inlineStr">
        <is>
          <t>DALARNAS LÄN</t>
        </is>
      </c>
      <c r="G342" t="inlineStr">
        <is>
          <t>SÄTER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51333-2024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45604</v>
      </c>
      <c r="E343" s="1" t="n">
        <v>46253</v>
      </c>
      <c r="F343" t="inlineStr">
        <is>
          <t>DALARNAS LÄN</t>
        </is>
      </c>
      <c r="G343" t="inlineStr">
        <is>
          <t>SÄTER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46253</v>
      </c>
      <c r="F344" t="inlineStr">
        <is>
          <t>DALARNAS LÄN</t>
        </is>
      </c>
      <c r="G344" t="inlineStr">
        <is>
          <t>SÄTER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45664</v>
      </c>
      <c r="E345" s="1" t="n">
        <v>46253</v>
      </c>
      <c r="F345" t="inlineStr">
        <is>
          <t>DALARNAS LÄN</t>
        </is>
      </c>
      <c r="G345" t="inlineStr">
        <is>
          <t>SÄTER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Z345">
        <f>HYPERLINK("https://klasma.github.io/Logging_2082/knärot/A 498-2025 karta knärot.png", "A 498-2025")</f>
        <v/>
      </c>
      <c r="AA345">
        <f>HYPERLINK("https://klasma.github.io/Logging_2082/klagomål/A 498-2025 FSC-klagomål.docx", "A 498-2025")</f>
        <v/>
      </c>
      <c r="AB345">
        <f>HYPERLINK("https://klasma.github.io/Logging_2082/klagomålsmail/A 498-2025 FSC-klagomål mail.docx", "A 498-2025")</f>
        <v/>
      </c>
      <c r="AC345">
        <f>HYPERLINK("https://klasma.github.io/Logging_2082/tillsyn/A 498-2025 tillsynsbegäran.docx", "A 498-2025")</f>
        <v/>
      </c>
      <c r="AD345">
        <f>HYPERLINK("https://klasma.github.io/Logging_2082/tillsynsmail/A 498-2025 tillsynsbegäran mail.docx", "A 498-2025")</f>
        <v/>
      </c>
    </row>
    <row r="346" ht="15" customHeight="1">
      <c r="A346" t="inlineStr">
        <is>
          <t>A 61344-2023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46253</v>
      </c>
      <c r="F346" t="inlineStr">
        <is>
          <t>DALARNAS LÄN</t>
        </is>
      </c>
      <c r="G346" t="inlineStr">
        <is>
          <t>SÄTER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54312-2023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45232</v>
      </c>
      <c r="E347" s="1" t="n">
        <v>46253</v>
      </c>
      <c r="F347" t="inlineStr">
        <is>
          <t>DALARNAS LÄN</t>
        </is>
      </c>
      <c r="G347" t="inlineStr">
        <is>
          <t>SÄTER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45171</v>
      </c>
      <c r="E348" s="1" t="n">
        <v>46253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45596</v>
      </c>
      <c r="E349" s="1" t="n">
        <v>46253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45783</v>
      </c>
      <c r="E350" s="1" t="n">
        <v>46253</v>
      </c>
      <c r="F350" t="inlineStr">
        <is>
          <t>DALARNAS LÄN</t>
        </is>
      </c>
      <c r="G350" t="inlineStr">
        <is>
          <t>SÄTER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45428</v>
      </c>
      <c r="E351" s="1" t="n">
        <v>46253</v>
      </c>
      <c r="F351" t="inlineStr">
        <is>
          <t>DALARNAS LÄN</t>
        </is>
      </c>
      <c r="G351" t="inlineStr">
        <is>
          <t>SÄTER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45432</v>
      </c>
      <c r="E352" s="1" t="n">
        <v>46253</v>
      </c>
      <c r="F352" t="inlineStr">
        <is>
          <t>DALARNAS LÄN</t>
        </is>
      </c>
      <c r="G352" t="inlineStr">
        <is>
          <t>SÄTER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22970-2025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45790</v>
      </c>
      <c r="E353" s="1" t="n">
        <v>46253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45700</v>
      </c>
      <c r="E354" s="1" t="n">
        <v>46253</v>
      </c>
      <c r="F354" t="inlineStr">
        <is>
          <t>DALARNAS LÄN</t>
        </is>
      </c>
      <c r="G354" t="inlineStr">
        <is>
          <t>SÄTER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46253</v>
      </c>
      <c r="F355" t="inlineStr">
        <is>
          <t>DALARNAS LÄN</t>
        </is>
      </c>
      <c r="G355" t="inlineStr">
        <is>
          <t>SÄTER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10404-2024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45365</v>
      </c>
      <c r="E356" s="1" t="n">
        <v>46253</v>
      </c>
      <c r="F356" t="inlineStr">
        <is>
          <t>DALARNAS LÄN</t>
        </is>
      </c>
      <c r="G356" t="inlineStr">
        <is>
          <t>SÄTER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45443</v>
      </c>
      <c r="E357" s="1" t="n">
        <v>46253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45118</v>
      </c>
      <c r="E358" s="1" t="n">
        <v>46253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45462</v>
      </c>
      <c r="E359" s="1" t="n">
        <v>46253</v>
      </c>
      <c r="F359" t="inlineStr">
        <is>
          <t>DALARNAS LÄN</t>
        </is>
      </c>
      <c r="G359" t="inlineStr">
        <is>
          <t>SÄTER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12285-2024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45377</v>
      </c>
      <c r="E360" s="1" t="n">
        <v>46253</v>
      </c>
      <c r="F360" t="inlineStr">
        <is>
          <t>DALARNAS LÄN</t>
        </is>
      </c>
      <c r="G360" t="inlineStr">
        <is>
          <t>SÄTER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25793-2025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45804</v>
      </c>
      <c r="E361" s="1" t="n">
        <v>46253</v>
      </c>
      <c r="F361" t="inlineStr">
        <is>
          <t>DALARNAS LÄN</t>
        </is>
      </c>
      <c r="G361" t="inlineStr">
        <is>
          <t>SÄTER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2585-2020</t>
        </is>
      </c>
      <c r="B362" t="inlineStr">
        <is>
          <t>samrådsanmälan</t>
        </is>
      </c>
      <c r="C362" t="n">
        <v/>
      </c>
      <c r="D362" s="1" t="n">
        <v>44155</v>
      </c>
      <c r="E362" s="1" t="n">
        <v>46253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1868-2020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44071</v>
      </c>
      <c r="E363" s="1" t="n">
        <v>46253</v>
      </c>
      <c r="F363" t="inlineStr">
        <is>
          <t>DALARNAS LÄN</t>
        </is>
      </c>
      <c r="G363" t="inlineStr">
        <is>
          <t>SÄTER</t>
        </is>
      </c>
      <c r="I363" t="n">
        <v>29.2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405-2022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44585</v>
      </c>
      <c r="E364" s="1" t="n">
        <v>46253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79.09999999999999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46253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1098-2024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45391</v>
      </c>
      <c r="E366" s="1" t="n">
        <v>46253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189.2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705-2025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45720</v>
      </c>
      <c r="E367" s="1" t="n">
        <v>46253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2964-2025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45952</v>
      </c>
      <c r="E368" s="1" t="n">
        <v>46253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46253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611-2026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46085</v>
      </c>
      <c r="E370" s="1" t="n">
        <v>46253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44.7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2026-08-19T01:46:26Z</dcterms:created>
  <dcterms:modified xmlns:dcterms="http://purl.org/dc/terms/" xmlns:xsi="http://www.w3.org/2001/XMLSchema-instance" xsi:type="dcterms:W3CDTF">2026-08-19T01:46:27Z</dcterms:modified>
</cp:coreProperties>
</file>