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46276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46276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46276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46276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46276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46276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46276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46276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46276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46276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46276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46276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46276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46276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46276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46276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46276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46276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46276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46276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46276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46276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46276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46276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46276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46276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46276</v>
      </c>
      <c r="F40" t="inlineStr">
        <is>
          <t>DALARNAS LÄN</t>
        </is>
      </c>
      <c r="G40" t="inlineStr">
        <is>
          <t>SÄTER</t>
        </is>
      </c>
      <c r="I40" t="n">
        <v>4.8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21120-2026 artfynd.xlsx", "A 21120-2026")</f>
        <v/>
      </c>
      <c r="X40">
        <f>HYPERLINK("https://klasma.github.io/Logging_2082/kartor/A 21120-2026 karta.png", "A 21120-2026")</f>
        <v/>
      </c>
      <c r="Y40">
        <f>HYPERLINK("https://klasma.github.io/Logging_2082/kartor_geotiff/A 21120-2026 georefererad karta.tif", "A 21120-2026")</f>
        <v/>
      </c>
      <c r="Z40">
        <f>HYPERLINK("https://klasma.github.io/Logging_2082/knärot/A 21120-2026 karta knärot.png", "A 21120-2026")</f>
        <v/>
      </c>
      <c r="AA40">
        <f>HYPERLINK("https://klasma.github.io/Logging_2082/klagomål/A 21120-2026 FSC-klagomål.docx", "A 21120-2026")</f>
        <v/>
      </c>
      <c r="AB40">
        <f>HYPERLINK("https://klasma.github.io/Logging_2082/klagomålsmail/A 21120-2026 FSC-klagomål mail.docx", "A 21120-2026")</f>
        <v/>
      </c>
      <c r="AC40">
        <f>HYPERLINK("https://klasma.github.io/Logging_2082/tillsyn/A 21120-2026 tillsynsbegäran.docx", "A 21120-2026")</f>
        <v/>
      </c>
      <c r="AD40">
        <f>HYPERLINK("https://klasma.github.io/Logging_2082/tillsynsmail/A 21120-2026 tillsynsbegäran mail.docx", "A 21120-2026")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46276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46276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68448-2021 artfynd.xlsx", "A 68448-2021")</f>
        <v/>
      </c>
      <c r="X42">
        <f>HYPERLINK("https://klasma.github.io/Logging_2082/kartor/A 68448-2021 karta.png", "A 68448-2021")</f>
        <v/>
      </c>
      <c r="Y42">
        <f>HYPERLINK("https://klasma.github.io/Logging_2082/kartor_geotiff/A 68448-2021 georefererad karta.tif", "A 68448-2021")</f>
        <v/>
      </c>
      <c r="Z42">
        <f>HYPERLINK("https://klasma.github.io/Logging_2082/knärot/A 68448-2021 karta knärot.png", "A 68448-2021")</f>
        <v/>
      </c>
      <c r="AA42">
        <f>HYPERLINK("https://klasma.github.io/Logging_2082/klagomål/A 68448-2021 FSC-klagomål.docx", "A 68448-2021")</f>
        <v/>
      </c>
      <c r="AB42">
        <f>HYPERLINK("https://klasma.github.io/Logging_2082/klagomålsmail/A 68448-2021 FSC-klagomål mail.docx", "A 68448-2021")</f>
        <v/>
      </c>
      <c r="AC42">
        <f>HYPERLINK("https://klasma.github.io/Logging_2082/tillsyn/A 68448-2021 tillsynsbegäran.docx", "A 68448-2021")</f>
        <v/>
      </c>
      <c r="AD42">
        <f>HYPERLINK("https://klasma.github.io/Logging_2082/tillsynsmail/A 68448-2021 tillsynsbegäran mail.docx", "A 68448-2021")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46276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46276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46276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46276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46276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46276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46276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46276</v>
      </c>
      <c r="F50" t="inlineStr">
        <is>
          <t>DALARNAS LÄN</t>
        </is>
      </c>
      <c r="G50" t="inlineStr">
        <is>
          <t>SÄTER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46276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46276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46276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46276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46276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46276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46276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46276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46276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46276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46276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46276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46276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52190-2021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46276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46276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46276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46276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46276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46276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46276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46276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46276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46276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44630</v>
      </c>
      <c r="E74" s="1" t="n">
        <v>46276</v>
      </c>
      <c r="F74" t="inlineStr">
        <is>
          <t>DALARNAS LÄN</t>
        </is>
      </c>
      <c r="G74" t="inlineStr">
        <is>
          <t>SÄTER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46276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46276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46276</v>
      </c>
      <c r="F77" t="inlineStr">
        <is>
          <t>DALARNAS LÄN</t>
        </is>
      </c>
      <c r="G77" t="inlineStr">
        <is>
          <t>SÄTER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46276</v>
      </c>
      <c r="F78" t="inlineStr">
        <is>
          <t>DALARNAS LÄN</t>
        </is>
      </c>
      <c r="G78" t="inlineStr">
        <is>
          <t>SÄTER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46276</v>
      </c>
      <c r="F79" t="inlineStr">
        <is>
          <t>DALARNAS LÄN</t>
        </is>
      </c>
      <c r="G79" t="inlineStr">
        <is>
          <t>SÄTER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46276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46276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46276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46276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46276</v>
      </c>
      <c r="F84" t="inlineStr">
        <is>
          <t>DALARNAS LÄN</t>
        </is>
      </c>
      <c r="G84" t="inlineStr">
        <is>
          <t>SÄTER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46276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49661-2021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46276</v>
      </c>
      <c r="F86" t="inlineStr">
        <is>
          <t>DALARNAS LÄN</t>
        </is>
      </c>
      <c r="G86" t="inlineStr">
        <is>
          <t>SÄTER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46276</v>
      </c>
      <c r="F87" t="inlineStr">
        <is>
          <t>DALARNAS LÄN</t>
        </is>
      </c>
      <c r="G87" t="inlineStr">
        <is>
          <t>SÄTER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44956</v>
      </c>
      <c r="E88" s="1" t="n">
        <v>46276</v>
      </c>
      <c r="F88" t="inlineStr">
        <is>
          <t>DALARNAS LÄN</t>
        </is>
      </c>
      <c r="G88" t="inlineStr">
        <is>
          <t>SÄTER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46276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46276</v>
      </c>
      <c r="F90" t="inlineStr">
        <is>
          <t>DALARNAS LÄN</t>
        </is>
      </c>
      <c r="G90" t="inlineStr">
        <is>
          <t>SÄTER</t>
        </is>
      </c>
      <c r="H90" t="inlineStr">
        <is>
          <t>Kommuner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25294-2024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45462</v>
      </c>
      <c r="E91" s="1" t="n">
        <v>46276</v>
      </c>
      <c r="F91" t="inlineStr">
        <is>
          <t>DALARNAS LÄN</t>
        </is>
      </c>
      <c r="G91" t="inlineStr">
        <is>
          <t>SÄTER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46276</v>
      </c>
      <c r="F92" t="inlineStr">
        <is>
          <t>DALARNAS LÄN</t>
        </is>
      </c>
      <c r="G92" t="inlineStr">
        <is>
          <t>SÄTER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46276</v>
      </c>
      <c r="F93" t="inlineStr">
        <is>
          <t>DALARNAS LÄN</t>
        </is>
      </c>
      <c r="G93" t="inlineStr">
        <is>
          <t>SÄTER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46026</v>
      </c>
      <c r="E94" s="1" t="n">
        <v>46276</v>
      </c>
      <c r="F94" t="inlineStr">
        <is>
          <t>DALARNAS LÄN</t>
        </is>
      </c>
      <c r="G94" t="inlineStr">
        <is>
          <t>SÄTER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46276</v>
      </c>
      <c r="F95" t="inlineStr">
        <is>
          <t>DALARNAS LÄN</t>
        </is>
      </c>
      <c r="G95" t="inlineStr">
        <is>
          <t>SÄTER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46276</v>
      </c>
      <c r="F96" t="inlineStr">
        <is>
          <t>DALARNAS LÄN</t>
        </is>
      </c>
      <c r="G96" t="inlineStr">
        <is>
          <t>SÄTER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46027</v>
      </c>
      <c r="E97" s="1" t="n">
        <v>46276</v>
      </c>
      <c r="F97" t="inlineStr">
        <is>
          <t>DALARNAS LÄN</t>
        </is>
      </c>
      <c r="G97" t="inlineStr">
        <is>
          <t>SÄTER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46276</v>
      </c>
      <c r="F98" t="inlineStr">
        <is>
          <t>DALARNAS LÄN</t>
        </is>
      </c>
      <c r="G98" t="inlineStr">
        <is>
          <t>SÄTER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46276</v>
      </c>
      <c r="F99" t="inlineStr">
        <is>
          <t>DALARNAS LÄN</t>
        </is>
      </c>
      <c r="G99" t="inlineStr">
        <is>
          <t>SÄTER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45811</v>
      </c>
      <c r="E100" s="1" t="n">
        <v>46276</v>
      </c>
      <c r="F100" t="inlineStr">
        <is>
          <t>DALARNAS LÄN</t>
        </is>
      </c>
      <c r="G100" t="inlineStr">
        <is>
          <t>SÄTER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46276</v>
      </c>
      <c r="F101" t="inlineStr">
        <is>
          <t>DALARNAS LÄN</t>
        </is>
      </c>
      <c r="G101" t="inlineStr">
        <is>
          <t>SÄTER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46276</v>
      </c>
      <c r="F102" t="inlineStr">
        <is>
          <t>DALARNAS LÄN</t>
        </is>
      </c>
      <c r="G102" t="inlineStr">
        <is>
          <t>SÄTER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46276</v>
      </c>
      <c r="F103" t="inlineStr">
        <is>
          <t>DALARNAS LÄN</t>
        </is>
      </c>
      <c r="G103" t="inlineStr">
        <is>
          <t>SÄTER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987-2026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46030</v>
      </c>
      <c r="E104" s="1" t="n">
        <v>46276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46276</v>
      </c>
      <c r="F105" t="inlineStr">
        <is>
          <t>DALARNAS LÄN</t>
        </is>
      </c>
      <c r="G105" t="inlineStr">
        <is>
          <t>SÄTER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46276</v>
      </c>
      <c r="F106" t="inlineStr">
        <is>
          <t>DALARNAS LÄN</t>
        </is>
      </c>
      <c r="G106" t="inlineStr">
        <is>
          <t>SÄTER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46276</v>
      </c>
      <c r="F107" t="inlineStr">
        <is>
          <t>DALARNAS LÄN</t>
        </is>
      </c>
      <c r="G107" t="inlineStr">
        <is>
          <t>SÄTER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45820</v>
      </c>
      <c r="E108" s="1" t="n">
        <v>46276</v>
      </c>
      <c r="F108" t="inlineStr">
        <is>
          <t>DALARNAS LÄN</t>
        </is>
      </c>
      <c r="G108" t="inlineStr">
        <is>
          <t>SÄTER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46276</v>
      </c>
      <c r="F109" t="inlineStr">
        <is>
          <t>DALARNAS LÄN</t>
        </is>
      </c>
      <c r="G109" t="inlineStr">
        <is>
          <t>SÄTER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46276</v>
      </c>
      <c r="F110" t="inlineStr">
        <is>
          <t>DALARNAS LÄN</t>
        </is>
      </c>
      <c r="G110" t="inlineStr">
        <is>
          <t>SÄTER</t>
        </is>
      </c>
      <c r="H110" t="inlineStr">
        <is>
          <t>Kommuner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46276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46276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44585</v>
      </c>
      <c r="E113" s="1" t="n">
        <v>46276</v>
      </c>
      <c r="F113" t="inlineStr">
        <is>
          <t>DALARNAS LÄN</t>
        </is>
      </c>
      <c r="G113" t="inlineStr">
        <is>
          <t>SÄTER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46276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64788-2023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46276</v>
      </c>
      <c r="F115" t="inlineStr">
        <is>
          <t>DALARNAS LÄN</t>
        </is>
      </c>
      <c r="G115" t="inlineStr">
        <is>
          <t>SÄTER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46276</v>
      </c>
      <c r="F116" t="inlineStr">
        <is>
          <t>DALARNAS LÄN</t>
        </is>
      </c>
      <c r="G116" t="inlineStr">
        <is>
          <t>SÄTER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46276</v>
      </c>
      <c r="F117" t="inlineStr">
        <is>
          <t>DALARNAS LÄN</t>
        </is>
      </c>
      <c r="G117" t="inlineStr">
        <is>
          <t>SÄTER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46276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46276</v>
      </c>
      <c r="F119" t="inlineStr">
        <is>
          <t>DALARNAS LÄN</t>
        </is>
      </c>
      <c r="G119" t="inlineStr">
        <is>
          <t>SÄTER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46276</v>
      </c>
      <c r="F120" t="inlineStr">
        <is>
          <t>DALARNAS LÄN</t>
        </is>
      </c>
      <c r="G120" t="inlineStr">
        <is>
          <t>SÄTER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46276</v>
      </c>
      <c r="F121" t="inlineStr">
        <is>
          <t>DALARNAS LÄN</t>
        </is>
      </c>
      <c r="G121" t="inlineStr">
        <is>
          <t>SÄTER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46276</v>
      </c>
      <c r="F122" t="inlineStr">
        <is>
          <t>DALARNAS LÄN</t>
        </is>
      </c>
      <c r="G122" t="inlineStr">
        <is>
          <t>SÄTER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46037</v>
      </c>
      <c r="E123" s="1" t="n">
        <v>46276</v>
      </c>
      <c r="F123" t="inlineStr">
        <is>
          <t>DALARNAS LÄN</t>
        </is>
      </c>
      <c r="G123" t="inlineStr">
        <is>
          <t>SÄTER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14168-2025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46276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44727</v>
      </c>
      <c r="E125" s="1" t="n">
        <v>46276</v>
      </c>
      <c r="F125" t="inlineStr">
        <is>
          <t>DALARNAS LÄN</t>
        </is>
      </c>
      <c r="G125" t="inlineStr">
        <is>
          <t>SÄTER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46276</v>
      </c>
      <c r="F126" t="inlineStr">
        <is>
          <t>DALARNAS LÄN</t>
        </is>
      </c>
      <c r="G126" t="inlineStr">
        <is>
          <t>SÄTER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46276</v>
      </c>
      <c r="F127" t="inlineStr">
        <is>
          <t>DALARNAS LÄN</t>
        </is>
      </c>
      <c r="G127" t="inlineStr">
        <is>
          <t>SÄTER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46276</v>
      </c>
      <c r="F128" t="inlineStr">
        <is>
          <t>DALARNAS LÄN</t>
        </is>
      </c>
      <c r="G128" t="inlineStr">
        <is>
          <t>SÄTER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46276</v>
      </c>
      <c r="F129" t="inlineStr">
        <is>
          <t>DALARNAS LÄN</t>
        </is>
      </c>
      <c r="G129" t="inlineStr">
        <is>
          <t>SÄTER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46276</v>
      </c>
      <c r="F130" t="inlineStr">
        <is>
          <t>DALARNAS LÄN</t>
        </is>
      </c>
      <c r="G130" t="inlineStr">
        <is>
          <t>SÄTER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46276</v>
      </c>
      <c r="F131" t="inlineStr">
        <is>
          <t>DALARNAS LÄN</t>
        </is>
      </c>
      <c r="G131" t="inlineStr">
        <is>
          <t>SÄTER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45435</v>
      </c>
      <c r="E132" s="1" t="n">
        <v>46276</v>
      </c>
      <c r="F132" t="inlineStr">
        <is>
          <t>DALARNAS LÄN</t>
        </is>
      </c>
      <c r="G132" t="inlineStr">
        <is>
          <t>SÄTER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45870</v>
      </c>
      <c r="E133" s="1" t="n">
        <v>46276</v>
      </c>
      <c r="F133" t="inlineStr">
        <is>
          <t>DALARNAS LÄN</t>
        </is>
      </c>
      <c r="G133" t="inlineStr">
        <is>
          <t>SÄTER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46276</v>
      </c>
      <c r="F134" t="inlineStr">
        <is>
          <t>DALARNAS LÄN</t>
        </is>
      </c>
      <c r="G134" t="inlineStr">
        <is>
          <t>SÄTER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46276</v>
      </c>
      <c r="F135" t="inlineStr">
        <is>
          <t>DALARNAS LÄN</t>
        </is>
      </c>
      <c r="G135" t="inlineStr">
        <is>
          <t>SÄTER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46276</v>
      </c>
      <c r="F136" t="inlineStr">
        <is>
          <t>DALARNAS LÄN</t>
        </is>
      </c>
      <c r="G136" t="inlineStr">
        <is>
          <t>SÄTER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46276</v>
      </c>
      <c r="F137" t="inlineStr">
        <is>
          <t>DALARNAS LÄN</t>
        </is>
      </c>
      <c r="G137" t="inlineStr">
        <is>
          <t>SÄTER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46276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46276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46276</v>
      </c>
      <c r="F140" t="inlineStr">
        <is>
          <t>DALARNAS LÄN</t>
        </is>
      </c>
      <c r="G140" t="inlineStr">
        <is>
          <t>SÄTER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46276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46276</v>
      </c>
      <c r="F142" t="inlineStr">
        <is>
          <t>DALARNAS LÄN</t>
        </is>
      </c>
      <c r="G142" t="inlineStr">
        <is>
          <t>SÄTER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46276</v>
      </c>
      <c r="F143" t="inlineStr">
        <is>
          <t>DALARNAS LÄN</t>
        </is>
      </c>
      <c r="G143" t="inlineStr">
        <is>
          <t>SÄTER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47280-2025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46276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46276</v>
      </c>
      <c r="F145" t="inlineStr">
        <is>
          <t>DALARNAS LÄN</t>
        </is>
      </c>
      <c r="G145" t="inlineStr">
        <is>
          <t>SÄTER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46065</v>
      </c>
      <c r="E146" s="1" t="n">
        <v>46276</v>
      </c>
      <c r="F146" t="inlineStr">
        <is>
          <t>DALARNAS LÄN</t>
        </is>
      </c>
      <c r="G146" t="inlineStr">
        <is>
          <t>SÄTER</t>
        </is>
      </c>
      <c r="I146" t="n">
        <v>9.9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46276</v>
      </c>
      <c r="F147" t="inlineStr">
        <is>
          <t>DALARNAS LÄN</t>
        </is>
      </c>
      <c r="G147" t="inlineStr">
        <is>
          <t>SÄTER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46276</v>
      </c>
      <c r="F148" t="inlineStr">
        <is>
          <t>DALARNAS LÄN</t>
        </is>
      </c>
      <c r="G148" t="inlineStr">
        <is>
          <t>SÄTER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44572</v>
      </c>
      <c r="E149" s="1" t="n">
        <v>46276</v>
      </c>
      <c r="F149" t="inlineStr">
        <is>
          <t>DALARNAS LÄN</t>
        </is>
      </c>
      <c r="G149" t="inlineStr">
        <is>
          <t>SÄTER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46276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46276</v>
      </c>
      <c r="F151" t="inlineStr">
        <is>
          <t>DALARNAS LÄN</t>
        </is>
      </c>
      <c r="G151" t="inlineStr">
        <is>
          <t>SÄTER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46276</v>
      </c>
      <c r="F152" t="inlineStr">
        <is>
          <t>DALARNAS LÄN</t>
        </is>
      </c>
      <c r="G152" t="inlineStr">
        <is>
          <t>SÄTER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45599</v>
      </c>
      <c r="E153" s="1" t="n">
        <v>46276</v>
      </c>
      <c r="F153" t="inlineStr">
        <is>
          <t>DALARNAS LÄN</t>
        </is>
      </c>
      <c r="G153" t="inlineStr">
        <is>
          <t>SÄTER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44840</v>
      </c>
      <c r="E154" s="1" t="n">
        <v>46276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46076</v>
      </c>
      <c r="E155" s="1" t="n">
        <v>46276</v>
      </c>
      <c r="F155" t="inlineStr">
        <is>
          <t>DALARNAS LÄN</t>
        </is>
      </c>
      <c r="G155" t="inlineStr">
        <is>
          <t>SÄTER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46276</v>
      </c>
      <c r="F156" t="inlineStr">
        <is>
          <t>DALARNAS LÄN</t>
        </is>
      </c>
      <c r="G156" t="inlineStr">
        <is>
          <t>SÄTER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46276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46076</v>
      </c>
      <c r="E158" s="1" t="n">
        <v>46276</v>
      </c>
      <c r="F158" t="inlineStr">
        <is>
          <t>DALARNAS LÄN</t>
        </is>
      </c>
      <c r="G158" t="inlineStr">
        <is>
          <t>SÄTER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46276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46276</v>
      </c>
      <c r="F160" t="inlineStr">
        <is>
          <t>DALARNAS LÄN</t>
        </is>
      </c>
      <c r="G160" t="inlineStr">
        <is>
          <t>SÄTER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46276</v>
      </c>
      <c r="F161" t="inlineStr">
        <is>
          <t>DALARNAS LÄN</t>
        </is>
      </c>
      <c r="G161" t="inlineStr">
        <is>
          <t>SÄTER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46276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46276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46276</v>
      </c>
      <c r="F164" t="inlineStr">
        <is>
          <t>DALARNAS LÄN</t>
        </is>
      </c>
      <c r="G164" t="inlineStr">
        <is>
          <t>SÄTER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46276</v>
      </c>
      <c r="F165" t="inlineStr">
        <is>
          <t>DALARNAS LÄN</t>
        </is>
      </c>
      <c r="G165" t="inlineStr">
        <is>
          <t>SÄTER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46077</v>
      </c>
      <c r="E166" s="1" t="n">
        <v>46276</v>
      </c>
      <c r="F166" t="inlineStr">
        <is>
          <t>DALARNAS LÄN</t>
        </is>
      </c>
      <c r="G166" t="inlineStr">
        <is>
          <t>SÄTER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46276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45138</v>
      </c>
      <c r="E168" s="1" t="n">
        <v>46276</v>
      </c>
      <c r="F168" t="inlineStr">
        <is>
          <t>DALARNAS LÄN</t>
        </is>
      </c>
      <c r="G168" t="inlineStr">
        <is>
          <t>SÄTER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46276</v>
      </c>
      <c r="F169" t="inlineStr">
        <is>
          <t>DALARNAS LÄN</t>
        </is>
      </c>
      <c r="G169" t="inlineStr">
        <is>
          <t>SÄTER</t>
        </is>
      </c>
      <c r="H169" t="inlineStr">
        <is>
          <t>Kommuner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44960</v>
      </c>
      <c r="E170" s="1" t="n">
        <v>46276</v>
      </c>
      <c r="F170" t="inlineStr">
        <is>
          <t>DALARNAS LÄN</t>
        </is>
      </c>
      <c r="G170" t="inlineStr">
        <is>
          <t>SÄTER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46276</v>
      </c>
      <c r="F171" t="inlineStr">
        <is>
          <t>DALARNAS LÄN</t>
        </is>
      </c>
      <c r="G171" t="inlineStr">
        <is>
          <t>SÄTER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46276</v>
      </c>
      <c r="F172" t="inlineStr">
        <is>
          <t>DALARNAS LÄN</t>
        </is>
      </c>
      <c r="G172" t="inlineStr">
        <is>
          <t>SÄTER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46276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46087</v>
      </c>
      <c r="E174" s="1" t="n">
        <v>46276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45961</v>
      </c>
      <c r="E175" s="1" t="n">
        <v>46276</v>
      </c>
      <c r="F175" t="inlineStr">
        <is>
          <t>DALARNAS LÄN</t>
        </is>
      </c>
      <c r="G175" t="inlineStr">
        <is>
          <t>SÄTER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53559-2025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45960</v>
      </c>
      <c r="E176" s="1" t="n">
        <v>46276</v>
      </c>
      <c r="F176" t="inlineStr">
        <is>
          <t>DALARNAS LÄN</t>
        </is>
      </c>
      <c r="G176" t="inlineStr">
        <is>
          <t>SÄTER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46276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46276</v>
      </c>
      <c r="F178" t="inlineStr">
        <is>
          <t>DALARNAS LÄN</t>
        </is>
      </c>
      <c r="G178" t="inlineStr">
        <is>
          <t>SÄTER</t>
        </is>
      </c>
      <c r="I178" t="n">
        <v>9.800000000000001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46276</v>
      </c>
      <c r="F179" t="inlineStr">
        <is>
          <t>DALARNAS LÄN</t>
        </is>
      </c>
      <c r="G179" t="inlineStr">
        <is>
          <t>SÄTER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46276</v>
      </c>
      <c r="F180" t="inlineStr">
        <is>
          <t>DALARNAS LÄN</t>
        </is>
      </c>
      <c r="G180" t="inlineStr">
        <is>
          <t>SÄTER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46276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46276</v>
      </c>
      <c r="F182" t="inlineStr">
        <is>
          <t>DALARNAS LÄN</t>
        </is>
      </c>
      <c r="G182" t="inlineStr">
        <is>
          <t>SÄTER</t>
        </is>
      </c>
      <c r="H182" t="inlineStr">
        <is>
          <t>Kommuner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45365</v>
      </c>
      <c r="E183" s="1" t="n">
        <v>46276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46276</v>
      </c>
      <c r="F184" t="inlineStr">
        <is>
          <t>DALARNAS LÄN</t>
        </is>
      </c>
      <c r="G184" t="inlineStr">
        <is>
          <t>SÄTER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46276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46276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46098</v>
      </c>
      <c r="E187" s="1" t="n">
        <v>46276</v>
      </c>
      <c r="F187" t="inlineStr">
        <is>
          <t>DALARNAS LÄN</t>
        </is>
      </c>
      <c r="G187" t="inlineStr">
        <is>
          <t>SÄTER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46098</v>
      </c>
      <c r="E188" s="1" t="n">
        <v>46276</v>
      </c>
      <c r="F188" t="inlineStr">
        <is>
          <t>DALARNAS LÄN</t>
        </is>
      </c>
      <c r="G188" t="inlineStr">
        <is>
          <t>SÄTER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46276</v>
      </c>
      <c r="F189" t="inlineStr">
        <is>
          <t>DALARNAS LÄN</t>
        </is>
      </c>
      <c r="G189" t="inlineStr">
        <is>
          <t>SÄTER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46276</v>
      </c>
      <c r="F190" t="inlineStr">
        <is>
          <t>DALARNAS LÄN</t>
        </is>
      </c>
      <c r="G190" t="inlineStr">
        <is>
          <t>SÄTER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46276</v>
      </c>
      <c r="F191" t="inlineStr">
        <is>
          <t>DALARNAS LÄN</t>
        </is>
      </c>
      <c r="G191" t="inlineStr">
        <is>
          <t>SÄTER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46276</v>
      </c>
      <c r="F192" t="inlineStr">
        <is>
          <t>DALARNAS LÄN</t>
        </is>
      </c>
      <c r="G192" t="inlineStr">
        <is>
          <t>SÄTER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46276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46276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45569</v>
      </c>
      <c r="E195" s="1" t="n">
        <v>46276</v>
      </c>
      <c r="F195" t="inlineStr">
        <is>
          <t>DALARNAS LÄN</t>
        </is>
      </c>
      <c r="G195" t="inlineStr">
        <is>
          <t>SÄTER</t>
        </is>
      </c>
      <c r="I195" t="n">
        <v>13.2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46276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46276</v>
      </c>
      <c r="F197" t="inlineStr">
        <is>
          <t>DALARNAS LÄN</t>
        </is>
      </c>
      <c r="G197" t="inlineStr">
        <is>
          <t>SÄTER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46276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46276</v>
      </c>
      <c r="F199" t="inlineStr">
        <is>
          <t>DALARNAS LÄN</t>
        </is>
      </c>
      <c r="G199" t="inlineStr">
        <is>
          <t>SÄTER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46276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46276</v>
      </c>
      <c r="F201" t="inlineStr">
        <is>
          <t>DALARNAS LÄN</t>
        </is>
      </c>
      <c r="G201" t="inlineStr">
        <is>
          <t>SÄTER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46276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  <c r="Z202">
        <f>HYPERLINK("https://klasma.github.io/Logging_2082/knärot/A 57416-2022 karta knärot.png", "A 57416-2022")</f>
        <v/>
      </c>
      <c r="AA202">
        <f>HYPERLINK("https://klasma.github.io/Logging_2082/klagomål/A 57416-2022 FSC-klagomål.docx", "A 57416-2022")</f>
        <v/>
      </c>
      <c r="AB202">
        <f>HYPERLINK("https://klasma.github.io/Logging_2082/klagomålsmail/A 57416-2022 FSC-klagomål mail.docx", "A 57416-2022")</f>
        <v/>
      </c>
      <c r="AC202">
        <f>HYPERLINK("https://klasma.github.io/Logging_2082/tillsyn/A 57416-2022 tillsynsbegäran.docx", "A 57416-2022")</f>
        <v/>
      </c>
      <c r="AD202">
        <f>HYPERLINK("https://klasma.github.io/Logging_2082/tillsynsmail/A 57416-2022 tillsynsbegäran mail.docx", "A 57416-2022")</f>
        <v/>
      </c>
    </row>
    <row r="203" ht="15" customHeight="1">
      <c r="A203" t="inlineStr">
        <is>
          <t>A 61228-2025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46276</v>
      </c>
      <c r="F203" t="inlineStr">
        <is>
          <t>DALARNAS LÄN</t>
        </is>
      </c>
      <c r="G203" t="inlineStr">
        <is>
          <t>SÄTER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46276</v>
      </c>
      <c r="F204" t="inlineStr">
        <is>
          <t>DALARNAS LÄN</t>
        </is>
      </c>
      <c r="G204" t="inlineStr">
        <is>
          <t>SÄTER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46276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45006</v>
      </c>
      <c r="E206" s="1" t="n">
        <v>46276</v>
      </c>
      <c r="F206" t="inlineStr">
        <is>
          <t>DALARNAS LÄN</t>
        </is>
      </c>
      <c r="G206" t="inlineStr">
        <is>
          <t>SÄTER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46276</v>
      </c>
      <c r="F207" t="inlineStr">
        <is>
          <t>DALARNAS LÄN</t>
        </is>
      </c>
      <c r="G207" t="inlineStr">
        <is>
          <t>SÄTER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46276</v>
      </c>
      <c r="F208" t="inlineStr">
        <is>
          <t>DALARNAS LÄN</t>
        </is>
      </c>
      <c r="G208" t="inlineStr">
        <is>
          <t>SÄTER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46119</v>
      </c>
      <c r="E209" s="1" t="n">
        <v>46276</v>
      </c>
      <c r="F209" t="inlineStr">
        <is>
          <t>DALARNAS LÄN</t>
        </is>
      </c>
      <c r="G209" t="inlineStr">
        <is>
          <t>SÄTER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46276</v>
      </c>
      <c r="F210" t="inlineStr">
        <is>
          <t>DALARNAS LÄN</t>
        </is>
      </c>
      <c r="G210" t="inlineStr">
        <is>
          <t>SÄTER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46076</v>
      </c>
      <c r="E211" s="1" t="n">
        <v>46276</v>
      </c>
      <c r="F211" t="inlineStr">
        <is>
          <t>DALARNAS LÄN</t>
        </is>
      </c>
      <c r="G211" t="inlineStr">
        <is>
          <t>SÄTER</t>
        </is>
      </c>
      <c r="I211" t="n">
        <v>15.2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46276</v>
      </c>
      <c r="F212" t="inlineStr">
        <is>
          <t>DALARNAS LÄN</t>
        </is>
      </c>
      <c r="G212" t="inlineStr">
        <is>
          <t>SÄTER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46276</v>
      </c>
      <c r="F213" t="inlineStr">
        <is>
          <t>DALARNAS LÄN</t>
        </is>
      </c>
      <c r="G213" t="inlineStr">
        <is>
          <t>SÄTER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51405-2022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44869</v>
      </c>
      <c r="E214" s="1" t="n">
        <v>46276</v>
      </c>
      <c r="F214" t="inlineStr">
        <is>
          <t>DALARNAS LÄN</t>
        </is>
      </c>
      <c r="G214" t="inlineStr">
        <is>
          <t>SÄTER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46276</v>
      </c>
      <c r="F215" t="inlineStr">
        <is>
          <t>DALARNAS LÄN</t>
        </is>
      </c>
      <c r="G215" t="inlineStr">
        <is>
          <t>SÄTER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46276</v>
      </c>
      <c r="F216" t="inlineStr">
        <is>
          <t>DALARNAS LÄN</t>
        </is>
      </c>
      <c r="G216" t="inlineStr">
        <is>
          <t>SÄTER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45321</v>
      </c>
      <c r="E217" s="1" t="n">
        <v>46276</v>
      </c>
      <c r="F217" t="inlineStr">
        <is>
          <t>DALARNAS LÄN</t>
        </is>
      </c>
      <c r="G217" t="inlineStr">
        <is>
          <t>SÄTER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46276</v>
      </c>
      <c r="F218" t="inlineStr">
        <is>
          <t>DALARNAS LÄN</t>
        </is>
      </c>
      <c r="G218" t="inlineStr">
        <is>
          <t>SÄTER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46276</v>
      </c>
      <c r="F219" t="inlineStr">
        <is>
          <t>DALARNAS LÄN</t>
        </is>
      </c>
      <c r="G219" t="inlineStr">
        <is>
          <t>SÄTER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51320-2024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45604</v>
      </c>
      <c r="E220" s="1" t="n">
        <v>46276</v>
      </c>
      <c r="F220" t="inlineStr">
        <is>
          <t>DALARNAS LÄN</t>
        </is>
      </c>
      <c r="G220" t="inlineStr">
        <is>
          <t>SÄTER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51324-2024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45604</v>
      </c>
      <c r="E221" s="1" t="n">
        <v>46276</v>
      </c>
      <c r="F221" t="inlineStr">
        <is>
          <t>DALARNAS LÄN</t>
        </is>
      </c>
      <c r="G221" t="inlineStr">
        <is>
          <t>SÄTER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46276</v>
      </c>
      <c r="F222" t="inlineStr">
        <is>
          <t>DALARNAS LÄN</t>
        </is>
      </c>
      <c r="G222" t="inlineStr">
        <is>
          <t>SÄTER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46276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45484</v>
      </c>
      <c r="E224" s="1" t="n">
        <v>46276</v>
      </c>
      <c r="F224" t="inlineStr">
        <is>
          <t>DALARNAS LÄN</t>
        </is>
      </c>
      <c r="G224" t="inlineStr">
        <is>
          <t>SÄTER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45574</v>
      </c>
      <c r="E225" s="1" t="n">
        <v>46276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46276</v>
      </c>
      <c r="F226" t="inlineStr">
        <is>
          <t>DALARNAS LÄN</t>
        </is>
      </c>
      <c r="G226" t="inlineStr">
        <is>
          <t>SÄTER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46276</v>
      </c>
      <c r="F227" t="inlineStr">
        <is>
          <t>DALARNAS LÄN</t>
        </is>
      </c>
      <c r="G227" t="inlineStr">
        <is>
          <t>SÄTER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51323-2024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45604</v>
      </c>
      <c r="E228" s="1" t="n">
        <v>46276</v>
      </c>
      <c r="F228" t="inlineStr">
        <is>
          <t>DALARNAS LÄN</t>
        </is>
      </c>
      <c r="G228" t="inlineStr">
        <is>
          <t>SÄTER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34990-2024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45527</v>
      </c>
      <c r="E229" s="1" t="n">
        <v>46276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34991-2024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45527</v>
      </c>
      <c r="E230" s="1" t="n">
        <v>46276</v>
      </c>
      <c r="F230" t="inlineStr">
        <is>
          <t>DALARNAS LÄN</t>
        </is>
      </c>
      <c r="G230" t="inlineStr">
        <is>
          <t>SÄTER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46276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46276</v>
      </c>
      <c r="F232" t="inlineStr">
        <is>
          <t>DALARNAS LÄN</t>
        </is>
      </c>
      <c r="G232" t="inlineStr">
        <is>
          <t>SÄTER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46276</v>
      </c>
      <c r="F233" t="inlineStr">
        <is>
          <t>DALARNAS LÄN</t>
        </is>
      </c>
      <c r="G233" t="inlineStr">
        <is>
          <t>SÄTER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45342</v>
      </c>
      <c r="E234" s="1" t="n">
        <v>46276</v>
      </c>
      <c r="F234" t="inlineStr">
        <is>
          <t>DALARNAS LÄN</t>
        </is>
      </c>
      <c r="G234" t="inlineStr">
        <is>
          <t>SÄTER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46014</v>
      </c>
      <c r="E235" s="1" t="n">
        <v>46276</v>
      </c>
      <c r="F235" t="inlineStr">
        <is>
          <t>DALARNAS LÄN</t>
        </is>
      </c>
      <c r="G235" t="inlineStr">
        <is>
          <t>SÄTER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46276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46276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46276</v>
      </c>
      <c r="F238" t="inlineStr">
        <is>
          <t>DALARNAS LÄN</t>
        </is>
      </c>
      <c r="G238" t="inlineStr">
        <is>
          <t>SÄTER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46276</v>
      </c>
      <c r="F239" t="inlineStr">
        <is>
          <t>DALARNAS LÄN</t>
        </is>
      </c>
      <c r="G239" t="inlineStr">
        <is>
          <t>SÄTER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46276</v>
      </c>
      <c r="F240" t="inlineStr">
        <is>
          <t>DALARNAS LÄN</t>
        </is>
      </c>
      <c r="G240" t="inlineStr">
        <is>
          <t>SÄTER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46276</v>
      </c>
      <c r="F241" t="inlineStr">
        <is>
          <t>DALARNAS LÄN</t>
        </is>
      </c>
      <c r="G241" t="inlineStr">
        <is>
          <t>SÄTER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46276</v>
      </c>
      <c r="F242" t="inlineStr">
        <is>
          <t>DALARNAS LÄN</t>
        </is>
      </c>
      <c r="G242" t="inlineStr">
        <is>
          <t>SÄTER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46276</v>
      </c>
      <c r="F243" t="inlineStr">
        <is>
          <t>DALARNAS LÄN</t>
        </is>
      </c>
      <c r="G243" t="inlineStr">
        <is>
          <t>SÄTER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46276</v>
      </c>
      <c r="F244" t="inlineStr">
        <is>
          <t>DALARNAS LÄN</t>
        </is>
      </c>
      <c r="G244" t="inlineStr">
        <is>
          <t>SÄTER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46276</v>
      </c>
      <c r="F245" t="inlineStr">
        <is>
          <t>DALARNAS LÄN</t>
        </is>
      </c>
      <c r="G245" t="inlineStr">
        <is>
          <t>SÄTER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45561</v>
      </c>
      <c r="E246" s="1" t="n">
        <v>46276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46276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46073</v>
      </c>
      <c r="E248" s="1" t="n">
        <v>46276</v>
      </c>
      <c r="F248" t="inlineStr">
        <is>
          <t>DALARNAS LÄN</t>
        </is>
      </c>
      <c r="G248" t="inlineStr">
        <is>
          <t>SÄTER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46276</v>
      </c>
      <c r="F249" t="inlineStr">
        <is>
          <t>DALARNAS LÄN</t>
        </is>
      </c>
      <c r="G249" t="inlineStr">
        <is>
          <t>SÄTER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46276</v>
      </c>
      <c r="F250" t="inlineStr">
        <is>
          <t>DALARNAS LÄN</t>
        </is>
      </c>
      <c r="G250" t="inlineStr">
        <is>
          <t>SÄTER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45576</v>
      </c>
      <c r="E251" s="1" t="n">
        <v>46276</v>
      </c>
      <c r="F251" t="inlineStr">
        <is>
          <t>DALARNAS LÄN</t>
        </is>
      </c>
      <c r="G251" t="inlineStr">
        <is>
          <t>SÄTER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46276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45411</v>
      </c>
      <c r="E253" s="1" t="n">
        <v>46276</v>
      </c>
      <c r="F253" t="inlineStr">
        <is>
          <t>DALARNAS LÄN</t>
        </is>
      </c>
      <c r="G253" t="inlineStr">
        <is>
          <t>SÄTER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46276</v>
      </c>
      <c r="F254" t="inlineStr">
        <is>
          <t>DALARNAS LÄN</t>
        </is>
      </c>
      <c r="G254" t="inlineStr">
        <is>
          <t>SÄTER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46276</v>
      </c>
      <c r="F255" t="inlineStr">
        <is>
          <t>DALARNAS LÄN</t>
        </is>
      </c>
      <c r="G255" t="inlineStr">
        <is>
          <t>SÄTER</t>
        </is>
      </c>
      <c r="H255" t="inlineStr">
        <is>
          <t>Kommuner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46276</v>
      </c>
      <c r="F256" t="inlineStr">
        <is>
          <t>DALARNAS LÄN</t>
        </is>
      </c>
      <c r="G256" t="inlineStr">
        <is>
          <t>SÄTER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46276</v>
      </c>
      <c r="F257" t="inlineStr">
        <is>
          <t>DALARNAS LÄN</t>
        </is>
      </c>
      <c r="G257" t="inlineStr">
        <is>
          <t>SÄTER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46276</v>
      </c>
      <c r="F258" t="inlineStr">
        <is>
          <t>DALARNAS LÄN</t>
        </is>
      </c>
      <c r="G258" t="inlineStr">
        <is>
          <t>SÄTER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46276</v>
      </c>
      <c r="F259" t="inlineStr">
        <is>
          <t>DALARNAS LÄN</t>
        </is>
      </c>
      <c r="G259" t="inlineStr">
        <is>
          <t>SÄTER</t>
        </is>
      </c>
      <c r="I259" t="n">
        <v>8.1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46276</v>
      </c>
      <c r="F260" t="inlineStr">
        <is>
          <t>DALARNAS LÄN</t>
        </is>
      </c>
      <c r="G260" t="inlineStr">
        <is>
          <t>SÄTER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45628</v>
      </c>
      <c r="E261" s="1" t="n">
        <v>46276</v>
      </c>
      <c r="F261" t="inlineStr">
        <is>
          <t>DALARNAS LÄN</t>
        </is>
      </c>
      <c r="G261" t="inlineStr">
        <is>
          <t>SÄTER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45526</v>
      </c>
      <c r="E262" s="1" t="n">
        <v>46276</v>
      </c>
      <c r="F262" t="inlineStr">
        <is>
          <t>DALARNAS LÄN</t>
        </is>
      </c>
      <c r="G262" t="inlineStr">
        <is>
          <t>SÄTER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46276</v>
      </c>
      <c r="F263" t="inlineStr">
        <is>
          <t>DALARNAS LÄN</t>
        </is>
      </c>
      <c r="G263" t="inlineStr">
        <is>
          <t>SÄTER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46276</v>
      </c>
      <c r="F264" t="inlineStr">
        <is>
          <t>DALARNAS LÄN</t>
        </is>
      </c>
      <c r="G264" t="inlineStr">
        <is>
          <t>SÄTER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46276</v>
      </c>
      <c r="F265" t="inlineStr">
        <is>
          <t>DALARNAS LÄN</t>
        </is>
      </c>
      <c r="G265" t="inlineStr">
        <is>
          <t>SÄTER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46276</v>
      </c>
      <c r="F266" t="inlineStr">
        <is>
          <t>DALARNAS LÄN</t>
        </is>
      </c>
      <c r="G266" t="inlineStr">
        <is>
          <t>SÄTER</t>
        </is>
      </c>
      <c r="H266" t="inlineStr">
        <is>
          <t>Kommuner</t>
        </is>
      </c>
      <c r="I266" t="n">
        <v>42.6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46276</v>
      </c>
      <c r="F267" t="inlineStr">
        <is>
          <t>DALARNAS LÄN</t>
        </is>
      </c>
      <c r="G267" t="inlineStr">
        <is>
          <t>SÄTER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46276</v>
      </c>
      <c r="F268" t="inlineStr">
        <is>
          <t>DALARNAS LÄN</t>
        </is>
      </c>
      <c r="G268" t="inlineStr">
        <is>
          <t>SÄTER</t>
        </is>
      </c>
      <c r="H268" t="inlineStr">
        <is>
          <t>Kommuner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46091</v>
      </c>
      <c r="E269" s="1" t="n">
        <v>46276</v>
      </c>
      <c r="F269" t="inlineStr">
        <is>
          <t>DALARNAS LÄN</t>
        </is>
      </c>
      <c r="G269" t="inlineStr">
        <is>
          <t>SÄTER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46276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46276</v>
      </c>
      <c r="F271" t="inlineStr">
        <is>
          <t>DALARNAS LÄN</t>
        </is>
      </c>
      <c r="G271" t="inlineStr">
        <is>
          <t>SÄTER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46276</v>
      </c>
      <c r="F272" t="inlineStr">
        <is>
          <t>DALARNAS LÄN</t>
        </is>
      </c>
      <c r="G272" t="inlineStr">
        <is>
          <t>SÄTER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46276</v>
      </c>
      <c r="F273" t="inlineStr">
        <is>
          <t>DALARNAS LÄN</t>
        </is>
      </c>
      <c r="G273" t="inlineStr">
        <is>
          <t>SÄTER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46276</v>
      </c>
      <c r="F274" t="inlineStr">
        <is>
          <t>DALARNAS LÄN</t>
        </is>
      </c>
      <c r="G274" t="inlineStr">
        <is>
          <t>SÄTER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52193-2021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44463</v>
      </c>
      <c r="E275" s="1" t="n">
        <v>46276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46155</v>
      </c>
      <c r="E276" s="1" t="n">
        <v>46276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23810-2024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45455</v>
      </c>
      <c r="E277" s="1" t="n">
        <v>46276</v>
      </c>
      <c r="F277" t="inlineStr">
        <is>
          <t>DALARNAS LÄN</t>
        </is>
      </c>
      <c r="G277" t="inlineStr">
        <is>
          <t>SÄTER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52220-2021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44462</v>
      </c>
      <c r="E278" s="1" t="n">
        <v>46276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45432</v>
      </c>
      <c r="E279" s="1" t="n">
        <v>46276</v>
      </c>
      <c r="F279" t="inlineStr">
        <is>
          <t>DALARNAS LÄN</t>
        </is>
      </c>
      <c r="G279" t="inlineStr">
        <is>
          <t>SÄTER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46087</v>
      </c>
      <c r="E280" s="1" t="n">
        <v>46276</v>
      </c>
      <c r="F280" t="inlineStr">
        <is>
          <t>DALARNAS LÄN</t>
        </is>
      </c>
      <c r="G280" t="inlineStr">
        <is>
          <t>SÄTER</t>
        </is>
      </c>
      <c r="H280" t="inlineStr">
        <is>
          <t>Kommuner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46276</v>
      </c>
      <c r="F281" t="inlineStr">
        <is>
          <t>DALARNAS LÄN</t>
        </is>
      </c>
      <c r="G281" t="inlineStr">
        <is>
          <t>SÄTER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46276</v>
      </c>
      <c r="F282" t="inlineStr">
        <is>
          <t>DALARNAS LÄN</t>
        </is>
      </c>
      <c r="G282" t="inlineStr">
        <is>
          <t>SÄTER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46276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46276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46276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46276</v>
      </c>
      <c r="F286" t="inlineStr">
        <is>
          <t>DALARNAS LÄN</t>
        </is>
      </c>
      <c r="G286" t="inlineStr">
        <is>
          <t>SÄTER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19162-2022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44691</v>
      </c>
      <c r="E287" s="1" t="n">
        <v>46276</v>
      </c>
      <c r="F287" t="inlineStr">
        <is>
          <t>DALARNAS LÄN</t>
        </is>
      </c>
      <c r="G287" t="inlineStr">
        <is>
          <t>SÄTER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46276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46276</v>
      </c>
      <c r="F289" t="inlineStr">
        <is>
          <t>DALARNAS LÄN</t>
        </is>
      </c>
      <c r="G289" t="inlineStr">
        <is>
          <t>SÄTER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46276</v>
      </c>
      <c r="F290" t="inlineStr">
        <is>
          <t>DALARNAS LÄN</t>
        </is>
      </c>
      <c r="G290" t="inlineStr">
        <is>
          <t>SÄTER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46276</v>
      </c>
      <c r="F291" t="inlineStr">
        <is>
          <t>DALARNAS LÄN</t>
        </is>
      </c>
      <c r="G291" t="inlineStr">
        <is>
          <t>SÄTER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46276</v>
      </c>
      <c r="F292" t="inlineStr">
        <is>
          <t>DALARNAS LÄN</t>
        </is>
      </c>
      <c r="G292" t="inlineStr">
        <is>
          <t>SÄTER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46276</v>
      </c>
      <c r="F293" t="inlineStr">
        <is>
          <t>DALARNAS LÄN</t>
        </is>
      </c>
      <c r="G293" t="inlineStr">
        <is>
          <t>SÄTER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69744-2021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44532</v>
      </c>
      <c r="E294" s="1" t="n">
        <v>46276</v>
      </c>
      <c r="F294" t="inlineStr">
        <is>
          <t>DALARNAS LÄN</t>
        </is>
      </c>
      <c r="G294" t="inlineStr">
        <is>
          <t>SÄTER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46276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46276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46276</v>
      </c>
      <c r="F297" t="inlineStr">
        <is>
          <t>DALARNAS LÄN</t>
        </is>
      </c>
      <c r="G297" t="inlineStr">
        <is>
          <t>SÄTER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45644</v>
      </c>
      <c r="E298" s="1" t="n">
        <v>46276</v>
      </c>
      <c r="F298" t="inlineStr">
        <is>
          <t>DALARNAS LÄN</t>
        </is>
      </c>
      <c r="G298" t="inlineStr">
        <is>
          <t>SÄTER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46276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46276</v>
      </c>
      <c r="F300" t="inlineStr">
        <is>
          <t>DALARNAS LÄN</t>
        </is>
      </c>
      <c r="G300" t="inlineStr">
        <is>
          <t>SÄTER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46010</v>
      </c>
      <c r="E301" s="1" t="n">
        <v>46276</v>
      </c>
      <c r="F301" t="inlineStr">
        <is>
          <t>DALARNAS LÄN</t>
        </is>
      </c>
      <c r="G301" t="inlineStr">
        <is>
          <t>SÄTER</t>
        </is>
      </c>
      <c r="H301" t="inlineStr">
        <is>
          <t>Övriga statliga verk och myndigheter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46276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10285-2026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46076</v>
      </c>
      <c r="E303" s="1" t="n">
        <v>46276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38700-2023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46276</v>
      </c>
      <c r="F304" t="inlineStr">
        <is>
          <t>DALARNAS LÄN</t>
        </is>
      </c>
      <c r="G304" t="inlineStr">
        <is>
          <t>SÄTER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46276</v>
      </c>
      <c r="F305" t="inlineStr">
        <is>
          <t>DALARNAS LÄN</t>
        </is>
      </c>
      <c r="G305" t="inlineStr">
        <is>
          <t>SÄTER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46276</v>
      </c>
      <c r="F306" t="inlineStr">
        <is>
          <t>DALARNAS LÄN</t>
        </is>
      </c>
      <c r="G306" t="inlineStr">
        <is>
          <t>SÄTER</t>
        </is>
      </c>
      <c r="H306" t="inlineStr">
        <is>
          <t>Kommuner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46276</v>
      </c>
      <c r="F307" t="inlineStr">
        <is>
          <t>DALARNAS LÄN</t>
        </is>
      </c>
      <c r="G307" t="inlineStr">
        <is>
          <t>SÄTER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46276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46276</v>
      </c>
      <c r="F309" t="inlineStr">
        <is>
          <t>DALARNAS LÄN</t>
        </is>
      </c>
      <c r="G309" t="inlineStr">
        <is>
          <t>SÄTER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44784</v>
      </c>
      <c r="E310" s="1" t="n">
        <v>46276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27771-2026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46276</v>
      </c>
      <c r="F311" t="inlineStr">
        <is>
          <t>DALARNAS LÄN</t>
        </is>
      </c>
      <c r="G311" t="inlineStr">
        <is>
          <t>SÄTER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12965-2026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46092</v>
      </c>
      <c r="E312" s="1" t="n">
        <v>46276</v>
      </c>
      <c r="F312" t="inlineStr">
        <is>
          <t>DALARNAS LÄN</t>
        </is>
      </c>
      <c r="G312" t="inlineStr">
        <is>
          <t>SÄTER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46234</v>
      </c>
      <c r="E313" s="1" t="n">
        <v>46276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57824-2023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46276</v>
      </c>
      <c r="F314" t="inlineStr">
        <is>
          <t>DALARNAS LÄN</t>
        </is>
      </c>
      <c r="G314" t="inlineStr">
        <is>
          <t>SÄTER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46276</v>
      </c>
      <c r="F315" t="inlineStr">
        <is>
          <t>DALARNAS LÄN</t>
        </is>
      </c>
      <c r="G315" t="inlineStr">
        <is>
          <t>SÄTER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46276</v>
      </c>
      <c r="F316" t="inlineStr">
        <is>
          <t>DALARNAS LÄN</t>
        </is>
      </c>
      <c r="G316" t="inlineStr">
        <is>
          <t>SÄTER</t>
        </is>
      </c>
      <c r="H316" t="inlineStr">
        <is>
          <t>Sveaskog</t>
        </is>
      </c>
      <c r="I316" t="n">
        <v>19.8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51333-2024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45604</v>
      </c>
      <c r="E317" s="1" t="n">
        <v>46276</v>
      </c>
      <c r="F317" t="inlineStr">
        <is>
          <t>DALARNAS LÄN</t>
        </is>
      </c>
      <c r="G317" t="inlineStr">
        <is>
          <t>SÄTER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46276</v>
      </c>
      <c r="F318" t="inlineStr">
        <is>
          <t>DALARNAS LÄN</t>
        </is>
      </c>
      <c r="G318" t="inlineStr">
        <is>
          <t>SÄTER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32892-2022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44784</v>
      </c>
      <c r="E319" s="1" t="n">
        <v>46276</v>
      </c>
      <c r="F319" t="inlineStr">
        <is>
          <t>DALARNAS LÄN</t>
        </is>
      </c>
      <c r="G319" t="inlineStr">
        <is>
          <t>SÄTER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46276</v>
      </c>
      <c r="F320" t="inlineStr">
        <is>
          <t>DALARNAS LÄN</t>
        </is>
      </c>
      <c r="G320" t="inlineStr">
        <is>
          <t>SÄTER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46204</v>
      </c>
      <c r="E321" s="1" t="n">
        <v>46276</v>
      </c>
      <c r="F321" t="inlineStr">
        <is>
          <t>DALARNAS LÄN</t>
        </is>
      </c>
      <c r="G321" t="inlineStr">
        <is>
          <t>SÄTER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46276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44811</v>
      </c>
      <c r="E323" s="1" t="n">
        <v>46276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46276</v>
      </c>
      <c r="F324" t="inlineStr">
        <is>
          <t>DALARNAS LÄN</t>
        </is>
      </c>
      <c r="G324" t="inlineStr">
        <is>
          <t>SÄTER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46276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46276</v>
      </c>
      <c r="F326" t="inlineStr">
        <is>
          <t>DALARNAS LÄN</t>
        </is>
      </c>
      <c r="G326" t="inlineStr">
        <is>
          <t>SÄTER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44643</v>
      </c>
      <c r="E327" s="1" t="n">
        <v>46276</v>
      </c>
      <c r="F327" t="inlineStr">
        <is>
          <t>DALARNAS LÄN</t>
        </is>
      </c>
      <c r="G327" t="inlineStr">
        <is>
          <t>SÄTER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8810-2026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46276</v>
      </c>
      <c r="F328" t="inlineStr">
        <is>
          <t>DALARNAS LÄN</t>
        </is>
      </c>
      <c r="G328" t="inlineStr">
        <is>
          <t>SÄTER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46276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46276</v>
      </c>
      <c r="F330" t="inlineStr">
        <is>
          <t>DALARNAS LÄN</t>
        </is>
      </c>
      <c r="G330" t="inlineStr">
        <is>
          <t>SÄTER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46276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46276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46276</v>
      </c>
      <c r="F333" t="inlineStr">
        <is>
          <t>DALARNAS LÄN</t>
        </is>
      </c>
      <c r="G333" t="inlineStr">
        <is>
          <t>SÄTER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46276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42998-2023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45182</v>
      </c>
      <c r="E335" s="1" t="n">
        <v>46276</v>
      </c>
      <c r="F335" t="inlineStr">
        <is>
          <t>DALARNAS LÄN</t>
        </is>
      </c>
      <c r="G335" t="inlineStr">
        <is>
          <t>SÄTER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45604</v>
      </c>
      <c r="E336" s="1" t="n">
        <v>46276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46211</v>
      </c>
      <c r="E337" s="1" t="n">
        <v>46276</v>
      </c>
      <c r="F337" t="inlineStr">
        <is>
          <t>DALARNAS LÄN</t>
        </is>
      </c>
      <c r="G337" t="inlineStr">
        <is>
          <t>SÄTER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46276</v>
      </c>
      <c r="F338" t="inlineStr">
        <is>
          <t>DALARNAS LÄN</t>
        </is>
      </c>
      <c r="G338" t="inlineStr">
        <is>
          <t>SÄTER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44809</v>
      </c>
      <c r="E339" s="1" t="n">
        <v>46276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46276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46276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46276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35564-2026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46262</v>
      </c>
      <c r="E343" s="1" t="n">
        <v>46276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41471-2023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45171</v>
      </c>
      <c r="E344" s="1" t="n">
        <v>46276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46276</v>
      </c>
      <c r="F345" t="inlineStr">
        <is>
          <t>DALARNAS LÄN</t>
        </is>
      </c>
      <c r="G345" t="inlineStr">
        <is>
          <t>SÄTER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46276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46276</v>
      </c>
      <c r="F347" t="inlineStr">
        <is>
          <t>DALARNAS LÄN</t>
        </is>
      </c>
      <c r="G347" t="inlineStr">
        <is>
          <t>SÄTER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46276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45432</v>
      </c>
      <c r="E349" s="1" t="n">
        <v>46276</v>
      </c>
      <c r="F349" t="inlineStr">
        <is>
          <t>DALARNAS LÄN</t>
        </is>
      </c>
      <c r="G349" t="inlineStr">
        <is>
          <t>SÄTER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46276</v>
      </c>
      <c r="F350" t="inlineStr">
        <is>
          <t>DALARNAS LÄN</t>
        </is>
      </c>
      <c r="G350" t="inlineStr">
        <is>
          <t>SÄTER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45790</v>
      </c>
      <c r="E351" s="1" t="n">
        <v>46276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45365</v>
      </c>
      <c r="E352" s="1" t="n">
        <v>46276</v>
      </c>
      <c r="F352" t="inlineStr">
        <is>
          <t>DALARNAS LÄN</t>
        </is>
      </c>
      <c r="G352" t="inlineStr">
        <is>
          <t>SÄTER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45666</v>
      </c>
      <c r="E353" s="1" t="n">
        <v>46276</v>
      </c>
      <c r="F353" t="inlineStr">
        <is>
          <t>DALARNAS LÄN</t>
        </is>
      </c>
      <c r="G353" t="inlineStr">
        <is>
          <t>SÄTER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45118</v>
      </c>
      <c r="E354" s="1" t="n">
        <v>46276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21911-2024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45443</v>
      </c>
      <c r="E355" s="1" t="n">
        <v>46276</v>
      </c>
      <c r="F355" t="inlineStr">
        <is>
          <t>DALARNAS LÄN</t>
        </is>
      </c>
      <c r="G355" t="inlineStr">
        <is>
          <t>SÄTER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36969-2026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46273</v>
      </c>
      <c r="E356" s="1" t="n">
        <v>46276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46275</v>
      </c>
      <c r="E357" s="1" t="n">
        <v>46276</v>
      </c>
      <c r="F357" t="inlineStr">
        <is>
          <t>DALARNAS LÄN</t>
        </is>
      </c>
      <c r="G357" t="inlineStr">
        <is>
          <t>SÄTER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46275</v>
      </c>
      <c r="E358" s="1" t="n">
        <v>46276</v>
      </c>
      <c r="F358" t="inlineStr">
        <is>
          <t>DALARNAS LÄN</t>
        </is>
      </c>
      <c r="G358" t="inlineStr">
        <is>
          <t>SÄTER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46276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46276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46276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46276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46276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46276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46276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46276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46276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2026-09-11T02:11:57Z</dcterms:created>
  <dcterms:modified xmlns:dcterms="http://purl.org/dc/terms/" xmlns:xsi="http://www.w3.org/2001/XMLSchema-instance" xsi:type="dcterms:W3CDTF">2026-09-11T02:11:58Z</dcterms:modified>
</cp:coreProperties>
</file>