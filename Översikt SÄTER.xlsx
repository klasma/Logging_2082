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46222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V2">
        <f>HYPERLINK("https://klasma.github.io/Logging_2082/artfynd/A 8524-2026 artfynd.xlsx", "A 8524-2026")</f>
        <v/>
      </c>
      <c r="W2">
        <f>HYPERLINK("https://klasma.github.io/Logging_2082/kartor/A 8524-2026 karta.png", "A 8524-2026")</f>
        <v/>
      </c>
      <c r="X2">
        <f>HYPERLINK("https://klasma.github.io/Logging_2082/knärot/A 8524-2026 karta knärot.png", "A 8524-2026")</f>
        <v/>
      </c>
      <c r="Y2">
        <f>HYPERLINK("https://klasma.github.io/Logging_2082/klagomål/A 8524-2026 FSC-klagomål.docx", "A 8524-2026")</f>
        <v/>
      </c>
      <c r="Z2">
        <f>HYPERLINK("https://klasma.github.io/Logging_2082/klagomålsmail/A 8524-2026 FSC-klagomål mail.docx", "A 8524-2026")</f>
        <v/>
      </c>
      <c r="AA2">
        <f>HYPERLINK("https://klasma.github.io/Logging_2082/tillsyn/A 8524-2026 tillsynsbegäran.docx", "A 8524-2026")</f>
        <v/>
      </c>
      <c r="AB2">
        <f>HYPERLINK("https://klasma.github.io/Logging_2082/tillsynsmail/A 8524-2026 tillsynsbegäran mail.docx", "A 8524-2026")</f>
        <v/>
      </c>
      <c r="AC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46222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s="2" t="inlineStr">
        <is>
          <t>Skogsalm
Grangråticka
Gräddticka
Barrviolspindling
Gransotdyna
Rynkskinn
Ullticka
Grön sköldmossa
Svavelriska
Tibast
Blåsippa
Vanlig groda</t>
        </is>
      </c>
      <c r="V3">
        <f>HYPERLINK("https://klasma.github.io/Logging_2082/artfynd/A 35146-2025 artfynd.xlsx", "A 35146-2025")</f>
        <v/>
      </c>
      <c r="W3">
        <f>HYPERLINK("https://klasma.github.io/Logging_2082/kartor/A 35146-2025 karta.png", "A 35146-2025")</f>
        <v/>
      </c>
      <c r="Y3">
        <f>HYPERLINK("https://klasma.github.io/Logging_2082/klagomål/A 35146-2025 FSC-klagomål.docx", "A 35146-2025")</f>
        <v/>
      </c>
      <c r="Z3">
        <f>HYPERLINK("https://klasma.github.io/Logging_2082/klagomålsmail/A 35146-2025 FSC-klagomål mail.docx", "A 35146-2025")</f>
        <v/>
      </c>
      <c r="AA3">
        <f>HYPERLINK("https://klasma.github.io/Logging_2082/tillsyn/A 35146-2025 tillsynsbegäran.docx", "A 35146-2025")</f>
        <v/>
      </c>
      <c r="AB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46222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s="2" t="inlineStr">
        <is>
          <t>Knärot
Dropptaggsvamp
Motaggsvamp
Talltita
Vedskivlav
Mindre märgborre
Spillkråka
Timmerticka
Revlummer</t>
        </is>
      </c>
      <c r="V4">
        <f>HYPERLINK("https://klasma.github.io/Logging_2082/artfynd/A 57833-2023 artfynd.xlsx", "A 57833-2023")</f>
        <v/>
      </c>
      <c r="W4">
        <f>HYPERLINK("https://klasma.github.io/Logging_2082/kartor/A 57833-2023 karta.png", "A 57833-2023")</f>
        <v/>
      </c>
      <c r="X4">
        <f>HYPERLINK("https://klasma.github.io/Logging_2082/knärot/A 57833-2023 karta knärot.png", "A 57833-2023")</f>
        <v/>
      </c>
      <c r="Y4">
        <f>HYPERLINK("https://klasma.github.io/Logging_2082/klagomål/A 57833-2023 FSC-klagomål.docx", "A 57833-2023")</f>
        <v/>
      </c>
      <c r="Z4">
        <f>HYPERLINK("https://klasma.github.io/Logging_2082/klagomålsmail/A 57833-2023 FSC-klagomål mail.docx", "A 57833-2023")</f>
        <v/>
      </c>
      <c r="AA4">
        <f>HYPERLINK("https://klasma.github.io/Logging_2082/tillsyn/A 57833-2023 tillsynsbegäran.docx", "A 57833-2023")</f>
        <v/>
      </c>
      <c r="AB4">
        <f>HYPERLINK("https://klasma.github.io/Logging_2082/tillsynsmail/A 57833-2023 tillsynsbegäran mail.docx", "A 57833-2023")</f>
        <v/>
      </c>
      <c r="AC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46222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s="2" t="inlineStr">
        <is>
          <t>Skogsalm
Dofttaggsvamp
Kandelabersvamp
Scharlakansskål
Trådticka
Tvåblad
Blåsippa
Buskmus
Gullviva</t>
        </is>
      </c>
      <c r="V5">
        <f>HYPERLINK("https://klasma.github.io/Logging_2082/artfynd/S 5932-2022 artfynd.xlsx", "S 5932-2022")</f>
        <v/>
      </c>
      <c r="W5">
        <f>HYPERLINK("https://klasma.github.io/Logging_2082/kartor/S 5932-2022 karta.png", "S 5932-2022")</f>
        <v/>
      </c>
      <c r="Y5">
        <f>HYPERLINK("https://klasma.github.io/Logging_2082/klagomål/S 5932-2022 FSC-klagomål.docx", "S 5932-2022")</f>
        <v/>
      </c>
      <c r="Z5">
        <f>HYPERLINK("https://klasma.github.io/Logging_2082/klagomålsmail/S 5932-2022 FSC-klagomål mail.docx", "S 5932-2022")</f>
        <v/>
      </c>
      <c r="AA5">
        <f>HYPERLINK("https://klasma.github.io/Logging_2082/tillsyn/S 5932-2022 tillsynsbegäran.docx", "S 5932-2022")</f>
        <v/>
      </c>
      <c r="AB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46222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s="2" t="inlineStr">
        <is>
          <t>Knärot
Laxporing
Rosenticka
Rynkskinn
Ullticka
Trådticka
Spillkråka
Vanlig padda</t>
        </is>
      </c>
      <c r="V6">
        <f>HYPERLINK("https://klasma.github.io/Logging_2082/artfynd/A 35411-2025 artfynd.xlsx", "A 35411-2025")</f>
        <v/>
      </c>
      <c r="W6">
        <f>HYPERLINK("https://klasma.github.io/Logging_2082/kartor/A 35411-2025 karta.png", "A 35411-2025")</f>
        <v/>
      </c>
      <c r="X6">
        <f>HYPERLINK("https://klasma.github.io/Logging_2082/knärot/A 35411-2025 karta knärot.png", "A 35411-2025")</f>
        <v/>
      </c>
      <c r="Y6">
        <f>HYPERLINK("https://klasma.github.io/Logging_2082/klagomål/A 35411-2025 FSC-klagomål.docx", "A 35411-2025")</f>
        <v/>
      </c>
      <c r="Z6">
        <f>HYPERLINK("https://klasma.github.io/Logging_2082/klagomålsmail/A 35411-2025 FSC-klagomål mail.docx", "A 35411-2025")</f>
        <v/>
      </c>
      <c r="AA6">
        <f>HYPERLINK("https://klasma.github.io/Logging_2082/tillsyn/A 35411-2025 tillsynsbegäran.docx", "A 35411-2025")</f>
        <v/>
      </c>
      <c r="AB6">
        <f>HYPERLINK("https://klasma.github.io/Logging_2082/tillsynsmail/A 35411-2025 tillsynsbegäran mail.docx", "A 35411-2025")</f>
        <v/>
      </c>
      <c r="AC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46222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s="2" t="inlineStr">
        <is>
          <t>Ostticka
Dropptaggsvamp
Talltita
Vedskivlav
Mindre märgborre
Spillkråka
Timmerticka
Revlummer</t>
        </is>
      </c>
      <c r="V7">
        <f>HYPERLINK("https://klasma.github.io/Logging_2082/artfynd/A 8533-2026 artfynd.xlsx", "A 8533-2026")</f>
        <v/>
      </c>
      <c r="W7">
        <f>HYPERLINK("https://klasma.github.io/Logging_2082/kartor/A 8533-2026 karta.png", "A 8533-2026")</f>
        <v/>
      </c>
      <c r="Y7">
        <f>HYPERLINK("https://klasma.github.io/Logging_2082/klagomål/A 8533-2026 FSC-klagomål.docx", "A 8533-2026")</f>
        <v/>
      </c>
      <c r="Z7">
        <f>HYPERLINK("https://klasma.github.io/Logging_2082/klagomålsmail/A 8533-2026 FSC-klagomål mail.docx", "A 8533-2026")</f>
        <v/>
      </c>
      <c r="AA7">
        <f>HYPERLINK("https://klasma.github.io/Logging_2082/tillsyn/A 8533-2026 tillsynsbegäran.docx", "A 8533-2026")</f>
        <v/>
      </c>
      <c r="AB7">
        <f>HYPERLINK("https://klasma.github.io/Logging_2082/tillsynsmail/A 8533-2026 tillsynsbegäran mail.docx", "A 8533-2026")</f>
        <v/>
      </c>
      <c r="AC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46222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s="2" t="inlineStr">
        <is>
          <t>Gul taggsvamp
Tvillingspindling
Dofttaggsvamp
Kandelabersvamp
Rovspindling
Svavelriska
Trådticka</t>
        </is>
      </c>
      <c r="V8">
        <f>HYPERLINK("https://klasma.github.io/Logging_2082/artfynd/S 3187-2024 artfynd.xlsx", "S 3187-2024")</f>
        <v/>
      </c>
      <c r="W8">
        <f>HYPERLINK("https://klasma.github.io/Logging_2082/kartor/S 3187-2024 karta.png", "S 3187-2024")</f>
        <v/>
      </c>
      <c r="Y8">
        <f>HYPERLINK("https://klasma.github.io/Logging_2082/klagomål/S 3187-2024 FSC-klagomål.docx", "S 3187-2024")</f>
        <v/>
      </c>
      <c r="Z8">
        <f>HYPERLINK("https://klasma.github.io/Logging_2082/klagomålsmail/S 3187-2024 FSC-klagomål mail.docx", "S 3187-2024")</f>
        <v/>
      </c>
      <c r="AA8">
        <f>HYPERLINK("https://klasma.github.io/Logging_2082/tillsyn/S 3187-2024 tillsynsbegäran.docx", "S 3187-2024")</f>
        <v/>
      </c>
      <c r="AB8">
        <f>HYPERLINK("https://klasma.github.io/Logging_2082/tillsynsmail/S 3187-2024 tillsynsbegäran mail.docx", "S 3187-2024")</f>
        <v/>
      </c>
    </row>
    <row r="9" ht="15" customHeight="1">
      <c r="A9" t="inlineStr">
        <is>
          <t>A 23464-2023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46222</v>
      </c>
      <c r="F9" t="inlineStr">
        <is>
          <t>DALARNAS LÄN</t>
        </is>
      </c>
      <c r="G9" t="inlineStr">
        <is>
          <t>SÄTER</t>
        </is>
      </c>
      <c r="I9" t="n">
        <v>4.6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23</v>
      </c>
      <c r="U9" s="2" t="inlineStr">
        <is>
          <t>Lammticka
Dropptaggsvamp
Skarp dropptaggsvamp
Tallfingersvamp
Rökmusseron
Smal svampklubba</t>
        </is>
      </c>
      <c r="V9">
        <f>HYPERLINK("https://klasma.github.io/Logging_2082/artfynd/A 23464-2023 artfynd.xlsx", "A 23464-2023")</f>
        <v/>
      </c>
      <c r="W9">
        <f>HYPERLINK("https://klasma.github.io/Logging_2082/kartor/A 23464-2023 karta.png", "A 23464-2023")</f>
        <v/>
      </c>
      <c r="Y9">
        <f>HYPERLINK("https://klasma.github.io/Logging_2082/klagomål/A 23464-2023 FSC-klagomål.docx", "A 23464-2023")</f>
        <v/>
      </c>
      <c r="Z9">
        <f>HYPERLINK("https://klasma.github.io/Logging_2082/klagomålsmail/A 23464-2023 FSC-klagomål mail.docx", "A 23464-2023")</f>
        <v/>
      </c>
      <c r="AA9">
        <f>HYPERLINK("https://klasma.github.io/Logging_2082/tillsyn/A 23464-2023 tillsynsbegäran.docx", "A 23464-2023")</f>
        <v/>
      </c>
      <c r="AB9">
        <f>HYPERLINK("https://klasma.github.io/Logging_2082/tillsynsmail/A 23464-2023 tillsynsbegäran mail.docx", "A 23464-2023")</f>
        <v/>
      </c>
    </row>
    <row r="10" ht="15" customHeight="1">
      <c r="A10" t="inlineStr">
        <is>
          <t>S 2128-2025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45846</v>
      </c>
      <c r="E10" s="1" t="n">
        <v>46222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46.8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7</v>
      </c>
      <c r="U10" s="2" t="inlineStr">
        <is>
          <t>Knärot
Fjällig taggsvamp s.str.
Rynkskinn
Ullticka
Brandticka
Grönpyrola</t>
        </is>
      </c>
      <c r="V10">
        <f>HYPERLINK("https://klasma.github.io/Logging_2082/artfynd/S 2128-2025 artfynd.xlsx", "S 2128-2025")</f>
        <v/>
      </c>
      <c r="W10">
        <f>HYPERLINK("https://klasma.github.io/Logging_2082/kartor/S 2128-2025 karta.png", "S 2128-2025")</f>
        <v/>
      </c>
      <c r="X10">
        <f>HYPERLINK("https://klasma.github.io/Logging_2082/knärot/S 2128-2025 karta knärot.png", "S 2128-2025")</f>
        <v/>
      </c>
      <c r="Y10">
        <f>HYPERLINK("https://klasma.github.io/Logging_2082/klagomål/S 2128-2025 FSC-klagomål.docx", "S 2128-2025")</f>
        <v/>
      </c>
      <c r="Z10">
        <f>HYPERLINK("https://klasma.github.io/Logging_2082/klagomålsmail/S 2128-2025 FSC-klagomål mail.docx", "S 2128-2025")</f>
        <v/>
      </c>
      <c r="AA10">
        <f>HYPERLINK("https://klasma.github.io/Logging_2082/tillsyn/S 2128-2025 tillsynsbegäran.docx", "S 2128-2025")</f>
        <v/>
      </c>
      <c r="AB10">
        <f>HYPERLINK("https://klasma.github.io/Logging_2082/tillsynsmail/S 2128-2025 tillsynsbegäran mail.docx", "S 2128-2025")</f>
        <v/>
      </c>
    </row>
    <row r="11" ht="15" customHeight="1">
      <c r="A11" t="inlineStr">
        <is>
          <t>A 25699-2022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44732</v>
      </c>
      <c r="E11" s="1" t="n">
        <v>46222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22</v>
      </c>
      <c r="J11" t="n">
        <v>3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Jungfrulin
Slåtterfibbla
Tvåblad
Blåsippa
Fläcknycklar</t>
        </is>
      </c>
      <c r="V11">
        <f>HYPERLINK("https://klasma.github.io/Logging_2082/artfynd/A 25699-2022 artfynd.xlsx", "A 25699-2022")</f>
        <v/>
      </c>
      <c r="W11">
        <f>HYPERLINK("https://klasma.github.io/Logging_2082/kartor/A 25699-2022 karta.png", "A 25699-2022")</f>
        <v/>
      </c>
      <c r="Y11">
        <f>HYPERLINK("https://klasma.github.io/Logging_2082/klagomål/A 25699-2022 FSC-klagomål.docx", "A 25699-2022")</f>
        <v/>
      </c>
      <c r="Z11">
        <f>HYPERLINK("https://klasma.github.io/Logging_2082/klagomålsmail/A 25699-2022 FSC-klagomål mail.docx", "A 25699-2022")</f>
        <v/>
      </c>
      <c r="AA11">
        <f>HYPERLINK("https://klasma.github.io/Logging_2082/tillsyn/A 25699-2022 tillsynsbegäran.docx", "A 25699-2022")</f>
        <v/>
      </c>
      <c r="AB11">
        <f>HYPERLINK("https://klasma.github.io/Logging_2082/tillsynsmail/A 25699-2022 tillsynsbegäran mail.docx", "A 25699-2022")</f>
        <v/>
      </c>
    </row>
    <row r="12" ht="15" customHeight="1">
      <c r="A12" t="inlineStr">
        <is>
          <t>A 42492-2025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45904</v>
      </c>
      <c r="E12" s="1" t="n">
        <v>46222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14.9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s="2" t="inlineStr">
        <is>
          <t>Rynkskinn
Ullticka
Stuplav
Kungsfågel</t>
        </is>
      </c>
      <c r="V12">
        <f>HYPERLINK("https://klasma.github.io/Logging_2082/artfynd/A 42492-2025 artfynd.xlsx", "A 42492-2025")</f>
        <v/>
      </c>
      <c r="W12">
        <f>HYPERLINK("https://klasma.github.io/Logging_2082/kartor/A 42492-2025 karta.png", "A 42492-2025")</f>
        <v/>
      </c>
      <c r="Y12">
        <f>HYPERLINK("https://klasma.github.io/Logging_2082/klagomål/A 42492-2025 FSC-klagomål.docx", "A 42492-2025")</f>
        <v/>
      </c>
      <c r="Z12">
        <f>HYPERLINK("https://klasma.github.io/Logging_2082/klagomålsmail/A 42492-2025 FSC-klagomål mail.docx", "A 42492-2025")</f>
        <v/>
      </c>
      <c r="AA12">
        <f>HYPERLINK("https://klasma.github.io/Logging_2082/tillsyn/A 42492-2025 tillsynsbegäran.docx", "A 42492-2025")</f>
        <v/>
      </c>
      <c r="AB12">
        <f>HYPERLINK("https://klasma.github.io/Logging_2082/tillsynsmail/A 42492-2025 tillsynsbegäran mail.docx", "A 42492-2025")</f>
        <v/>
      </c>
    </row>
    <row r="13" ht="15" customHeight="1">
      <c r="A13" t="inlineStr">
        <is>
          <t>A 51825-2025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45951</v>
      </c>
      <c r="E13" s="1" t="n">
        <v>46222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12.8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Dofttaggsvamp
Gultoppig fingersvamp
Mörk husmossa
Tjäder</t>
        </is>
      </c>
      <c r="V13">
        <f>HYPERLINK("https://klasma.github.io/Logging_2082/artfynd/A 51825-2025 artfynd.xlsx", "A 51825-2025")</f>
        <v/>
      </c>
      <c r="W13">
        <f>HYPERLINK("https://klasma.github.io/Logging_2082/kartor/A 51825-2025 karta.png", "A 51825-2025")</f>
        <v/>
      </c>
      <c r="Y13">
        <f>HYPERLINK("https://klasma.github.io/Logging_2082/klagomål/A 51825-2025 FSC-klagomål.docx", "A 51825-2025")</f>
        <v/>
      </c>
      <c r="Z13">
        <f>HYPERLINK("https://klasma.github.io/Logging_2082/klagomålsmail/A 51825-2025 FSC-klagomål mail.docx", "A 51825-2025")</f>
        <v/>
      </c>
      <c r="AA13">
        <f>HYPERLINK("https://klasma.github.io/Logging_2082/tillsyn/A 51825-2025 tillsynsbegäran.docx", "A 51825-2025")</f>
        <v/>
      </c>
      <c r="AB13">
        <f>HYPERLINK("https://klasma.github.io/Logging_2082/tillsynsmail/A 51825-2025 tillsynsbegäran mail.docx", "A 51825-2025")</f>
        <v/>
      </c>
      <c r="AC13">
        <f>HYPERLINK("https://klasma.github.io/Logging_2082/fåglar/A 51825-2025 prioriterade fågelarter.docx", "A 51825-2025")</f>
        <v/>
      </c>
    </row>
    <row r="14" ht="15" customHeight="1">
      <c r="A14" t="inlineStr">
        <is>
          <t>A 27374-2022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44742</v>
      </c>
      <c r="E14" s="1" t="n">
        <v>46222</v>
      </c>
      <c r="F14" t="inlineStr">
        <is>
          <t>DALARNAS LÄN</t>
        </is>
      </c>
      <c r="G14" t="inlineStr">
        <is>
          <t>SÄTER</t>
        </is>
      </c>
      <c r="H14" t="inlineStr">
        <is>
          <t>Kommuner</t>
        </is>
      </c>
      <c r="I14" t="n">
        <v>4.3</v>
      </c>
      <c r="J14" t="n">
        <v>2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13</v>
      </c>
      <c r="U14" s="2" t="inlineStr">
        <is>
          <t>Garnlav
Knärot
Nästrot</t>
        </is>
      </c>
      <c r="V14">
        <f>HYPERLINK("https://klasma.github.io/Logging_2082/artfynd/A 27374-2022 artfynd.xlsx", "A 27374-2022")</f>
        <v/>
      </c>
      <c r="W14">
        <f>HYPERLINK("https://klasma.github.io/Logging_2082/kartor/A 27374-2022 karta.png", "A 27374-2022")</f>
        <v/>
      </c>
      <c r="X14">
        <f>HYPERLINK("https://klasma.github.io/Logging_2082/knärot/A 27374-2022 karta knärot.png", "A 27374-2022")</f>
        <v/>
      </c>
      <c r="Y14">
        <f>HYPERLINK("https://klasma.github.io/Logging_2082/klagomål/A 27374-2022 FSC-klagomål.docx", "A 27374-2022")</f>
        <v/>
      </c>
      <c r="Z14">
        <f>HYPERLINK("https://klasma.github.io/Logging_2082/klagomålsmail/A 27374-2022 FSC-klagomål mail.docx", "A 27374-2022")</f>
        <v/>
      </c>
      <c r="AA14">
        <f>HYPERLINK("https://klasma.github.io/Logging_2082/tillsyn/A 27374-2022 tillsynsbegäran.docx", "A 27374-2022")</f>
        <v/>
      </c>
      <c r="AB14">
        <f>HYPERLINK("https://klasma.github.io/Logging_2082/tillsynsmail/A 27374-2022 tillsynsbegäran mail.docx", "A 27374-2022")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46222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Brudsporre
Revlummer
Äkta lopplummer</t>
        </is>
      </c>
      <c r="V15">
        <f>HYPERLINK("https://klasma.github.io/Logging_2082/artfynd/A 21382-2025 artfynd.xlsx", "A 21382-2025")</f>
        <v/>
      </c>
      <c r="W15">
        <f>HYPERLINK("https://klasma.github.io/Logging_2082/kartor/A 21382-2025 karta.png", "A 21382-2025")</f>
        <v/>
      </c>
      <c r="Y15">
        <f>HYPERLINK("https://klasma.github.io/Logging_2082/klagomål/A 21382-2025 FSC-klagomål.docx", "A 21382-2025")</f>
        <v/>
      </c>
      <c r="Z15">
        <f>HYPERLINK("https://klasma.github.io/Logging_2082/klagomålsmail/A 21382-2025 FSC-klagomål mail.docx", "A 21382-2025")</f>
        <v/>
      </c>
      <c r="AA15">
        <f>HYPERLINK("https://klasma.github.io/Logging_2082/tillsyn/A 21382-2025 tillsynsbegäran.docx", "A 21382-2025")</f>
        <v/>
      </c>
      <c r="AB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46222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s="2" t="inlineStr">
        <is>
          <t>Slåttergubbe
Slåtterfibbla
Huggorm</t>
        </is>
      </c>
      <c r="V16">
        <f>HYPERLINK("https://klasma.github.io/Logging_2082/artfynd/A 35916-2022 artfynd.xlsx", "A 35916-2022")</f>
        <v/>
      </c>
      <c r="W16">
        <f>HYPERLINK("https://klasma.github.io/Logging_2082/kartor/A 35916-2022 karta.png", "A 35916-2022")</f>
        <v/>
      </c>
      <c r="Y16">
        <f>HYPERLINK("https://klasma.github.io/Logging_2082/klagomål/A 35916-2022 FSC-klagomål.docx", "A 35916-2022")</f>
        <v/>
      </c>
      <c r="Z16">
        <f>HYPERLINK("https://klasma.github.io/Logging_2082/klagomålsmail/A 35916-2022 FSC-klagomål mail.docx", "A 35916-2022")</f>
        <v/>
      </c>
      <c r="AA16">
        <f>HYPERLINK("https://klasma.github.io/Logging_2082/tillsyn/A 35916-2022 tillsynsbegäran.docx", "A 35916-2022")</f>
        <v/>
      </c>
      <c r="AB16">
        <f>HYPERLINK("https://klasma.github.io/Logging_2082/tillsynsmail/A 35916-2022 tillsynsbegäran mail.docx", "A 35916-2022")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46222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s="2" t="inlineStr">
        <is>
          <t>Ask
Grönsångare
Kransmossa</t>
        </is>
      </c>
      <c r="V17">
        <f>HYPERLINK("https://klasma.github.io/Logging_2082/artfynd/A 12817-2026 artfynd.xlsx", "A 12817-2026")</f>
        <v/>
      </c>
      <c r="W17">
        <f>HYPERLINK("https://klasma.github.io/Logging_2082/kartor/A 12817-2026 karta.png", "A 12817-2026")</f>
        <v/>
      </c>
      <c r="Y17">
        <f>HYPERLINK("https://klasma.github.io/Logging_2082/klagomål/A 12817-2026 FSC-klagomål.docx", "A 12817-2026")</f>
        <v/>
      </c>
      <c r="Z17">
        <f>HYPERLINK("https://klasma.github.io/Logging_2082/klagomålsmail/A 12817-2026 FSC-klagomål mail.docx", "A 12817-2026")</f>
        <v/>
      </c>
      <c r="AA17">
        <f>HYPERLINK("https://klasma.github.io/Logging_2082/tillsyn/A 12817-2026 tillsynsbegäran.docx", "A 12817-2026")</f>
        <v/>
      </c>
      <c r="AB17">
        <f>HYPERLINK("https://klasma.github.io/Logging_2082/tillsynsmail/A 12817-2026 tillsynsbegäran mail.docx", "A 12817-2026")</f>
        <v/>
      </c>
      <c r="AC17">
        <f>HYPERLINK("https://klasma.github.io/Logging_2082/fåglar/A 12817-2026 prioriterade fågelarter.docx", "A 12817-2026")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46222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s="2" t="inlineStr">
        <is>
          <t>Knärot
Grovticka
Mattlummer</t>
        </is>
      </c>
      <c r="V18">
        <f>HYPERLINK("https://klasma.github.io/Logging_2082/artfynd/S 5911-2021 artfynd.xlsx", "S 5911-2021")</f>
        <v/>
      </c>
      <c r="W18">
        <f>HYPERLINK("https://klasma.github.io/Logging_2082/kartor/S 5911-2021 karta.png", "S 5911-2021")</f>
        <v/>
      </c>
      <c r="X18">
        <f>HYPERLINK("https://klasma.github.io/Logging_2082/knärot/S 5911-2021 karta knärot.png", "S 5911-2021")</f>
        <v/>
      </c>
      <c r="Y18">
        <f>HYPERLINK("https://klasma.github.io/Logging_2082/klagomål/S 5911-2021 FSC-klagomål.docx", "S 5911-2021")</f>
        <v/>
      </c>
      <c r="Z18">
        <f>HYPERLINK("https://klasma.github.io/Logging_2082/klagomålsmail/S 5911-2021 FSC-klagomål mail.docx", "S 5911-2021")</f>
        <v/>
      </c>
      <c r="AA18">
        <f>HYPERLINK("https://klasma.github.io/Logging_2082/tillsyn/S 5911-2021 tillsynsbegäran.docx", "S 5911-2021")</f>
        <v/>
      </c>
      <c r="AB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46222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s="2" t="inlineStr">
        <is>
          <t>Knärot
Dropptaggsvamp
Blåsippa</t>
        </is>
      </c>
      <c r="V19">
        <f>HYPERLINK("https://klasma.github.io/Logging_2082/artfynd/S 4799-2022 artfynd.xlsx", "S 4799-2022")</f>
        <v/>
      </c>
      <c r="W19">
        <f>HYPERLINK("https://klasma.github.io/Logging_2082/kartor/S 4799-2022 karta.png", "S 4799-2022")</f>
        <v/>
      </c>
      <c r="X19">
        <f>HYPERLINK("https://klasma.github.io/Logging_2082/knärot/S 4799-2022 karta knärot.png", "S 4799-2022")</f>
        <v/>
      </c>
      <c r="Y19">
        <f>HYPERLINK("https://klasma.github.io/Logging_2082/klagomål/S 4799-2022 FSC-klagomål.docx", "S 4799-2022")</f>
        <v/>
      </c>
      <c r="Z19">
        <f>HYPERLINK("https://klasma.github.io/Logging_2082/klagomålsmail/S 4799-2022 FSC-klagomål mail.docx", "S 4799-2022")</f>
        <v/>
      </c>
      <c r="AA19">
        <f>HYPERLINK("https://klasma.github.io/Logging_2082/tillsyn/S 4799-2022 tillsynsbegäran.docx", "S 4799-2022")</f>
        <v/>
      </c>
      <c r="AB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46222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s="2" t="inlineStr">
        <is>
          <t>Motaggsvamp
Talltita</t>
        </is>
      </c>
      <c r="V20">
        <f>HYPERLINK("https://klasma.github.io/Logging_2082/artfynd/A 53127-2022 artfynd.xlsx", "A 53127-2022")</f>
        <v/>
      </c>
      <c r="W20">
        <f>HYPERLINK("https://klasma.github.io/Logging_2082/kartor/A 53127-2022 karta.png", "A 53127-2022")</f>
        <v/>
      </c>
      <c r="Y20">
        <f>HYPERLINK("https://klasma.github.io/Logging_2082/klagomål/A 53127-2022 FSC-klagomål.docx", "A 53127-2022")</f>
        <v/>
      </c>
      <c r="Z20">
        <f>HYPERLINK("https://klasma.github.io/Logging_2082/klagomålsmail/A 53127-2022 FSC-klagomål mail.docx", "A 53127-2022")</f>
        <v/>
      </c>
      <c r="AA20">
        <f>HYPERLINK("https://klasma.github.io/Logging_2082/tillsyn/A 53127-2022 tillsynsbegäran.docx", "A 53127-2022")</f>
        <v/>
      </c>
      <c r="AB20">
        <f>HYPERLINK("https://klasma.github.io/Logging_2082/tillsynsmail/A 53127-2022 tillsynsbegäran mail.docx", "A 53127-2022")</f>
        <v/>
      </c>
      <c r="AC20">
        <f>HYPERLINK("https://klasma.github.io/Logging_2082/fåglar/A 53127-2022 prioriterade fågelarter.docx", "A 53127-2022")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46222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Järpe
Kungsfågel</t>
        </is>
      </c>
      <c r="V21">
        <f>HYPERLINK("https://klasma.github.io/Logging_2082/artfynd/A 16845-2024 artfynd.xlsx", "A 16845-2024")</f>
        <v/>
      </c>
      <c r="W21">
        <f>HYPERLINK("https://klasma.github.io/Logging_2082/kartor/A 16845-2024 karta.png", "A 16845-2024")</f>
        <v/>
      </c>
      <c r="Y21">
        <f>HYPERLINK("https://klasma.github.io/Logging_2082/klagomål/A 16845-2024 FSC-klagomål.docx", "A 16845-2024")</f>
        <v/>
      </c>
      <c r="Z21">
        <f>HYPERLINK("https://klasma.github.io/Logging_2082/klagomålsmail/A 16845-2024 FSC-klagomål mail.docx", "A 16845-2024")</f>
        <v/>
      </c>
      <c r="AA21">
        <f>HYPERLINK("https://klasma.github.io/Logging_2082/tillsyn/A 16845-2024 tillsynsbegäran.docx", "A 16845-2024")</f>
        <v/>
      </c>
      <c r="AB21">
        <f>HYPERLINK("https://klasma.github.io/Logging_2082/tillsynsmail/A 16845-2024 tillsynsbegäran mail.docx", "A 16845-2024")</f>
        <v/>
      </c>
      <c r="AC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46222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Motaggsvamp
Svavelriska</t>
        </is>
      </c>
      <c r="V22">
        <f>HYPERLINK("https://klasma.github.io/Logging_2082/artfynd/A 570-2024 artfynd.xlsx", "A 570-2024")</f>
        <v/>
      </c>
      <c r="W22">
        <f>HYPERLINK("https://klasma.github.io/Logging_2082/kartor/A 570-2024 karta.png", "A 570-2024")</f>
        <v/>
      </c>
      <c r="Y22">
        <f>HYPERLINK("https://klasma.github.io/Logging_2082/klagomål/A 570-2024 FSC-klagomål.docx", "A 570-2024")</f>
        <v/>
      </c>
      <c r="Z22">
        <f>HYPERLINK("https://klasma.github.io/Logging_2082/klagomålsmail/A 570-2024 FSC-klagomål mail.docx", "A 570-2024")</f>
        <v/>
      </c>
      <c r="AA22">
        <f>HYPERLINK("https://klasma.github.io/Logging_2082/tillsyn/A 570-2024 tillsynsbegäran.docx", "A 570-2024")</f>
        <v/>
      </c>
      <c r="AB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46222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s="2" t="inlineStr">
        <is>
          <t>Dropptaggsvamp
Talltita</t>
        </is>
      </c>
      <c r="V23">
        <f>HYPERLINK("https://klasma.github.io/Logging_2082/artfynd/A 193-2022 artfynd.xlsx", "A 193-2022")</f>
        <v/>
      </c>
      <c r="W23">
        <f>HYPERLINK("https://klasma.github.io/Logging_2082/kartor/A 193-2022 karta.png", "A 193-2022")</f>
        <v/>
      </c>
      <c r="Y23">
        <f>HYPERLINK("https://klasma.github.io/Logging_2082/klagomål/A 193-2022 FSC-klagomål.docx", "A 193-2022")</f>
        <v/>
      </c>
      <c r="Z23">
        <f>HYPERLINK("https://klasma.github.io/Logging_2082/klagomålsmail/A 193-2022 FSC-klagomål mail.docx", "A 193-2022")</f>
        <v/>
      </c>
      <c r="AA23">
        <f>HYPERLINK("https://klasma.github.io/Logging_2082/tillsyn/A 193-2022 tillsynsbegäran.docx", "A 193-2022")</f>
        <v/>
      </c>
      <c r="AB23">
        <f>HYPERLINK("https://klasma.github.io/Logging_2082/tillsynsmail/A 193-2022 tillsynsbegäran mail.docx", "A 193-2022")</f>
        <v/>
      </c>
      <c r="AC23">
        <f>HYPERLINK("https://klasma.github.io/Logging_2082/fåglar/A 193-2022 prioriterade fågelarter.docx", "A 193-2022")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46222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s="2" t="inlineStr">
        <is>
          <t>Knärot
Motaggsvamp</t>
        </is>
      </c>
      <c r="V24">
        <f>HYPERLINK("https://klasma.github.io/Logging_2082/artfynd/A 49656-2025 artfynd.xlsx", "A 49656-2025")</f>
        <v/>
      </c>
      <c r="W24">
        <f>HYPERLINK("https://klasma.github.io/Logging_2082/kartor/A 49656-2025 karta.png", "A 49656-2025")</f>
        <v/>
      </c>
      <c r="X24">
        <f>HYPERLINK("https://klasma.github.io/Logging_2082/knärot/A 49656-2025 karta knärot.png", "A 49656-2025")</f>
        <v/>
      </c>
      <c r="Y24">
        <f>HYPERLINK("https://klasma.github.io/Logging_2082/klagomål/A 49656-2025 FSC-klagomål.docx", "A 49656-2025")</f>
        <v/>
      </c>
      <c r="Z24">
        <f>HYPERLINK("https://klasma.github.io/Logging_2082/klagomålsmail/A 49656-2025 FSC-klagomål mail.docx", "A 49656-2025")</f>
        <v/>
      </c>
      <c r="AA24">
        <f>HYPERLINK("https://klasma.github.io/Logging_2082/tillsyn/A 49656-2025 tillsynsbegäran.docx", "A 49656-2025")</f>
        <v/>
      </c>
      <c r="AB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46222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s="2" t="inlineStr">
        <is>
          <t>Tallticka
Blåsippa</t>
        </is>
      </c>
      <c r="V25">
        <f>HYPERLINK("https://klasma.github.io/Logging_2082/artfynd/A 50079-2023 artfynd.xlsx", "A 50079-2023")</f>
        <v/>
      </c>
      <c r="W25">
        <f>HYPERLINK("https://klasma.github.io/Logging_2082/kartor/A 50079-2023 karta.png", "A 50079-2023")</f>
        <v/>
      </c>
      <c r="Y25">
        <f>HYPERLINK("https://klasma.github.io/Logging_2082/klagomål/A 50079-2023 FSC-klagomål.docx", "A 50079-2023")</f>
        <v/>
      </c>
      <c r="Z25">
        <f>HYPERLINK("https://klasma.github.io/Logging_2082/klagomålsmail/A 50079-2023 FSC-klagomål mail.docx", "A 50079-2023")</f>
        <v/>
      </c>
      <c r="AA25">
        <f>HYPERLINK("https://klasma.github.io/Logging_2082/tillsyn/A 50079-2023 tillsynsbegäran.docx", "A 50079-2023")</f>
        <v/>
      </c>
      <c r="AB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46222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Jungfrulin
Klasefibbla</t>
        </is>
      </c>
      <c r="V26">
        <f>HYPERLINK("https://klasma.github.io/Logging_2082/artfynd/A 52205-2021 artfynd.xlsx", "A 52205-2021")</f>
        <v/>
      </c>
      <c r="W26">
        <f>HYPERLINK("https://klasma.github.io/Logging_2082/kartor/A 52205-2021 karta.png", "A 52205-2021")</f>
        <v/>
      </c>
      <c r="Y26">
        <f>HYPERLINK("https://klasma.github.io/Logging_2082/klagomål/A 52205-2021 FSC-klagomål.docx", "A 52205-2021")</f>
        <v/>
      </c>
      <c r="Z26">
        <f>HYPERLINK("https://klasma.github.io/Logging_2082/klagomålsmail/A 52205-2021 FSC-klagomål mail.docx", "A 52205-2021")</f>
        <v/>
      </c>
      <c r="AA26">
        <f>HYPERLINK("https://klasma.github.io/Logging_2082/tillsyn/A 52205-2021 tillsynsbegäran.docx", "A 52205-2021")</f>
        <v/>
      </c>
      <c r="AB26">
        <f>HYPERLINK("https://klasma.github.io/Logging_2082/tillsynsmail/A 52205-2021 tillsynsbegäran mail.docx", "A 52205-2021")</f>
        <v/>
      </c>
    </row>
    <row r="27" ht="15" customHeight="1">
      <c r="A27" t="inlineStr">
        <is>
          <t>A 23917-2024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45455</v>
      </c>
      <c r="E27" s="1" t="n">
        <v>46222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Ullticka
Svavelriska</t>
        </is>
      </c>
      <c r="V27">
        <f>HYPERLINK("https://klasma.github.io/Logging_2082/artfynd/A 23917-2024 artfynd.xlsx", "A 23917-2024")</f>
        <v/>
      </c>
      <c r="W27">
        <f>HYPERLINK("https://klasma.github.io/Logging_2082/kartor/A 23917-2024 karta.png", "A 23917-2024")</f>
        <v/>
      </c>
      <c r="Y27">
        <f>HYPERLINK("https://klasma.github.io/Logging_2082/klagomål/A 23917-2024 FSC-klagomål.docx", "A 23917-2024")</f>
        <v/>
      </c>
      <c r="Z27">
        <f>HYPERLINK("https://klasma.github.io/Logging_2082/klagomålsmail/A 23917-2024 FSC-klagomål mail.docx", "A 23917-2024")</f>
        <v/>
      </c>
      <c r="AA27">
        <f>HYPERLINK("https://klasma.github.io/Logging_2082/tillsyn/A 23917-2024 tillsynsbegäran.docx", "A 23917-2024")</f>
        <v/>
      </c>
      <c r="AB27">
        <f>HYPERLINK("https://klasma.github.io/Logging_2082/tillsynsmail/A 23917-2024 tillsynsbegäran mail.docx", "A 23917-2024")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46222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Knärot
Grovticka</t>
        </is>
      </c>
      <c r="V28">
        <f>HYPERLINK("https://klasma.github.io/Logging_2082/artfynd/S 2072-2022 artfynd.xlsx", "S 2072-2022")</f>
        <v/>
      </c>
      <c r="W28">
        <f>HYPERLINK("https://klasma.github.io/Logging_2082/kartor/S 2072-2022 karta.png", "S 2072-2022")</f>
        <v/>
      </c>
      <c r="X28">
        <f>HYPERLINK("https://klasma.github.io/Logging_2082/knärot/S 2072-2022 karta knärot.png", "S 2072-2022")</f>
        <v/>
      </c>
      <c r="Y28">
        <f>HYPERLINK("https://klasma.github.io/Logging_2082/klagomål/S 2072-2022 FSC-klagomål.docx", "S 2072-2022")</f>
        <v/>
      </c>
      <c r="Z28">
        <f>HYPERLINK("https://klasma.github.io/Logging_2082/klagomålsmail/S 2072-2022 FSC-klagomål mail.docx", "S 2072-2022")</f>
        <v/>
      </c>
      <c r="AA28">
        <f>HYPERLINK("https://klasma.github.io/Logging_2082/tillsyn/S 2072-2022 tillsynsbegäran.docx", "S 2072-2022")</f>
        <v/>
      </c>
      <c r="AB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46222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Skogsalm
Tibast</t>
        </is>
      </c>
      <c r="V29">
        <f>HYPERLINK("https://klasma.github.io/Logging_2082/artfynd/S 4771-2024 artfynd.xlsx", "S 4771-2024")</f>
        <v/>
      </c>
      <c r="W29">
        <f>HYPERLINK("https://klasma.github.io/Logging_2082/kartor/S 4771-2024 karta.png", "S 4771-2024")</f>
        <v/>
      </c>
      <c r="Y29">
        <f>HYPERLINK("https://klasma.github.io/Logging_2082/klagomål/S 4771-2024 FSC-klagomål.docx", "S 4771-2024")</f>
        <v/>
      </c>
      <c r="Z29">
        <f>HYPERLINK("https://klasma.github.io/Logging_2082/klagomålsmail/S 4771-2024 FSC-klagomål mail.docx", "S 4771-2024")</f>
        <v/>
      </c>
      <c r="AA29">
        <f>HYPERLINK("https://klasma.github.io/Logging_2082/tillsyn/S 4771-2024 tillsynsbegäran.docx", "S 4771-2024")</f>
        <v/>
      </c>
      <c r="AB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46222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Ullticka</t>
        </is>
      </c>
      <c r="V30">
        <f>HYPERLINK("https://klasma.github.io/Logging_2082/artfynd/A 33605-2022 artfynd.xlsx", "A 33605-2022")</f>
        <v/>
      </c>
      <c r="W30">
        <f>HYPERLINK("https://klasma.github.io/Logging_2082/kartor/A 33605-2022 karta.png", "A 33605-2022")</f>
        <v/>
      </c>
      <c r="Y30">
        <f>HYPERLINK("https://klasma.github.io/Logging_2082/klagomål/A 33605-2022 FSC-klagomål.docx", "A 33605-2022")</f>
        <v/>
      </c>
      <c r="Z30">
        <f>HYPERLINK("https://klasma.github.io/Logging_2082/klagomålsmail/A 33605-2022 FSC-klagomål mail.docx", "A 33605-2022")</f>
        <v/>
      </c>
      <c r="AA30">
        <f>HYPERLINK("https://klasma.github.io/Logging_2082/tillsyn/A 33605-2022 tillsynsbegäran.docx", "A 33605-2022")</f>
        <v/>
      </c>
      <c r="AB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46222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Tvåblad</t>
        </is>
      </c>
      <c r="V31">
        <f>HYPERLINK("https://klasma.github.io/Logging_2082/artfynd/A 5232-2022 artfynd.xlsx", "A 5232-2022")</f>
        <v/>
      </c>
      <c r="W31">
        <f>HYPERLINK("https://klasma.github.io/Logging_2082/kartor/A 5232-2022 karta.png", "A 5232-2022")</f>
        <v/>
      </c>
      <c r="Y31">
        <f>HYPERLINK("https://klasma.github.io/Logging_2082/klagomål/A 5232-2022 FSC-klagomål.docx", "A 5232-2022")</f>
        <v/>
      </c>
      <c r="Z31">
        <f>HYPERLINK("https://klasma.github.io/Logging_2082/klagomålsmail/A 5232-2022 FSC-klagomål mail.docx", "A 5232-2022")</f>
        <v/>
      </c>
      <c r="AA31">
        <f>HYPERLINK("https://klasma.github.io/Logging_2082/tillsyn/A 5232-2022 tillsynsbegäran.docx", "A 5232-2022")</f>
        <v/>
      </c>
      <c r="AB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46222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HYPERLINK("https://klasma.github.io/Logging_2082/artfynd/A 32383-2022 artfynd.xlsx", "A 32383-2022")</f>
        <v/>
      </c>
      <c r="W32">
        <f>HYPERLINK("https://klasma.github.io/Logging_2082/kartor/A 32383-2022 karta.png", "A 32383-2022")</f>
        <v/>
      </c>
      <c r="X32">
        <f>HYPERLINK("https://klasma.github.io/Logging_2082/knärot/A 32383-2022 karta knärot.png", "A 32383-2022")</f>
        <v/>
      </c>
      <c r="Y32">
        <f>HYPERLINK("https://klasma.github.io/Logging_2082/klagomål/A 32383-2022 FSC-klagomål.docx", "A 32383-2022")</f>
        <v/>
      </c>
      <c r="Z32">
        <f>HYPERLINK("https://klasma.github.io/Logging_2082/klagomålsmail/A 32383-2022 FSC-klagomål mail.docx", "A 32383-2022")</f>
        <v/>
      </c>
      <c r="AA32">
        <f>HYPERLINK("https://klasma.github.io/Logging_2082/tillsyn/A 32383-2022 tillsynsbegäran.docx", "A 32383-2022")</f>
        <v/>
      </c>
      <c r="AB32">
        <f>HYPERLINK("https://klasma.github.io/Logging_2082/tillsynsmail/A 32383-2022 tillsynsbegäran mail.docx", "A 32383-2022")</f>
        <v/>
      </c>
    </row>
    <row r="33" ht="15" customHeight="1">
      <c r="A33" t="inlineStr">
        <is>
          <t>A 34938-2025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46222</v>
      </c>
      <c r="F33" t="inlineStr">
        <is>
          <t>DALARNAS LÄN</t>
        </is>
      </c>
      <c r="G33" t="inlineStr">
        <is>
          <t>SÄTER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Ullticka</t>
        </is>
      </c>
      <c r="V33">
        <f>HYPERLINK("https://klasma.github.io/Logging_2082/artfynd/A 34938-2025 artfynd.xlsx", "A 34938-2025")</f>
        <v/>
      </c>
      <c r="W33">
        <f>HYPERLINK("https://klasma.github.io/Logging_2082/kartor/A 34938-2025 karta.png", "A 34938-2025")</f>
        <v/>
      </c>
      <c r="Y33">
        <f>HYPERLINK("https://klasma.github.io/Logging_2082/klagomål/A 34938-2025 FSC-klagomål.docx", "A 34938-2025")</f>
        <v/>
      </c>
      <c r="Z33">
        <f>HYPERLINK("https://klasma.github.io/Logging_2082/klagomålsmail/A 34938-2025 FSC-klagomål mail.docx", "A 34938-2025")</f>
        <v/>
      </c>
      <c r="AA33">
        <f>HYPERLINK("https://klasma.github.io/Logging_2082/tillsyn/A 34938-2025 tillsynsbegäran.docx", "A 34938-2025")</f>
        <v/>
      </c>
      <c r="AB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45853</v>
      </c>
      <c r="E34" s="1" t="n">
        <v>46222</v>
      </c>
      <c r="F34" t="inlineStr">
        <is>
          <t>DALARNAS LÄN</t>
        </is>
      </c>
      <c r="G34" t="inlineStr">
        <is>
          <t>SÄTER</t>
        </is>
      </c>
      <c r="I34" t="n">
        <v>9.5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Vedskivlav</t>
        </is>
      </c>
      <c r="V34">
        <f>HYPERLINK("https://klasma.github.io/Logging_2082/artfynd/A 35221-2025 artfynd.xlsx", "A 35221-2025")</f>
        <v/>
      </c>
      <c r="W34">
        <f>HYPERLINK("https://klasma.github.io/Logging_2082/kartor/A 35221-2025 karta.png", "A 35221-2025")</f>
        <v/>
      </c>
      <c r="Y34">
        <f>HYPERLINK("https://klasma.github.io/Logging_2082/klagomål/A 35221-2025 FSC-klagomål.docx", "A 35221-2025")</f>
        <v/>
      </c>
      <c r="Z34">
        <f>HYPERLINK("https://klasma.github.io/Logging_2082/klagomålsmail/A 35221-2025 FSC-klagomål mail.docx", "A 35221-2025")</f>
        <v/>
      </c>
      <c r="AA34">
        <f>HYPERLINK("https://klasma.github.io/Logging_2082/tillsyn/A 35221-2025 tillsynsbegäran.docx", "A 35221-2025")</f>
        <v/>
      </c>
      <c r="AB34">
        <f>HYPERLINK("https://klasma.github.io/Logging_2082/tillsynsmail/A 35221-2025 tillsynsbegäran mail.docx", "A 35221-2025")</f>
        <v/>
      </c>
    </row>
    <row r="35" ht="15" customHeight="1">
      <c r="A35" t="inlineStr">
        <is>
          <t>A 47661-2025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46222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13.8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Järnsparv</t>
        </is>
      </c>
      <c r="V35">
        <f>HYPERLINK("https://klasma.github.io/Logging_2082/artfynd/A 47661-2025 artfynd.xlsx", "A 47661-2025")</f>
        <v/>
      </c>
      <c r="W35">
        <f>HYPERLINK("https://klasma.github.io/Logging_2082/kartor/A 47661-2025 karta.png", "A 47661-2025")</f>
        <v/>
      </c>
      <c r="Y35">
        <f>HYPERLINK("https://klasma.github.io/Logging_2082/klagomål/A 47661-2025 FSC-klagomål.docx", "A 47661-2025")</f>
        <v/>
      </c>
      <c r="Z35">
        <f>HYPERLINK("https://klasma.github.io/Logging_2082/klagomålsmail/A 47661-2025 FSC-klagomål mail.docx", "A 47661-2025")</f>
        <v/>
      </c>
      <c r="AA35">
        <f>HYPERLINK("https://klasma.github.io/Logging_2082/tillsyn/A 47661-2025 tillsynsbegäran.docx", "A 47661-2025")</f>
        <v/>
      </c>
      <c r="AB35">
        <f>HYPERLINK("https://klasma.github.io/Logging_2082/tillsynsmail/A 47661-2025 tillsynsbegäran mail.docx", "A 47661-2025")</f>
        <v/>
      </c>
      <c r="AC35">
        <f>HYPERLINK("https://klasma.github.io/Logging_2082/fåglar/A 47661-2025 prioriterade fågelarter.docx", "A 47661-2025")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46222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Ullticka</t>
        </is>
      </c>
      <c r="V36">
        <f>HYPERLINK("https://klasma.github.io/Logging_2082/artfynd/A 49653-2025 artfynd.xlsx", "A 49653-2025")</f>
        <v/>
      </c>
      <c r="W36">
        <f>HYPERLINK("https://klasma.github.io/Logging_2082/kartor/A 49653-2025 karta.png", "A 49653-2025")</f>
        <v/>
      </c>
      <c r="Y36">
        <f>HYPERLINK("https://klasma.github.io/Logging_2082/klagomål/A 49653-2025 FSC-klagomål.docx", "A 49653-2025")</f>
        <v/>
      </c>
      <c r="Z36">
        <f>HYPERLINK("https://klasma.github.io/Logging_2082/klagomålsmail/A 49653-2025 FSC-klagomål mail.docx", "A 49653-2025")</f>
        <v/>
      </c>
      <c r="AA36">
        <f>HYPERLINK("https://klasma.github.io/Logging_2082/tillsyn/A 49653-2025 tillsynsbegäran.docx", "A 49653-2025")</f>
        <v/>
      </c>
      <c r="AB36">
        <f>HYPERLINK("https://klasma.github.io/Logging_2082/tillsynsmail/A 49653-2025 tillsynsbegäran mail.docx", "A 49653-2025")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46222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Ögonpyrola</t>
        </is>
      </c>
      <c r="V37">
        <f>HYPERLINK("https://klasma.github.io/Logging_2082/artfynd/A 9682-2025 artfynd.xlsx", "A 9682-2025")</f>
        <v/>
      </c>
      <c r="W37">
        <f>HYPERLINK("https://klasma.github.io/Logging_2082/kartor/A 9682-2025 karta.png", "A 9682-2025")</f>
        <v/>
      </c>
      <c r="Y37">
        <f>HYPERLINK("https://klasma.github.io/Logging_2082/klagomål/A 9682-2025 FSC-klagomål.docx", "A 9682-2025")</f>
        <v/>
      </c>
      <c r="Z37">
        <f>HYPERLINK("https://klasma.github.io/Logging_2082/klagomålsmail/A 9682-2025 FSC-klagomål mail.docx", "A 9682-2025")</f>
        <v/>
      </c>
      <c r="AA37">
        <f>HYPERLINK("https://klasma.github.io/Logging_2082/tillsyn/A 9682-2025 tillsynsbegäran.docx", "A 9682-2025")</f>
        <v/>
      </c>
      <c r="AB37">
        <f>HYPERLINK("https://klasma.github.io/Logging_2082/tillsynsmail/A 9682-2025 tillsynsbegäran mail.docx", "A 9682-2025")</f>
        <v/>
      </c>
    </row>
    <row r="38" ht="15" customHeight="1">
      <c r="A38" t="inlineStr">
        <is>
          <t>A 39406-2024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45551</v>
      </c>
      <c r="E38" s="1" t="n">
        <v>46222</v>
      </c>
      <c r="F38" t="inlineStr">
        <is>
          <t>DALARNAS LÄN</t>
        </is>
      </c>
      <c r="G38" t="inlineStr">
        <is>
          <t>SÄTER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Sotriska</t>
        </is>
      </c>
      <c r="V38">
        <f>HYPERLINK("https://klasma.github.io/Logging_2082/artfynd/A 39406-2024 artfynd.xlsx", "A 39406-2024")</f>
        <v/>
      </c>
      <c r="W38">
        <f>HYPERLINK("https://klasma.github.io/Logging_2082/kartor/A 39406-2024 karta.png", "A 39406-2024")</f>
        <v/>
      </c>
      <c r="Y38">
        <f>HYPERLINK("https://klasma.github.io/Logging_2082/klagomål/A 39406-2024 FSC-klagomål.docx", "A 39406-2024")</f>
        <v/>
      </c>
      <c r="Z38">
        <f>HYPERLINK("https://klasma.github.io/Logging_2082/klagomålsmail/A 39406-2024 FSC-klagomål mail.docx", "A 39406-2024")</f>
        <v/>
      </c>
      <c r="AA38">
        <f>HYPERLINK("https://klasma.github.io/Logging_2082/tillsyn/A 39406-2024 tillsynsbegäran.docx", "A 39406-2024")</f>
        <v/>
      </c>
      <c r="AB38">
        <f>HYPERLINK("https://klasma.github.io/Logging_2082/tillsynsmail/A 39406-2024 tillsynsbegäran mail.docx", "A 39406-2024")</f>
        <v/>
      </c>
    </row>
    <row r="39" ht="15" customHeight="1">
      <c r="A39" t="inlineStr">
        <is>
          <t>A 57427-2022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46222</v>
      </c>
      <c r="F39" t="inlineStr">
        <is>
          <t>DALARNAS LÄN</t>
        </is>
      </c>
      <c r="G39" t="inlineStr">
        <is>
          <t>SÄTER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Dropptaggsvamp</t>
        </is>
      </c>
      <c r="V39">
        <f>HYPERLINK("https://klasma.github.io/Logging_2082/artfynd/A 57427-2022 artfynd.xlsx", "A 57427-2022")</f>
        <v/>
      </c>
      <c r="W39">
        <f>HYPERLINK("https://klasma.github.io/Logging_2082/kartor/A 57427-2022 karta.png", "A 57427-2022")</f>
        <v/>
      </c>
      <c r="Y39">
        <f>HYPERLINK("https://klasma.github.io/Logging_2082/klagomål/A 57427-2022 FSC-klagomål.docx", "A 57427-2022")</f>
        <v/>
      </c>
      <c r="Z39">
        <f>HYPERLINK("https://klasma.github.io/Logging_2082/klagomålsmail/A 57427-2022 FSC-klagomål mail.docx", "A 57427-2022")</f>
        <v/>
      </c>
      <c r="AA39">
        <f>HYPERLINK("https://klasma.github.io/Logging_2082/tillsyn/A 57427-2022 tillsynsbegäran.docx", "A 57427-2022")</f>
        <v/>
      </c>
      <c r="AB39">
        <f>HYPERLINK("https://klasma.github.io/Logging_2082/tillsynsmail/A 57427-2022 tillsynsbegäran mail.docx", "A 57427-2022")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46222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Knärot</t>
        </is>
      </c>
      <c r="V40">
        <f>HYPERLINK("https://klasma.github.io/Logging_2082/artfynd/A 61197-2025 artfynd.xlsx", "A 61197-2025")</f>
        <v/>
      </c>
      <c r="W40">
        <f>HYPERLINK("https://klasma.github.io/Logging_2082/kartor/A 61197-2025 karta.png", "A 61197-2025")</f>
        <v/>
      </c>
      <c r="X40">
        <f>HYPERLINK("https://klasma.github.io/Logging_2082/knärot/A 61197-2025 karta knärot.png", "A 61197-2025")</f>
        <v/>
      </c>
      <c r="Y40">
        <f>HYPERLINK("https://klasma.github.io/Logging_2082/klagomål/A 61197-2025 FSC-klagomål.docx", "A 61197-2025")</f>
        <v/>
      </c>
      <c r="Z40">
        <f>HYPERLINK("https://klasma.github.io/Logging_2082/klagomålsmail/A 61197-2025 FSC-klagomål mail.docx", "A 61197-2025")</f>
        <v/>
      </c>
      <c r="AA40">
        <f>HYPERLINK("https://klasma.github.io/Logging_2082/tillsyn/A 61197-2025 tillsynsbegäran.docx", "A 61197-2025")</f>
        <v/>
      </c>
      <c r="AB40">
        <f>HYPERLINK("https://klasma.github.io/Logging_2082/tillsynsmail/A 61197-2025 tillsynsbegäran mail.docx", "A 61197-2025")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46222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Blåsippa</t>
        </is>
      </c>
      <c r="V41">
        <f>HYPERLINK("https://klasma.github.io/Logging_2082/artfynd/A 44992-2024 artfynd.xlsx", "A 44992-2024")</f>
        <v/>
      </c>
      <c r="W41">
        <f>HYPERLINK("https://klasma.github.io/Logging_2082/kartor/A 44992-2024 karta.png", "A 44992-2024")</f>
        <v/>
      </c>
      <c r="Y41">
        <f>HYPERLINK("https://klasma.github.io/Logging_2082/klagomål/A 44992-2024 FSC-klagomål.docx", "A 44992-2024")</f>
        <v/>
      </c>
      <c r="Z41">
        <f>HYPERLINK("https://klasma.github.io/Logging_2082/klagomålsmail/A 44992-2024 FSC-klagomål mail.docx", "A 44992-2024")</f>
        <v/>
      </c>
      <c r="AA41">
        <f>HYPERLINK("https://klasma.github.io/Logging_2082/tillsyn/A 44992-2024 tillsynsbegäran.docx", "A 44992-2024")</f>
        <v/>
      </c>
      <c r="AB41">
        <f>HYPERLINK("https://klasma.github.io/Logging_2082/tillsynsmail/A 44992-2024 tillsynsbegäran mail.docx", "A 44992-2024")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46222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HYPERLINK("https://klasma.github.io/Logging_2082/artfynd/A 21120-2026 artfynd.xlsx", "A 21120-2026")</f>
        <v/>
      </c>
      <c r="W42">
        <f>HYPERLINK("https://klasma.github.io/Logging_2082/kartor/A 21120-2026 karta.png", "A 21120-2026")</f>
        <v/>
      </c>
      <c r="X42">
        <f>HYPERLINK("https://klasma.github.io/Logging_2082/knärot/A 21120-2026 karta knärot.png", "A 21120-2026")</f>
        <v/>
      </c>
      <c r="Y42">
        <f>HYPERLINK("https://klasma.github.io/Logging_2082/klagomål/A 21120-2026 FSC-klagomål.docx", "A 21120-2026")</f>
        <v/>
      </c>
      <c r="Z42">
        <f>HYPERLINK("https://klasma.github.io/Logging_2082/klagomålsmail/A 21120-2026 FSC-klagomål mail.docx", "A 21120-2026")</f>
        <v/>
      </c>
      <c r="AA42">
        <f>HYPERLINK("https://klasma.github.io/Logging_2082/tillsyn/A 21120-2026 tillsynsbegäran.docx", "A 21120-2026")</f>
        <v/>
      </c>
      <c r="AB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46222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s="2" t="inlineStr">
        <is>
          <t>Fjällig taggsvamp s.str.</t>
        </is>
      </c>
      <c r="V43">
        <f>HYPERLINK("https://klasma.github.io/Logging_2082/artfynd/A 21111-2026 artfynd.xlsx", "A 21111-2026")</f>
        <v/>
      </c>
      <c r="W43">
        <f>HYPERLINK("https://klasma.github.io/Logging_2082/kartor/A 21111-2026 karta.png", "A 21111-2026")</f>
        <v/>
      </c>
      <c r="Y43">
        <f>HYPERLINK("https://klasma.github.io/Logging_2082/klagomål/A 21111-2026 FSC-klagomål.docx", "A 21111-2026")</f>
        <v/>
      </c>
      <c r="Z43">
        <f>HYPERLINK("https://klasma.github.io/Logging_2082/klagomålsmail/A 21111-2026 FSC-klagomål mail.docx", "A 21111-2026")</f>
        <v/>
      </c>
      <c r="AA43">
        <f>HYPERLINK("https://klasma.github.io/Logging_2082/tillsyn/A 21111-2026 tillsynsbegäran.docx", "A 21111-2026")</f>
        <v/>
      </c>
      <c r="AB43">
        <f>HYPERLINK("https://klasma.github.io/Logging_2082/tillsynsmail/A 21111-2026 tillsynsbegäran mail.docx", "A 21111-2026")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46222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Sädesärla</t>
        </is>
      </c>
      <c r="V44">
        <f>HYPERLINK("https://klasma.github.io/Logging_2082/artfynd/A 47064-2021 artfynd.xlsx", "A 47064-2021")</f>
        <v/>
      </c>
      <c r="W44">
        <f>HYPERLINK("https://klasma.github.io/Logging_2082/kartor/A 47064-2021 karta.png", "A 47064-2021")</f>
        <v/>
      </c>
      <c r="Y44">
        <f>HYPERLINK("https://klasma.github.io/Logging_2082/klagomål/A 47064-2021 FSC-klagomål.docx", "A 47064-2021")</f>
        <v/>
      </c>
      <c r="Z44">
        <f>HYPERLINK("https://klasma.github.io/Logging_2082/klagomålsmail/A 47064-2021 FSC-klagomål mail.docx", "A 47064-2021")</f>
        <v/>
      </c>
      <c r="AA44">
        <f>HYPERLINK("https://klasma.github.io/Logging_2082/tillsyn/A 47064-2021 tillsynsbegäran.docx", "A 47064-2021")</f>
        <v/>
      </c>
      <c r="AB44">
        <f>HYPERLINK("https://klasma.github.io/Logging_2082/tillsynsmail/A 47064-2021 tillsynsbegäran mail.docx", "A 47064-2021")</f>
        <v/>
      </c>
      <c r="AC44">
        <f>HYPERLINK("https://klasma.github.io/Logging_2082/fåglar/A 47064-2021 prioriterade fågelarter.docx", "A 47064-2021")</f>
        <v/>
      </c>
    </row>
    <row r="45" ht="15" customHeight="1">
      <c r="A45" t="inlineStr">
        <is>
          <t>A 27715-2023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46222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Mattlummer</t>
        </is>
      </c>
      <c r="V45">
        <f>HYPERLINK("https://klasma.github.io/Logging_2082/artfynd/A 27715-2023 artfynd.xlsx", "A 27715-2023")</f>
        <v/>
      </c>
      <c r="W45">
        <f>HYPERLINK("https://klasma.github.io/Logging_2082/kartor/A 27715-2023 karta.png", "A 27715-2023")</f>
        <v/>
      </c>
      <c r="Y45">
        <f>HYPERLINK("https://klasma.github.io/Logging_2082/klagomål/A 27715-2023 FSC-klagomål.docx", "A 27715-2023")</f>
        <v/>
      </c>
      <c r="Z45">
        <f>HYPERLINK("https://klasma.github.io/Logging_2082/klagomålsmail/A 27715-2023 FSC-klagomål mail.docx", "A 27715-2023")</f>
        <v/>
      </c>
      <c r="AA45">
        <f>HYPERLINK("https://klasma.github.io/Logging_2082/tillsyn/A 27715-2023 tillsynsbegäran.docx", "A 27715-2023")</f>
        <v/>
      </c>
      <c r="AB45">
        <f>HYPERLINK("https://klasma.github.io/Logging_2082/tillsynsmail/A 27715-2023 tillsynsbegäran mail.docx", "A 27715-2023")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46222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Knärot</t>
        </is>
      </c>
      <c r="V46">
        <f>HYPERLINK("https://klasma.github.io/Logging_2082/artfynd/A 68448-2021 artfynd.xlsx", "A 68448-2021")</f>
        <v/>
      </c>
      <c r="W46">
        <f>HYPERLINK("https://klasma.github.io/Logging_2082/kartor/A 68448-2021 karta.png", "A 68448-2021")</f>
        <v/>
      </c>
      <c r="X46">
        <f>HYPERLINK("https://klasma.github.io/Logging_2082/knärot/A 68448-2021 karta knärot.png", "A 68448-2021")</f>
        <v/>
      </c>
      <c r="Y46">
        <f>HYPERLINK("https://klasma.github.io/Logging_2082/klagomål/A 68448-2021 FSC-klagomål.docx", "A 68448-2021")</f>
        <v/>
      </c>
      <c r="Z46">
        <f>HYPERLINK("https://klasma.github.io/Logging_2082/klagomålsmail/A 68448-2021 FSC-klagomål mail.docx", "A 68448-2021")</f>
        <v/>
      </c>
      <c r="AA46">
        <f>HYPERLINK("https://klasma.github.io/Logging_2082/tillsyn/A 68448-2021 tillsynsbegäran.docx", "A 68448-2021")</f>
        <v/>
      </c>
      <c r="AB46">
        <f>HYPERLINK("https://klasma.github.io/Logging_2082/tillsynsmail/A 68448-2021 tillsynsbegäran mail.docx", "A 68448-2021")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46222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Knärot</t>
        </is>
      </c>
      <c r="V47">
        <f>HYPERLINK("https://klasma.github.io/Logging_2082/artfynd/S 4834-2022 artfynd.xlsx", "S 4834-2022")</f>
        <v/>
      </c>
      <c r="W47">
        <f>HYPERLINK("https://klasma.github.io/Logging_2082/kartor/S 4834-2022 karta.png", "S 4834-2022")</f>
        <v/>
      </c>
      <c r="X47">
        <f>HYPERLINK("https://klasma.github.io/Logging_2082/knärot/S 4834-2022 karta knärot.png", "S 4834-2022")</f>
        <v/>
      </c>
      <c r="Y47">
        <f>HYPERLINK("https://klasma.github.io/Logging_2082/klagomål/S 4834-2022 FSC-klagomål.docx", "S 4834-2022")</f>
        <v/>
      </c>
      <c r="Z47">
        <f>HYPERLINK("https://klasma.github.io/Logging_2082/klagomålsmail/S 4834-2022 FSC-klagomål mail.docx", "S 4834-2022")</f>
        <v/>
      </c>
      <c r="AA47">
        <f>HYPERLINK("https://klasma.github.io/Logging_2082/tillsyn/S 4834-2022 tillsynsbegäran.docx", "S 4834-2022")</f>
        <v/>
      </c>
      <c r="AB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46222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Knärot</t>
        </is>
      </c>
      <c r="V48">
        <f>HYPERLINK("https://klasma.github.io/Logging_2082/artfynd/S 2622-2023 artfynd.xlsx", "S 2622-2023")</f>
        <v/>
      </c>
      <c r="W48">
        <f>HYPERLINK("https://klasma.github.io/Logging_2082/kartor/S 2622-2023 karta.png", "S 2622-2023")</f>
        <v/>
      </c>
      <c r="X48">
        <f>HYPERLINK("https://klasma.github.io/Logging_2082/knärot/S 2622-2023 karta knärot.png", "S 2622-2023")</f>
        <v/>
      </c>
      <c r="Y48">
        <f>HYPERLINK("https://klasma.github.io/Logging_2082/klagomål/S 2622-2023 FSC-klagomål.docx", "S 2622-2023")</f>
        <v/>
      </c>
      <c r="Z48">
        <f>HYPERLINK("https://klasma.github.io/Logging_2082/klagomålsmail/S 2622-2023 FSC-klagomål mail.docx", "S 2622-2023")</f>
        <v/>
      </c>
      <c r="AA48">
        <f>HYPERLINK("https://klasma.github.io/Logging_2082/tillsyn/S 2622-2023 tillsynsbegäran.docx", "S 2622-2023")</f>
        <v/>
      </c>
      <c r="AB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46222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46222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46222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46222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46222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46222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46222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46222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46222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46222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46222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46222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46222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46222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46222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46222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46222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46222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46222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46222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46222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46222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46222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46222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46222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46222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46222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46222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46222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46222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46222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46222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10150-2025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46222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46222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51405-2022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46222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46222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46222</v>
      </c>
      <c r="F85" t="inlineStr">
        <is>
          <t>DALARNAS LÄN</t>
        </is>
      </c>
      <c r="G85" t="inlineStr">
        <is>
          <t>SÄTER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46222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46222</v>
      </c>
      <c r="F87" t="inlineStr">
        <is>
          <t>DALARNAS LÄN</t>
        </is>
      </c>
      <c r="G87" t="inlineStr">
        <is>
          <t>SÄTER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46222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59707-2022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44908</v>
      </c>
      <c r="E89" s="1" t="n">
        <v>46222</v>
      </c>
      <c r="F89" t="inlineStr">
        <is>
          <t>DALARNAS LÄN</t>
        </is>
      </c>
      <c r="G89" t="inlineStr">
        <is>
          <t>SÄTER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23804-2024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46222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64565-2023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46222</v>
      </c>
      <c r="F91" t="inlineStr">
        <is>
          <t>DALARNAS LÄN</t>
        </is>
      </c>
      <c r="G91" t="inlineStr">
        <is>
          <t>SÄTER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64610-2023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46222</v>
      </c>
      <c r="F92" t="inlineStr">
        <is>
          <t>DALARNAS LÄN</t>
        </is>
      </c>
      <c r="G92" t="inlineStr">
        <is>
          <t>SÄTER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16840-2024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46222</v>
      </c>
      <c r="F93" t="inlineStr">
        <is>
          <t>DALARNAS LÄN</t>
        </is>
      </c>
      <c r="G93" t="inlineStr">
        <is>
          <t>SÄTER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64788-2023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46222</v>
      </c>
      <c r="F94" t="inlineStr">
        <is>
          <t>DALARNAS LÄN</t>
        </is>
      </c>
      <c r="G94" t="inlineStr">
        <is>
          <t>SÄTER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46222</v>
      </c>
      <c r="F95" t="inlineStr">
        <is>
          <t>DALARNAS LÄN</t>
        </is>
      </c>
      <c r="G95" t="inlineStr">
        <is>
          <t>SÄTER</t>
        </is>
      </c>
      <c r="H95" t="inlineStr">
        <is>
          <t>Kommuner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46222</v>
      </c>
      <c r="F96" t="inlineStr">
        <is>
          <t>DALARNAS LÄN</t>
        </is>
      </c>
      <c r="G96" t="inlineStr">
        <is>
          <t>SÄTER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51323-2024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46222</v>
      </c>
      <c r="F97" t="inlineStr">
        <is>
          <t>DALARNAS LÄN</t>
        </is>
      </c>
      <c r="G97" t="inlineStr">
        <is>
          <t>SÄTER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46222</v>
      </c>
      <c r="F98" t="inlineStr">
        <is>
          <t>DALARNAS LÄN</t>
        </is>
      </c>
      <c r="G98" t="inlineStr">
        <is>
          <t>SÄTER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46222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7562-2023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46222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43725-2021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44433</v>
      </c>
      <c r="E101" s="1" t="n">
        <v>46222</v>
      </c>
      <c r="F101" t="inlineStr">
        <is>
          <t>DALARNAS LÄN</t>
        </is>
      </c>
      <c r="G101" t="inlineStr">
        <is>
          <t>SÄTER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41556-2021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44425</v>
      </c>
      <c r="E102" s="1" t="n">
        <v>46222</v>
      </c>
      <c r="F102" t="inlineStr">
        <is>
          <t>DALARNAS LÄN</t>
        </is>
      </c>
      <c r="G102" t="inlineStr">
        <is>
          <t>SÄTER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44595</v>
      </c>
      <c r="E103" s="1" t="n">
        <v>46222</v>
      </c>
      <c r="F103" t="inlineStr">
        <is>
          <t>DALARNAS LÄN</t>
        </is>
      </c>
      <c r="G103" t="inlineStr">
        <is>
          <t>SÄTER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8117-2022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46222</v>
      </c>
      <c r="F104" t="inlineStr">
        <is>
          <t>DALARNAS LÄN</t>
        </is>
      </c>
      <c r="G104" t="inlineStr">
        <is>
          <t>SÄTER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38264-2025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46222</v>
      </c>
      <c r="F105" t="inlineStr">
        <is>
          <t>DALARNAS LÄN</t>
        </is>
      </c>
      <c r="G105" t="inlineStr">
        <is>
          <t>SÄTER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45138</v>
      </c>
      <c r="E106" s="1" t="n">
        <v>46222</v>
      </c>
      <c r="F106" t="inlineStr">
        <is>
          <t>DALARNAS LÄN</t>
        </is>
      </c>
      <c r="G106" t="inlineStr">
        <is>
          <t>SÄTER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46222</v>
      </c>
      <c r="F107" t="inlineStr">
        <is>
          <t>DALARNAS LÄN</t>
        </is>
      </c>
      <c r="G107" t="inlineStr">
        <is>
          <t>SÄTER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44585</v>
      </c>
      <c r="E108" s="1" t="n">
        <v>46222</v>
      </c>
      <c r="F108" t="inlineStr">
        <is>
          <t>DALARNAS LÄN</t>
        </is>
      </c>
      <c r="G108" t="inlineStr">
        <is>
          <t>SÄTER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3423-2026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46222</v>
      </c>
      <c r="F109" t="inlineStr">
        <is>
          <t>DALARNAS LÄN</t>
        </is>
      </c>
      <c r="G109" t="inlineStr">
        <is>
          <t>SÄTER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3445-2026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46042</v>
      </c>
      <c r="E110" s="1" t="n">
        <v>46222</v>
      </c>
      <c r="F110" t="inlineStr">
        <is>
          <t>DALARNAS LÄN</t>
        </is>
      </c>
      <c r="G110" t="inlineStr">
        <is>
          <t>SÄTER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39262-2021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44413</v>
      </c>
      <c r="E111" s="1" t="n">
        <v>46222</v>
      </c>
      <c r="F111" t="inlineStr">
        <is>
          <t>DALARNAS LÄN</t>
        </is>
      </c>
      <c r="G111" t="inlineStr">
        <is>
          <t>SÄTER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32886-2022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46222</v>
      </c>
      <c r="F112" t="inlineStr">
        <is>
          <t>DALARNAS LÄN</t>
        </is>
      </c>
      <c r="G112" t="inlineStr">
        <is>
          <t>SÄTER</t>
        </is>
      </c>
      <c r="I112" t="n">
        <v>10.9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27057-2025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46222</v>
      </c>
      <c r="F113" t="inlineStr">
        <is>
          <t>DALARNAS LÄN</t>
        </is>
      </c>
      <c r="G113" t="inlineStr">
        <is>
          <t>SÄTER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39780-2024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46222</v>
      </c>
      <c r="F114" t="inlineStr">
        <is>
          <t>DALARNAS LÄN</t>
        </is>
      </c>
      <c r="G114" t="inlineStr">
        <is>
          <t>SÄTER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46222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19747-2025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45771</v>
      </c>
      <c r="E116" s="1" t="n">
        <v>46222</v>
      </c>
      <c r="F116" t="inlineStr">
        <is>
          <t>DALARNAS LÄN</t>
        </is>
      </c>
      <c r="G116" t="inlineStr">
        <is>
          <t>SÄTER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59386-2024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46222</v>
      </c>
      <c r="F117" t="inlineStr">
        <is>
          <t>DALARNAS LÄN</t>
        </is>
      </c>
      <c r="G117" t="inlineStr">
        <is>
          <t>SÄTER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42806-2024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45566</v>
      </c>
      <c r="E118" s="1" t="n">
        <v>46222</v>
      </c>
      <c r="F118" t="inlineStr">
        <is>
          <t>DALARNAS LÄN</t>
        </is>
      </c>
      <c r="G118" t="inlineStr">
        <is>
          <t>SÄTER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45225-2022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46222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28852-2025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46222</v>
      </c>
      <c r="F120" t="inlineStr">
        <is>
          <t>DALARNAS LÄN</t>
        </is>
      </c>
      <c r="G120" t="inlineStr">
        <is>
          <t>SÄTER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46222</v>
      </c>
      <c r="F121" t="inlineStr">
        <is>
          <t>DALARNAS LÄN</t>
        </is>
      </c>
      <c r="G121" t="inlineStr">
        <is>
          <t>SÄTER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46222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46222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29522-2025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46222</v>
      </c>
      <c r="F124" t="inlineStr">
        <is>
          <t>DALARNAS LÄN</t>
        </is>
      </c>
      <c r="G124" t="inlineStr">
        <is>
          <t>SÄTER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46222</v>
      </c>
      <c r="F125" t="inlineStr">
        <is>
          <t>DALARNAS LÄN</t>
        </is>
      </c>
      <c r="G125" t="inlineStr">
        <is>
          <t>SÄTER</t>
        </is>
      </c>
      <c r="I125" t="n">
        <v>13.2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42674-2025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46222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42691-2025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46222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55428-2025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46222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14931-2024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46222</v>
      </c>
      <c r="F129" t="inlineStr">
        <is>
          <t>DALARNAS LÄN</t>
        </is>
      </c>
      <c r="G129" t="inlineStr">
        <is>
          <t>SÄTER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45476-2024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46222</v>
      </c>
      <c r="F130" t="inlineStr">
        <is>
          <t>DALARNAS LÄN</t>
        </is>
      </c>
      <c r="G130" t="inlineStr">
        <is>
          <t>SÄTER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43553-2025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46222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46222</v>
      </c>
      <c r="F132" t="inlineStr">
        <is>
          <t>DALARNAS LÄN</t>
        </is>
      </c>
      <c r="G132" t="inlineStr">
        <is>
          <t>SÄTER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40671-2023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46222</v>
      </c>
      <c r="F133" t="inlineStr">
        <is>
          <t>DALARNAS LÄN</t>
        </is>
      </c>
      <c r="G133" t="inlineStr">
        <is>
          <t>SÄTER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42998-2023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45182</v>
      </c>
      <c r="E134" s="1" t="n">
        <v>46222</v>
      </c>
      <c r="F134" t="inlineStr">
        <is>
          <t>DALARNAS LÄN</t>
        </is>
      </c>
      <c r="G134" t="inlineStr">
        <is>
          <t>SÄTER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51320-2024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45604</v>
      </c>
      <c r="E135" s="1" t="n">
        <v>46222</v>
      </c>
      <c r="F135" t="inlineStr">
        <is>
          <t>DALARNAS LÄN</t>
        </is>
      </c>
      <c r="G135" t="inlineStr">
        <is>
          <t>SÄTER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51324-2024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45604</v>
      </c>
      <c r="E136" s="1" t="n">
        <v>46222</v>
      </c>
      <c r="F136" t="inlineStr">
        <is>
          <t>DALARNAS LÄN</t>
        </is>
      </c>
      <c r="G136" t="inlineStr">
        <is>
          <t>SÄTER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21696-2023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46222</v>
      </c>
      <c r="F137" t="inlineStr">
        <is>
          <t>DALARNAS LÄN</t>
        </is>
      </c>
      <c r="G137" t="inlineStr">
        <is>
          <t>SÄTER</t>
        </is>
      </c>
      <c r="H137" t="inlineStr">
        <is>
          <t>Kommuner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23262-2024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46222</v>
      </c>
      <c r="F138" t="inlineStr">
        <is>
          <t>DALARNAS LÄN</t>
        </is>
      </c>
      <c r="G138" t="inlineStr">
        <is>
          <t>SÄTER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46222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46495-2025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46222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41.4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46222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35409-2025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46222</v>
      </c>
      <c r="F142" t="inlineStr">
        <is>
          <t>DALARNAS LÄN</t>
        </is>
      </c>
      <c r="G142" t="inlineStr">
        <is>
          <t>SÄTER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45855</v>
      </c>
      <c r="E143" s="1" t="n">
        <v>46222</v>
      </c>
      <c r="F143" t="inlineStr">
        <is>
          <t>DALARNAS LÄN</t>
        </is>
      </c>
      <c r="G143" t="inlineStr">
        <is>
          <t>SÄTER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56823-2024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45628</v>
      </c>
      <c r="E144" s="1" t="n">
        <v>46222</v>
      </c>
      <c r="F144" t="inlineStr">
        <is>
          <t>DALARNAS LÄN</t>
        </is>
      </c>
      <c r="G144" t="inlineStr">
        <is>
          <t>SÄTER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56831-2024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45628</v>
      </c>
      <c r="E145" s="1" t="n">
        <v>46222</v>
      </c>
      <c r="F145" t="inlineStr">
        <is>
          <t>DALARNAS LÄN</t>
        </is>
      </c>
      <c r="G145" t="inlineStr">
        <is>
          <t>SÄTER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46222</v>
      </c>
      <c r="F146" t="inlineStr">
        <is>
          <t>DALARNAS LÄN</t>
        </is>
      </c>
      <c r="G146" t="inlineStr">
        <is>
          <t>SÄTER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13510-2023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45006</v>
      </c>
      <c r="E147" s="1" t="n">
        <v>46222</v>
      </c>
      <c r="F147" t="inlineStr">
        <is>
          <t>DALARNAS LÄN</t>
        </is>
      </c>
      <c r="G147" t="inlineStr">
        <is>
          <t>SÄTER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59390-2024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46222</v>
      </c>
      <c r="F148" t="inlineStr">
        <is>
          <t>DALARNAS LÄN</t>
        </is>
      </c>
      <c r="G148" t="inlineStr">
        <is>
          <t>SÄTER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55497-2024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45622</v>
      </c>
      <c r="E149" s="1" t="n">
        <v>46222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59445-2024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46222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58864-2024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46222</v>
      </c>
      <c r="F151" t="inlineStr">
        <is>
          <t>DALARNAS LÄN</t>
        </is>
      </c>
      <c r="G151" t="inlineStr">
        <is>
          <t>SÄTER</t>
        </is>
      </c>
      <c r="I151" t="n">
        <v>10.9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29833-2023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46222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51468-2024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46222</v>
      </c>
      <c r="F153" t="inlineStr">
        <is>
          <t>DALARNAS LÄN</t>
        </is>
      </c>
      <c r="G153" t="inlineStr">
        <is>
          <t>SÄTER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46222</v>
      </c>
      <c r="F154" t="inlineStr">
        <is>
          <t>DALARNAS LÄN</t>
        </is>
      </c>
      <c r="G154" t="inlineStr">
        <is>
          <t>SÄTER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6856-2026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46222</v>
      </c>
      <c r="F155" t="inlineStr">
        <is>
          <t>DALARNAS LÄN</t>
        </is>
      </c>
      <c r="G155" t="inlineStr">
        <is>
          <t>SÄTER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48507-2025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46222</v>
      </c>
      <c r="F156" t="inlineStr">
        <is>
          <t>DALARNAS LÄN</t>
        </is>
      </c>
      <c r="G156" t="inlineStr">
        <is>
          <t>SÄTER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16836-2024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45411</v>
      </c>
      <c r="E157" s="1" t="n">
        <v>46222</v>
      </c>
      <c r="F157" t="inlineStr">
        <is>
          <t>DALARNAS LÄN</t>
        </is>
      </c>
      <c r="G157" t="inlineStr">
        <is>
          <t>SÄTER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36549-2025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45870</v>
      </c>
      <c r="E158" s="1" t="n">
        <v>46222</v>
      </c>
      <c r="F158" t="inlineStr">
        <is>
          <t>DALARNAS LÄN</t>
        </is>
      </c>
      <c r="G158" t="inlineStr">
        <is>
          <t>SÄTER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48862-2025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46222</v>
      </c>
      <c r="F159" t="inlineStr">
        <is>
          <t>DALARNAS LÄN</t>
        </is>
      </c>
      <c r="G159" t="inlineStr">
        <is>
          <t>SÄTER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49599-2025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46222</v>
      </c>
      <c r="F160" t="inlineStr">
        <is>
          <t>DALARNAS LÄN</t>
        </is>
      </c>
      <c r="G160" t="inlineStr">
        <is>
          <t>SÄTER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45875</v>
      </c>
      <c r="E161" s="1" t="n">
        <v>46222</v>
      </c>
      <c r="F161" t="inlineStr">
        <is>
          <t>DALARNAS LÄN</t>
        </is>
      </c>
      <c r="G161" t="inlineStr">
        <is>
          <t>SÄTER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46222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50533-2025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46222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28549-2022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44748</v>
      </c>
      <c r="E164" s="1" t="n">
        <v>46222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46222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13339-2023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46222</v>
      </c>
      <c r="F166" t="inlineStr">
        <is>
          <t>DALARNAS LÄN</t>
        </is>
      </c>
      <c r="G166" t="inlineStr">
        <is>
          <t>SÄTER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51826-2025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46222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8355-2026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46222</v>
      </c>
      <c r="F168" t="inlineStr">
        <is>
          <t>DALARNAS LÄN</t>
        </is>
      </c>
      <c r="G168" t="inlineStr">
        <is>
          <t>SÄTER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52422-2025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46222</v>
      </c>
      <c r="F169" t="inlineStr">
        <is>
          <t>DALARNAS LÄN</t>
        </is>
      </c>
      <c r="G169" t="inlineStr">
        <is>
          <t>SÄTER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8435-2026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46065</v>
      </c>
      <c r="E170" s="1" t="n">
        <v>46222</v>
      </c>
      <c r="F170" t="inlineStr">
        <is>
          <t>DALARNAS LÄN</t>
        </is>
      </c>
      <c r="G170" t="inlineStr">
        <is>
          <t>SÄTER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45201</v>
      </c>
      <c r="E171" s="1" t="n">
        <v>46222</v>
      </c>
      <c r="F171" t="inlineStr">
        <is>
          <t>DALARNAS LÄN</t>
        </is>
      </c>
      <c r="G171" t="inlineStr">
        <is>
          <t>SÄTER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36939-2025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46222</v>
      </c>
      <c r="F172" t="inlineStr">
        <is>
          <t>DALARNAS LÄN</t>
        </is>
      </c>
      <c r="G172" t="inlineStr">
        <is>
          <t>SÄTER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57416-2022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46222</v>
      </c>
      <c r="F173" t="inlineStr">
        <is>
          <t>DALARNAS LÄN</t>
        </is>
      </c>
      <c r="G173" t="inlineStr">
        <is>
          <t>SÄTER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  <c r="X173">
        <f>HYPERLINK("https://klasma.github.io/Logging_2082/knärot/A 57416-2022 karta knärot.png", "A 57416-2022")</f>
        <v/>
      </c>
      <c r="Y173">
        <f>HYPERLINK("https://klasma.github.io/Logging_2082/klagomål/A 57416-2022 FSC-klagomål.docx", "A 57416-2022")</f>
        <v/>
      </c>
      <c r="Z173">
        <f>HYPERLINK("https://klasma.github.io/Logging_2082/klagomålsmail/A 57416-2022 FSC-klagomål mail.docx", "A 57416-2022")</f>
        <v/>
      </c>
      <c r="AA173">
        <f>HYPERLINK("https://klasma.github.io/Logging_2082/tillsyn/A 57416-2022 tillsynsbegäran.docx", "A 57416-2022")</f>
        <v/>
      </c>
      <c r="AB173">
        <f>HYPERLINK("https://klasma.github.io/Logging_2082/tillsynsmail/A 57416-2022 tillsynsbegäran mail.docx", "A 57416-2022")</f>
        <v/>
      </c>
    </row>
    <row r="174" ht="15" customHeight="1">
      <c r="A174" t="inlineStr">
        <is>
          <t>A 8810-2026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46222</v>
      </c>
      <c r="F174" t="inlineStr">
        <is>
          <t>DALARNAS LÄN</t>
        </is>
      </c>
      <c r="G174" t="inlineStr">
        <is>
          <t>SÄTER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53559-2025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45960</v>
      </c>
      <c r="E175" s="1" t="n">
        <v>46222</v>
      </c>
      <c r="F175" t="inlineStr">
        <is>
          <t>DALARNAS LÄN</t>
        </is>
      </c>
      <c r="G175" t="inlineStr">
        <is>
          <t>SÄTER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27910-2023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46222</v>
      </c>
      <c r="F176" t="inlineStr">
        <is>
          <t>DALARNAS LÄN</t>
        </is>
      </c>
      <c r="G176" t="inlineStr">
        <is>
          <t>SÄTER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53540-2025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46222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53878-2025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46222</v>
      </c>
      <c r="F178" t="inlineStr">
        <is>
          <t>DALARNAS LÄN</t>
        </is>
      </c>
      <c r="G178" t="inlineStr">
        <is>
          <t>SÄTER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46222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10214-2026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46222</v>
      </c>
      <c r="F180" t="inlineStr">
        <is>
          <t>DALARNAS LÄN</t>
        </is>
      </c>
      <c r="G180" t="inlineStr">
        <is>
          <t>SÄTER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10146-2026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46222</v>
      </c>
      <c r="F181" t="inlineStr">
        <is>
          <t>DALARNAS LÄN</t>
        </is>
      </c>
      <c r="G181" t="inlineStr">
        <is>
          <t>SÄTER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10173-2026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46222</v>
      </c>
      <c r="F182" t="inlineStr">
        <is>
          <t>DALARNAS LÄN</t>
        </is>
      </c>
      <c r="G182" t="inlineStr">
        <is>
          <t>SÄTER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33473-2022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44788</v>
      </c>
      <c r="E183" s="1" t="n">
        <v>46222</v>
      </c>
      <c r="F183" t="inlineStr">
        <is>
          <t>DALARNAS LÄN</t>
        </is>
      </c>
      <c r="G183" t="inlineStr">
        <is>
          <t>SÄTER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55621-2025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46222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54826-2023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46222</v>
      </c>
      <c r="F185" t="inlineStr">
        <is>
          <t>DALARNAS LÄN</t>
        </is>
      </c>
      <c r="G185" t="inlineStr">
        <is>
          <t>SÄTER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46222</v>
      </c>
      <c r="F186" t="inlineStr">
        <is>
          <t>DALARNAS LÄN</t>
        </is>
      </c>
      <c r="G186" t="inlineStr">
        <is>
          <t>SÄTER</t>
        </is>
      </c>
      <c r="H186" t="inlineStr">
        <is>
          <t>Övriga statliga verk och myndigheter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46222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10552-2026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46222</v>
      </c>
      <c r="F188" t="inlineStr">
        <is>
          <t>DALARNAS LÄN</t>
        </is>
      </c>
      <c r="G188" t="inlineStr">
        <is>
          <t>SÄTER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69744-2021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44532</v>
      </c>
      <c r="E189" s="1" t="n">
        <v>46222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12322-2026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46087</v>
      </c>
      <c r="E190" s="1" t="n">
        <v>46222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58325-2025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46222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53706-2025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46222</v>
      </c>
      <c r="F192" t="inlineStr">
        <is>
          <t>DALARNAS LÄN</t>
        </is>
      </c>
      <c r="G192" t="inlineStr">
        <is>
          <t>SÄTER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59854-2025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45992</v>
      </c>
      <c r="E193" s="1" t="n">
        <v>46222</v>
      </c>
      <c r="F193" t="inlineStr">
        <is>
          <t>DALARNAS LÄN</t>
        </is>
      </c>
      <c r="G193" t="inlineStr">
        <is>
          <t>SÄTER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11533-2026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46083</v>
      </c>
      <c r="E194" s="1" t="n">
        <v>46222</v>
      </c>
      <c r="F194" t="inlineStr">
        <is>
          <t>DALARNAS LÄN</t>
        </is>
      </c>
      <c r="G194" t="inlineStr">
        <is>
          <t>SÄTER</t>
        </is>
      </c>
      <c r="H194" t="inlineStr">
        <is>
          <t>Kommuner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13265-2026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46222</v>
      </c>
      <c r="F195" t="inlineStr">
        <is>
          <t>DALARNAS LÄN</t>
        </is>
      </c>
      <c r="G195" t="inlineStr">
        <is>
          <t>SÄTER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12965-2026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46092</v>
      </c>
      <c r="E196" s="1" t="n">
        <v>46222</v>
      </c>
      <c r="F196" t="inlineStr">
        <is>
          <t>DALARNAS LÄN</t>
        </is>
      </c>
      <c r="G196" t="inlineStr">
        <is>
          <t>SÄTER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12957-2026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46222</v>
      </c>
      <c r="F197" t="inlineStr">
        <is>
          <t>DALARNAS LÄN</t>
        </is>
      </c>
      <c r="G197" t="inlineStr">
        <is>
          <t>SÄTER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59974-2025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46222</v>
      </c>
      <c r="F198" t="inlineStr">
        <is>
          <t>DALARNAS LÄN</t>
        </is>
      </c>
      <c r="G198" t="inlineStr">
        <is>
          <t>SÄTER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46222</v>
      </c>
      <c r="F199" t="inlineStr">
        <is>
          <t>DALARNAS LÄN</t>
        </is>
      </c>
      <c r="G199" t="inlineStr">
        <is>
          <t>SÄTER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13532-2026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46222</v>
      </c>
      <c r="F200" t="inlineStr">
        <is>
          <t>DALARNAS LÄN</t>
        </is>
      </c>
      <c r="G200" t="inlineStr">
        <is>
          <t>SÄTER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46222</v>
      </c>
      <c r="F201" t="inlineStr">
        <is>
          <t>DALARNAS LÄN</t>
        </is>
      </c>
      <c r="G201" t="inlineStr">
        <is>
          <t>SÄTER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45161-2021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44439</v>
      </c>
      <c r="E202" s="1" t="n">
        <v>46222</v>
      </c>
      <c r="F202" t="inlineStr">
        <is>
          <t>DALARNAS LÄN</t>
        </is>
      </c>
      <c r="G202" t="inlineStr">
        <is>
          <t>SÄTER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46222</v>
      </c>
      <c r="F203" t="inlineStr">
        <is>
          <t>DALARNAS LÄN</t>
        </is>
      </c>
      <c r="G203" t="inlineStr">
        <is>
          <t>SÄTER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13888-2026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46098</v>
      </c>
      <c r="E204" s="1" t="n">
        <v>46222</v>
      </c>
      <c r="F204" t="inlineStr">
        <is>
          <t>DALARNAS LÄN</t>
        </is>
      </c>
      <c r="G204" t="inlineStr">
        <is>
          <t>SÄTER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13899-2026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46098</v>
      </c>
      <c r="E205" s="1" t="n">
        <v>46222</v>
      </c>
      <c r="F205" t="inlineStr">
        <is>
          <t>DALARNAS LÄN</t>
        </is>
      </c>
      <c r="G205" t="inlineStr">
        <is>
          <t>SÄTER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6767-2024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46222</v>
      </c>
      <c r="F206" t="inlineStr">
        <is>
          <t>DALARNAS LÄN</t>
        </is>
      </c>
      <c r="G206" t="inlineStr">
        <is>
          <t>SÄTER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63350-2025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46010</v>
      </c>
      <c r="E207" s="1" t="n">
        <v>46222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41961-2024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46222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41564-2021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44425</v>
      </c>
      <c r="E209" s="1" t="n">
        <v>46222</v>
      </c>
      <c r="F209" t="inlineStr">
        <is>
          <t>DALARNAS LÄN</t>
        </is>
      </c>
      <c r="G209" t="inlineStr">
        <is>
          <t>SÄTER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46222</v>
      </c>
      <c r="F210" t="inlineStr">
        <is>
          <t>DALARNAS LÄN</t>
        </is>
      </c>
      <c r="G210" t="inlineStr">
        <is>
          <t>SÄTER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46222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35005-2024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46222</v>
      </c>
      <c r="F212" t="inlineStr">
        <is>
          <t>DALARNAS LÄN</t>
        </is>
      </c>
      <c r="G212" t="inlineStr">
        <is>
          <t>SÄTER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46222</v>
      </c>
      <c r="F213" t="inlineStr">
        <is>
          <t>DALARNAS LÄN</t>
        </is>
      </c>
      <c r="G213" t="inlineStr">
        <is>
          <t>SÄTER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46222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34497-2023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45140</v>
      </c>
      <c r="E215" s="1" t="n">
        <v>46222</v>
      </c>
      <c r="F215" t="inlineStr">
        <is>
          <t>DALARNAS LÄN</t>
        </is>
      </c>
      <c r="G215" t="inlineStr">
        <is>
          <t>SÄTER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46027</v>
      </c>
      <c r="E216" s="1" t="n">
        <v>46222</v>
      </c>
      <c r="F216" t="inlineStr">
        <is>
          <t>DALARNAS LÄN</t>
        </is>
      </c>
      <c r="G216" t="inlineStr">
        <is>
          <t>SÄTER</t>
        </is>
      </c>
      <c r="I216" t="n">
        <v>12.1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46026</v>
      </c>
      <c r="E217" s="1" t="n">
        <v>46222</v>
      </c>
      <c r="F217" t="inlineStr">
        <is>
          <t>DALARNAS LÄN</t>
        </is>
      </c>
      <c r="G217" t="inlineStr">
        <is>
          <t>SÄTER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52220-2021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44462</v>
      </c>
      <c r="E218" s="1" t="n">
        <v>46222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987-2026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46030</v>
      </c>
      <c r="E219" s="1" t="n">
        <v>46222</v>
      </c>
      <c r="F219" t="inlineStr">
        <is>
          <t>DALARNAS LÄN</t>
        </is>
      </c>
      <c r="G219" t="inlineStr">
        <is>
          <t>SÄTER</t>
        </is>
      </c>
      <c r="H219" t="inlineStr">
        <is>
          <t>Bergvik skog väst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46222</v>
      </c>
      <c r="F220" t="inlineStr">
        <is>
          <t>DALARNAS LÄN</t>
        </is>
      </c>
      <c r="G220" t="inlineStr">
        <is>
          <t>SÄTER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1343-2026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46222</v>
      </c>
      <c r="F221" t="inlineStr">
        <is>
          <t>DALARNAS LÄN</t>
        </is>
      </c>
      <c r="G221" t="inlineStr">
        <is>
          <t>SÄTER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52161-2025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46222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46222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1711-2026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46222</v>
      </c>
      <c r="F224" t="inlineStr">
        <is>
          <t>DALARNAS LÄN</t>
        </is>
      </c>
      <c r="G224" t="inlineStr">
        <is>
          <t>SÄTER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46222</v>
      </c>
      <c r="F225" t="inlineStr">
        <is>
          <t>DALARNAS LÄN</t>
        </is>
      </c>
      <c r="G225" t="inlineStr">
        <is>
          <t>SÄTER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46222</v>
      </c>
      <c r="F226" t="inlineStr">
        <is>
          <t>DALARNAS LÄN</t>
        </is>
      </c>
      <c r="G226" t="inlineStr">
        <is>
          <t>SÄTER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46222</v>
      </c>
      <c r="F227" t="inlineStr">
        <is>
          <t>DALARNAS LÄN</t>
        </is>
      </c>
      <c r="G227" t="inlineStr">
        <is>
          <t>SÄTER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46222</v>
      </c>
      <c r="F228" t="inlineStr">
        <is>
          <t>DALARNAS LÄN</t>
        </is>
      </c>
      <c r="G228" t="inlineStr">
        <is>
          <t>SÄTER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46222</v>
      </c>
      <c r="F229" t="inlineStr">
        <is>
          <t>DALARNAS LÄN</t>
        </is>
      </c>
      <c r="G229" t="inlineStr">
        <is>
          <t>SÄTER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50366-2023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45216</v>
      </c>
      <c r="E230" s="1" t="n">
        <v>46222</v>
      </c>
      <c r="F230" t="inlineStr">
        <is>
          <t>DALARNAS LÄN</t>
        </is>
      </c>
      <c r="G230" t="inlineStr">
        <is>
          <t>SÄTER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16698-2026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46222</v>
      </c>
      <c r="F231" t="inlineStr">
        <is>
          <t>DALARNAS LÄN</t>
        </is>
      </c>
      <c r="G231" t="inlineStr">
        <is>
          <t>SÄTER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17253-2026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46222</v>
      </c>
      <c r="F232" t="inlineStr">
        <is>
          <t>DALARNAS LÄN</t>
        </is>
      </c>
      <c r="G232" t="inlineStr">
        <is>
          <t>SÄTER</t>
        </is>
      </c>
      <c r="H232" t="inlineStr">
        <is>
          <t>Kommuner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46222</v>
      </c>
      <c r="F233" t="inlineStr">
        <is>
          <t>DALARNAS LÄN</t>
        </is>
      </c>
      <c r="G233" t="inlineStr">
        <is>
          <t>SÄTER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10222-2026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46222</v>
      </c>
      <c r="F234" t="inlineStr">
        <is>
          <t>DALARNAS LÄN</t>
        </is>
      </c>
      <c r="G234" t="inlineStr">
        <is>
          <t>SÄTER</t>
        </is>
      </c>
      <c r="I234" t="n">
        <v>15.2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46222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45484</v>
      </c>
      <c r="E236" s="1" t="n">
        <v>46222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19979-2025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46222</v>
      </c>
      <c r="F237" t="inlineStr">
        <is>
          <t>DALARNAS LÄN</t>
        </is>
      </c>
      <c r="G237" t="inlineStr">
        <is>
          <t>SÄTER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12938-2026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46222</v>
      </c>
      <c r="F238" t="inlineStr">
        <is>
          <t>DALARNAS LÄN</t>
        </is>
      </c>
      <c r="G238" t="inlineStr">
        <is>
          <t>SÄTER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13362-2026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46222</v>
      </c>
      <c r="F239" t="inlineStr">
        <is>
          <t>DALARNAS LÄN</t>
        </is>
      </c>
      <c r="G239" t="inlineStr">
        <is>
          <t>SÄTER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12942-2026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46222</v>
      </c>
      <c r="F240" t="inlineStr">
        <is>
          <t>DALARNAS LÄN</t>
        </is>
      </c>
      <c r="G240" t="inlineStr">
        <is>
          <t>SÄTER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11416-2022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44630</v>
      </c>
      <c r="E241" s="1" t="n">
        <v>46222</v>
      </c>
      <c r="F241" t="inlineStr">
        <is>
          <t>DALARNAS LÄN</t>
        </is>
      </c>
      <c r="G241" t="inlineStr">
        <is>
          <t>SÄTER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46222</v>
      </c>
      <c r="F242" t="inlineStr">
        <is>
          <t>DALARNAS LÄN</t>
        </is>
      </c>
      <c r="G242" t="inlineStr">
        <is>
          <t>SÄTER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20056-2026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46222</v>
      </c>
      <c r="F243" t="inlineStr">
        <is>
          <t>DALARNAS LÄN</t>
        </is>
      </c>
      <c r="G243" t="inlineStr">
        <is>
          <t>SÄTER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20057-2026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46222</v>
      </c>
      <c r="F244" t="inlineStr">
        <is>
          <t>DALARNAS LÄN</t>
        </is>
      </c>
      <c r="G244" t="inlineStr">
        <is>
          <t>SÄTER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46222</v>
      </c>
      <c r="F245" t="inlineStr">
        <is>
          <t>DALARNAS LÄN</t>
        </is>
      </c>
      <c r="G245" t="inlineStr">
        <is>
          <t>SÄTER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60655-2024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45644</v>
      </c>
      <c r="E246" s="1" t="n">
        <v>46222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11733-2026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46222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51847-2024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46222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10101-2026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46222</v>
      </c>
      <c r="F249" t="inlineStr">
        <is>
          <t>DALARNAS LÄN</t>
        </is>
      </c>
      <c r="G249" t="inlineStr">
        <is>
          <t>SÄTER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44803-2023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46222</v>
      </c>
      <c r="F250" t="inlineStr">
        <is>
          <t>DALARNAS LÄN</t>
        </is>
      </c>
      <c r="G250" t="inlineStr">
        <is>
          <t>SÄTER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18974-2024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45427</v>
      </c>
      <c r="E251" s="1" t="n">
        <v>46222</v>
      </c>
      <c r="F251" t="inlineStr">
        <is>
          <t>DALARNAS LÄN</t>
        </is>
      </c>
      <c r="G251" t="inlineStr">
        <is>
          <t>SÄTER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21697-2023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46222</v>
      </c>
      <c r="F252" t="inlineStr">
        <is>
          <t>DALARNAS LÄN</t>
        </is>
      </c>
      <c r="G252" t="inlineStr">
        <is>
          <t>SÄTER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41951-2024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46222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41954-2024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45561</v>
      </c>
      <c r="E254" s="1" t="n">
        <v>46222</v>
      </c>
      <c r="F254" t="inlineStr">
        <is>
          <t>DALARNAS LÄN</t>
        </is>
      </c>
      <c r="G254" t="inlineStr">
        <is>
          <t>SÄTER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19162-2022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44691</v>
      </c>
      <c r="E255" s="1" t="n">
        <v>46222</v>
      </c>
      <c r="F255" t="inlineStr">
        <is>
          <t>DALARNAS LÄN</t>
        </is>
      </c>
      <c r="G255" t="inlineStr">
        <is>
          <t>SÄTER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63654-2025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46222</v>
      </c>
      <c r="F256" t="inlineStr">
        <is>
          <t>DALARNAS LÄN</t>
        </is>
      </c>
      <c r="G256" t="inlineStr">
        <is>
          <t>SÄTER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41959-2024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46222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44724-2024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46222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43125-2024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45567</v>
      </c>
      <c r="E259" s="1" t="n">
        <v>46222</v>
      </c>
      <c r="F259" t="inlineStr">
        <is>
          <t>DALARNAS LÄN</t>
        </is>
      </c>
      <c r="G259" t="inlineStr">
        <is>
          <t>SÄTER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46222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44719-2024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46222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46222</v>
      </c>
      <c r="F262" t="inlineStr">
        <is>
          <t>DALARNAS LÄN</t>
        </is>
      </c>
      <c r="G262" t="inlineStr">
        <is>
          <t>SÄTER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54310-2023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45232</v>
      </c>
      <c r="E263" s="1" t="n">
        <v>46222</v>
      </c>
      <c r="F263" t="inlineStr">
        <is>
          <t>DALARNAS LÄN</t>
        </is>
      </c>
      <c r="G263" t="inlineStr">
        <is>
          <t>SÄTER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46222</v>
      </c>
      <c r="F264" t="inlineStr">
        <is>
          <t>DALARNAS LÄN</t>
        </is>
      </c>
      <c r="G264" t="inlineStr">
        <is>
          <t>SÄTER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36847-2023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46222</v>
      </c>
      <c r="F265" t="inlineStr">
        <is>
          <t>DALARNAS LÄN</t>
        </is>
      </c>
      <c r="G265" t="inlineStr">
        <is>
          <t>SÄTER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20490-2026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46222</v>
      </c>
      <c r="F266" t="inlineStr">
        <is>
          <t>DALARNAS LÄN</t>
        </is>
      </c>
      <c r="G266" t="inlineStr">
        <is>
          <t>SÄTER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8991-2026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46222</v>
      </c>
      <c r="F267" t="inlineStr">
        <is>
          <t>DALARNAS LÄN</t>
        </is>
      </c>
      <c r="G267" t="inlineStr">
        <is>
          <t>SÄTER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44729-2024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46222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55650-2024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46222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46222</v>
      </c>
      <c r="F270" t="inlineStr">
        <is>
          <t>DALARNAS LÄN</t>
        </is>
      </c>
      <c r="G270" t="inlineStr">
        <is>
          <t>SÄTER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46222</v>
      </c>
      <c r="F271" t="inlineStr">
        <is>
          <t>DALARNAS LÄN</t>
        </is>
      </c>
      <c r="G271" t="inlineStr">
        <is>
          <t>SÄTER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10285-2026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46222</v>
      </c>
      <c r="F272" t="inlineStr">
        <is>
          <t>DALARNAS LÄN</t>
        </is>
      </c>
      <c r="G272" t="inlineStr">
        <is>
          <t>SÄTER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18888-2022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44690</v>
      </c>
      <c r="E273" s="1" t="n">
        <v>46222</v>
      </c>
      <c r="F273" t="inlineStr">
        <is>
          <t>DALARNAS LÄN</t>
        </is>
      </c>
      <c r="G273" t="inlineStr">
        <is>
          <t>SÄTER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12330-2026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46222</v>
      </c>
      <c r="F274" t="inlineStr">
        <is>
          <t>DALARNAS LÄN</t>
        </is>
      </c>
      <c r="G274" t="inlineStr">
        <is>
          <t>SÄTER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43610-2025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46222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46051</v>
      </c>
      <c r="E276" s="1" t="n">
        <v>46222</v>
      </c>
      <c r="F276" t="inlineStr">
        <is>
          <t>DALARNAS LÄN</t>
        </is>
      </c>
      <c r="G276" t="inlineStr">
        <is>
          <t>SÄTER</t>
        </is>
      </c>
      <c r="H276" t="inlineStr">
        <is>
          <t>Kommuner</t>
        </is>
      </c>
      <c r="I276" t="n">
        <v>42.6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9408-2026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46222</v>
      </c>
      <c r="F277" t="inlineStr">
        <is>
          <t>DALARNAS LÄN</t>
        </is>
      </c>
      <c r="G277" t="inlineStr">
        <is>
          <t>SÄTER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14019-2026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46222</v>
      </c>
      <c r="F278" t="inlineStr">
        <is>
          <t>DALARNAS LÄN</t>
        </is>
      </c>
      <c r="G278" t="inlineStr">
        <is>
          <t>SÄTER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24617-2022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44727</v>
      </c>
      <c r="E279" s="1" t="n">
        <v>46222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21859-2022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46222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26940-2025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46222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12646-2026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46091</v>
      </c>
      <c r="E282" s="1" t="n">
        <v>46222</v>
      </c>
      <c r="F282" t="inlineStr">
        <is>
          <t>DALARNAS LÄN</t>
        </is>
      </c>
      <c r="G282" t="inlineStr">
        <is>
          <t>SÄTER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46222</v>
      </c>
      <c r="F283" t="inlineStr">
        <is>
          <t>DALARNAS LÄN</t>
        </is>
      </c>
      <c r="G283" t="inlineStr">
        <is>
          <t>SÄTER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25690-2022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44732</v>
      </c>
      <c r="E284" s="1" t="n">
        <v>46222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52193-2021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44463</v>
      </c>
      <c r="E285" s="1" t="n">
        <v>46222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10540-2024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45366</v>
      </c>
      <c r="E286" s="1" t="n">
        <v>46222</v>
      </c>
      <c r="F286" t="inlineStr">
        <is>
          <t>DALARNAS LÄN</t>
        </is>
      </c>
      <c r="G286" t="inlineStr">
        <is>
          <t>SÄTER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4050-2026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46222</v>
      </c>
      <c r="F287" t="inlineStr">
        <is>
          <t>DALARNAS LÄN</t>
        </is>
      </c>
      <c r="G287" t="inlineStr">
        <is>
          <t>SÄTER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46222</v>
      </c>
      <c r="F288" t="inlineStr">
        <is>
          <t>DALARNAS LÄN</t>
        </is>
      </c>
      <c r="G288" t="inlineStr">
        <is>
          <t>SÄTER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61743-2023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45265</v>
      </c>
      <c r="E289" s="1" t="n">
        <v>46222</v>
      </c>
      <c r="F289" t="inlineStr">
        <is>
          <t>DALARNAS LÄN</t>
        </is>
      </c>
      <c r="G289" t="inlineStr">
        <is>
          <t>SÄTER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63152-2023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46222</v>
      </c>
      <c r="F290" t="inlineStr">
        <is>
          <t>DALARNAS LÄN</t>
        </is>
      </c>
      <c r="G290" t="inlineStr">
        <is>
          <t>SÄTER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46222</v>
      </c>
      <c r="F291" t="inlineStr">
        <is>
          <t>DALARNAS LÄN</t>
        </is>
      </c>
      <c r="G291" t="inlineStr">
        <is>
          <t>SÄTER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61332-2023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45264</v>
      </c>
      <c r="E292" s="1" t="n">
        <v>46222</v>
      </c>
      <c r="F292" t="inlineStr">
        <is>
          <t>DALARNAS LÄN</t>
        </is>
      </c>
      <c r="G292" t="inlineStr">
        <is>
          <t>SÄTER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27771-2026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46222</v>
      </c>
      <c r="F293" t="inlineStr">
        <is>
          <t>DALARNAS LÄN</t>
        </is>
      </c>
      <c r="G293" t="inlineStr">
        <is>
          <t>SÄTER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22028-2026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46222</v>
      </c>
      <c r="F294" t="inlineStr">
        <is>
          <t>DALARNAS LÄN</t>
        </is>
      </c>
      <c r="G294" t="inlineStr">
        <is>
          <t>SÄTER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22148-2026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46222</v>
      </c>
      <c r="F295" t="inlineStr">
        <is>
          <t>DALARNAS LÄN</t>
        </is>
      </c>
      <c r="G295" t="inlineStr">
        <is>
          <t>SÄTER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28281-2026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46222</v>
      </c>
      <c r="F296" t="inlineStr">
        <is>
          <t>DALARNAS LÄN</t>
        </is>
      </c>
      <c r="G296" t="inlineStr">
        <is>
          <t>SÄTER</t>
        </is>
      </c>
      <c r="H296" t="inlineStr">
        <is>
          <t>Sveaskog</t>
        </is>
      </c>
      <c r="I296" t="n">
        <v>19.8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26456-2024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46222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33872-2024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46222</v>
      </c>
      <c r="F298" t="inlineStr">
        <is>
          <t>DALARNAS LÄN</t>
        </is>
      </c>
      <c r="G298" t="inlineStr">
        <is>
          <t>SÄTER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54141-2023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46222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22261-2026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46222</v>
      </c>
      <c r="F300" t="inlineStr">
        <is>
          <t>DALARNAS LÄN</t>
        </is>
      </c>
      <c r="G300" t="inlineStr">
        <is>
          <t>SÄTER</t>
        </is>
      </c>
      <c r="I300" t="n">
        <v>9.6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46222</v>
      </c>
      <c r="F301" t="inlineStr">
        <is>
          <t>DALARNAS LÄN</t>
        </is>
      </c>
      <c r="G301" t="inlineStr">
        <is>
          <t>SÄTER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28613-2026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46222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22850-2026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46222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9.5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19773-2024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45432</v>
      </c>
      <c r="E304" s="1" t="n">
        <v>46222</v>
      </c>
      <c r="F304" t="inlineStr">
        <is>
          <t>DALARNAS LÄN</t>
        </is>
      </c>
      <c r="G304" t="inlineStr">
        <is>
          <t>SÄTER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46222</v>
      </c>
      <c r="F305" t="inlineStr">
        <is>
          <t>DALARNAS LÄN</t>
        </is>
      </c>
      <c r="G305" t="inlineStr">
        <is>
          <t>SÄTER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44953</v>
      </c>
      <c r="E306" s="1" t="n">
        <v>46222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46559-2021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46222</v>
      </c>
      <c r="F307" t="inlineStr">
        <is>
          <t>DALARNAS LÄN</t>
        </is>
      </c>
      <c r="G307" t="inlineStr">
        <is>
          <t>SÄTER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51328-2024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45604</v>
      </c>
      <c r="E308" s="1" t="n">
        <v>46222</v>
      </c>
      <c r="F308" t="inlineStr">
        <is>
          <t>DALARNAS LÄN</t>
        </is>
      </c>
      <c r="G308" t="inlineStr">
        <is>
          <t>SÄTER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51339-2024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45604</v>
      </c>
      <c r="E309" s="1" t="n">
        <v>46222</v>
      </c>
      <c r="F309" t="inlineStr">
        <is>
          <t>DALARNAS LÄN</t>
        </is>
      </c>
      <c r="G309" t="inlineStr">
        <is>
          <t>SÄTER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12265-2026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46222</v>
      </c>
      <c r="F310" t="inlineStr">
        <is>
          <t>DALARNAS LÄN</t>
        </is>
      </c>
      <c r="G310" t="inlineStr">
        <is>
          <t>SÄTER</t>
        </is>
      </c>
      <c r="H310" t="inlineStr">
        <is>
          <t>Kommuner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38521-2024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46222</v>
      </c>
      <c r="F311" t="inlineStr">
        <is>
          <t>DALARNAS LÄN</t>
        </is>
      </c>
      <c r="G311" t="inlineStr">
        <is>
          <t>SÄTER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51474-2024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46222</v>
      </c>
      <c r="F312" t="inlineStr">
        <is>
          <t>DALARNAS LÄN</t>
        </is>
      </c>
      <c r="G312" t="inlineStr">
        <is>
          <t>SÄTER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12957-2022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44643</v>
      </c>
      <c r="E313" s="1" t="n">
        <v>46222</v>
      </c>
      <c r="F313" t="inlineStr">
        <is>
          <t>DALARNAS LÄN</t>
        </is>
      </c>
      <c r="G313" t="inlineStr">
        <is>
          <t>SÄTER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23679-2026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46164</v>
      </c>
      <c r="E314" s="1" t="n">
        <v>46222</v>
      </c>
      <c r="F314" t="inlineStr">
        <is>
          <t>DALARNAS LÄN</t>
        </is>
      </c>
      <c r="G314" t="inlineStr">
        <is>
          <t>SÄTER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23737-2026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46222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57430-2022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46222</v>
      </c>
      <c r="F316" t="inlineStr">
        <is>
          <t>DALARNAS LÄN</t>
        </is>
      </c>
      <c r="G316" t="inlineStr">
        <is>
          <t>SÄTER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14168-2025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46222</v>
      </c>
      <c r="F317" t="inlineStr">
        <is>
          <t>DALARNAS LÄN</t>
        </is>
      </c>
      <c r="G317" t="inlineStr">
        <is>
          <t>SÄTER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23735-2026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46222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23736-2026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46222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23736-2026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46222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23547-2026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46222</v>
      </c>
      <c r="F321" t="inlineStr">
        <is>
          <t>DALARNAS LÄN</t>
        </is>
      </c>
      <c r="G321" t="inlineStr">
        <is>
          <t>SÄTER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30515-2026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46222</v>
      </c>
      <c r="F322" t="inlineStr">
        <is>
          <t>DALARNAS LÄN</t>
        </is>
      </c>
      <c r="G322" t="inlineStr">
        <is>
          <t>SÄTER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24376-2026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46222</v>
      </c>
      <c r="F323" t="inlineStr">
        <is>
          <t>DALARNAS LÄN</t>
        </is>
      </c>
      <c r="G323" t="inlineStr">
        <is>
          <t>SÄTER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11164-2023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46222</v>
      </c>
      <c r="F324" t="inlineStr">
        <is>
          <t>DALARNAS LÄN</t>
        </is>
      </c>
      <c r="G324" t="inlineStr">
        <is>
          <t>SÄTER</t>
        </is>
      </c>
      <c r="I324" t="n">
        <v>7.6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34990-2024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46222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34991-2024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46222</v>
      </c>
      <c r="F326" t="inlineStr">
        <is>
          <t>DALARNAS LÄN</t>
        </is>
      </c>
      <c r="G326" t="inlineStr">
        <is>
          <t>SÄTER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30706-2026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46222</v>
      </c>
      <c r="F327" t="inlineStr">
        <is>
          <t>DALARNAS LÄN</t>
        </is>
      </c>
      <c r="G327" t="inlineStr">
        <is>
          <t>SÄTER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50187-2024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46222</v>
      </c>
      <c r="F328" t="inlineStr">
        <is>
          <t>DALARNAS LÄN</t>
        </is>
      </c>
      <c r="G328" t="inlineStr">
        <is>
          <t>SÄTER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16834-2024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46222</v>
      </c>
      <c r="F329" t="inlineStr">
        <is>
          <t>DALARNAS LÄN</t>
        </is>
      </c>
      <c r="G329" t="inlineStr">
        <is>
          <t>SÄTER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56827-2024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46222</v>
      </c>
      <c r="F330" t="inlineStr">
        <is>
          <t>DALARNAS LÄN</t>
        </is>
      </c>
      <c r="G330" t="inlineStr">
        <is>
          <t>SÄTER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25033-2026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46222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44982</v>
      </c>
      <c r="E332" s="1" t="n">
        <v>46222</v>
      </c>
      <c r="F332" t="inlineStr">
        <is>
          <t>DALARNAS LÄN</t>
        </is>
      </c>
      <c r="G332" t="inlineStr">
        <is>
          <t>SÄTER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62368-2023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45268</v>
      </c>
      <c r="E333" s="1" t="n">
        <v>46222</v>
      </c>
      <c r="F333" t="inlineStr">
        <is>
          <t>DALARNAS LÄN</t>
        </is>
      </c>
      <c r="G333" t="inlineStr">
        <is>
          <t>SÄTER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39487-2022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44817</v>
      </c>
      <c r="E334" s="1" t="n">
        <v>46222</v>
      </c>
      <c r="F334" t="inlineStr">
        <is>
          <t>DALARNAS LÄN</t>
        </is>
      </c>
      <c r="G334" t="inlineStr">
        <is>
          <t>SÄTER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21766-2024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45442</v>
      </c>
      <c r="E335" s="1" t="n">
        <v>46222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46222</v>
      </c>
      <c r="F336" t="inlineStr">
        <is>
          <t>DALARNAS LÄN</t>
        </is>
      </c>
      <c r="G336" t="inlineStr">
        <is>
          <t>SÄTER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32892-2022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44784</v>
      </c>
      <c r="E337" s="1" t="n">
        <v>46222</v>
      </c>
      <c r="F337" t="inlineStr">
        <is>
          <t>DALARNAS LÄN</t>
        </is>
      </c>
      <c r="G337" t="inlineStr">
        <is>
          <t>SÄTER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32904-2022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44784</v>
      </c>
      <c r="E338" s="1" t="n">
        <v>46222</v>
      </c>
      <c r="F338" t="inlineStr">
        <is>
          <t>DALARNAS LÄN</t>
        </is>
      </c>
      <c r="G338" t="inlineStr">
        <is>
          <t>SÄTER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34993-2024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46222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62533-2023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46222</v>
      </c>
      <c r="F340" t="inlineStr">
        <is>
          <t>DALARNAS LÄN</t>
        </is>
      </c>
      <c r="G340" t="inlineStr">
        <is>
          <t>SÄTER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34652-2024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45526</v>
      </c>
      <c r="E341" s="1" t="n">
        <v>46222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37923-2022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44811</v>
      </c>
      <c r="E342" s="1" t="n">
        <v>46222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8697-2023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44978</v>
      </c>
      <c r="E343" s="1" t="n">
        <v>46222</v>
      </c>
      <c r="F343" t="inlineStr">
        <is>
          <t>DALARNAS LÄN</t>
        </is>
      </c>
      <c r="G343" t="inlineStr">
        <is>
          <t>SÄTER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7188-2023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44965</v>
      </c>
      <c r="E344" s="1" t="n">
        <v>46222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42225-2022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46222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10406-2024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46222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51333-2024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45604</v>
      </c>
      <c r="E347" s="1" t="n">
        <v>46222</v>
      </c>
      <c r="F347" t="inlineStr">
        <is>
          <t>DALARNAS LÄN</t>
        </is>
      </c>
      <c r="G347" t="inlineStr">
        <is>
          <t>SÄTER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41643-2023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46222</v>
      </c>
      <c r="F348" t="inlineStr">
        <is>
          <t>DALARNAS LÄN</t>
        </is>
      </c>
      <c r="G348" t="inlineStr">
        <is>
          <t>SÄTER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46222</v>
      </c>
      <c r="F349" t="inlineStr">
        <is>
          <t>DALARNAS LÄN</t>
        </is>
      </c>
      <c r="G349" t="inlineStr">
        <is>
          <t>SÄTER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  <c r="X349">
        <f>HYPERLINK("https://klasma.github.io/Logging_2082/knärot/A 498-2025 karta knärot.png", "A 498-2025")</f>
        <v/>
      </c>
      <c r="Y349">
        <f>HYPERLINK("https://klasma.github.io/Logging_2082/klagomål/A 498-2025 FSC-klagomål.docx", "A 498-2025")</f>
        <v/>
      </c>
      <c r="Z349">
        <f>HYPERLINK("https://klasma.github.io/Logging_2082/klagomålsmail/A 498-2025 FSC-klagomål mail.docx", "A 498-2025")</f>
        <v/>
      </c>
      <c r="AA349">
        <f>HYPERLINK("https://klasma.github.io/Logging_2082/tillsyn/A 498-2025 tillsynsbegäran.docx", "A 498-2025")</f>
        <v/>
      </c>
      <c r="AB349">
        <f>HYPERLINK("https://klasma.github.io/Logging_2082/tillsynsmail/A 498-2025 tillsynsbegäran mail.docx", "A 498-2025")</f>
        <v/>
      </c>
    </row>
    <row r="350" ht="15" customHeight="1">
      <c r="A350" t="inlineStr">
        <is>
          <t>A 61344-2023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45264</v>
      </c>
      <c r="E350" s="1" t="n">
        <v>46222</v>
      </c>
      <c r="F350" t="inlineStr">
        <is>
          <t>DALARNAS LÄN</t>
        </is>
      </c>
      <c r="G350" t="inlineStr">
        <is>
          <t>SÄTER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54312-2023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46222</v>
      </c>
      <c r="F351" t="inlineStr">
        <is>
          <t>DALARNAS LÄN</t>
        </is>
      </c>
      <c r="G351" t="inlineStr">
        <is>
          <t>SÄTER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41471-2023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45171</v>
      </c>
      <c r="E352" s="1" t="n">
        <v>46222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49684-2024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46222</v>
      </c>
      <c r="F353" t="inlineStr">
        <is>
          <t>DALARNAS LÄN</t>
        </is>
      </c>
      <c r="G353" t="inlineStr">
        <is>
          <t>SÄTER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21583-2025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46222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19322-2024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46222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19767-2024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46222</v>
      </c>
      <c r="F356" t="inlineStr">
        <is>
          <t>DALARNAS LÄN</t>
        </is>
      </c>
      <c r="G356" t="inlineStr">
        <is>
          <t>SÄTER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46222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6640-2025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45700</v>
      </c>
      <c r="E358" s="1" t="n">
        <v>46222</v>
      </c>
      <c r="F358" t="inlineStr">
        <is>
          <t>DALARNAS LÄN</t>
        </is>
      </c>
      <c r="G358" t="inlineStr">
        <is>
          <t>SÄTER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45666</v>
      </c>
      <c r="E359" s="1" t="n">
        <v>46222</v>
      </c>
      <c r="F359" t="inlineStr">
        <is>
          <t>DALARNAS LÄN</t>
        </is>
      </c>
      <c r="G359" t="inlineStr">
        <is>
          <t>SÄTER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10404-2024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45365</v>
      </c>
      <c r="E360" s="1" t="n">
        <v>46222</v>
      </c>
      <c r="F360" t="inlineStr">
        <is>
          <t>DALARNAS LÄN</t>
        </is>
      </c>
      <c r="G360" t="inlineStr">
        <is>
          <t>SÄTER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21911-2024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46222</v>
      </c>
      <c r="F361" t="inlineStr">
        <is>
          <t>DALARNAS LÄN</t>
        </is>
      </c>
      <c r="G361" t="inlineStr">
        <is>
          <t>SÄTER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33482-2023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46222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25294-2024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45462</v>
      </c>
      <c r="E363" s="1" t="n">
        <v>46222</v>
      </c>
      <c r="F363" t="inlineStr">
        <is>
          <t>DALARNAS LÄN</t>
        </is>
      </c>
      <c r="G363" t="inlineStr">
        <is>
          <t>SÄTER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12285-2024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46222</v>
      </c>
      <c r="F364" t="inlineStr">
        <is>
          <t>DALARNAS LÄN</t>
        </is>
      </c>
      <c r="G364" t="inlineStr">
        <is>
          <t>SÄTER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45804</v>
      </c>
      <c r="E365" s="1" t="n">
        <v>46222</v>
      </c>
      <c r="F365" t="inlineStr">
        <is>
          <t>DALARNAS LÄN</t>
        </is>
      </c>
      <c r="G365" t="inlineStr">
        <is>
          <t>SÄTER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46222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46222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46222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46222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46222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46222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46222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46222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46222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2026-07-19T01:32:33Z</dcterms:created>
  <dcterms:modified xmlns:dcterms="http://purl.org/dc/terms/" xmlns:xsi="http://www.w3.org/2001/XMLSchema-instance" xsi:type="dcterms:W3CDTF">2026-07-19T01:32:34Z</dcterms:modified>
</cp:coreProperties>
</file>