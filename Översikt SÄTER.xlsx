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46269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46269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46269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46269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46269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46269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570-2024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45299</v>
      </c>
      <c r="E20" s="1" t="n">
        <v>46269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2.8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Motaggsvamp
Svavelriska</t>
        </is>
      </c>
      <c r="W20">
        <f>HYPERLINK("https://klasma.github.io/Logging_2082/artfynd/A 570-2024 artfynd.xlsx", "A 570-2024")</f>
        <v/>
      </c>
      <c r="X20">
        <f>HYPERLINK("https://klasma.github.io/Logging_2082/kartor/A 570-2024 karta.png", "A 570-2024")</f>
        <v/>
      </c>
      <c r="Y20">
        <f>HYPERLINK("https://klasma.github.io/Logging_2082/kartor_geotiff/A 570-2024 georefererad karta.tif", "A 570-2024")</f>
        <v/>
      </c>
      <c r="AA20">
        <f>HYPERLINK("https://klasma.github.io/Logging_2082/klagomål/A 570-2024 FSC-klagomål.docx", "A 570-2024")</f>
        <v/>
      </c>
      <c r="AB20">
        <f>HYPERLINK("https://klasma.github.io/Logging_2082/klagomålsmail/A 570-2024 FSC-klagomål mail.docx", "A 570-2024")</f>
        <v/>
      </c>
      <c r="AC20">
        <f>HYPERLINK("https://klasma.github.io/Logging_2082/tillsyn/A 570-2024 tillsynsbegäran.docx", "A 570-2024")</f>
        <v/>
      </c>
      <c r="AD20">
        <f>HYPERLINK("https://klasma.github.io/Logging_2082/tillsynsmail/A 570-2024 tillsynsbegäran mail.docx", "A 570-2024")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46269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46269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46269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46269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46269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46269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46269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46269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32383-2022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46269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4.1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HYPERLINK("https://klasma.github.io/Logging_2082/artfynd/A 32383-2022 artfynd.xlsx", "A 32383-2022")</f>
        <v/>
      </c>
      <c r="X29">
        <f>HYPERLINK("https://klasma.github.io/Logging_2082/kartor/A 32383-2022 karta.png", "A 32383-2022")</f>
        <v/>
      </c>
      <c r="Y29">
        <f>HYPERLINK("https://klasma.github.io/Logging_2082/kartor_geotiff/A 32383-2022 georefererad karta.tif", "A 32383-2022")</f>
        <v/>
      </c>
      <c r="Z29">
        <f>HYPERLINK("https://klasma.github.io/Logging_2082/knärot/A 32383-2022 karta knärot.png", "A 32383-2022")</f>
        <v/>
      </c>
      <c r="AA29">
        <f>HYPERLINK("https://klasma.github.io/Logging_2082/klagomål/A 32383-2022 FSC-klagomål.docx", "A 32383-2022")</f>
        <v/>
      </c>
      <c r="AB29">
        <f>HYPERLINK("https://klasma.github.io/Logging_2082/klagomålsmail/A 32383-2022 FSC-klagomål mail.docx", "A 32383-2022")</f>
        <v/>
      </c>
      <c r="AC29">
        <f>HYPERLINK("https://klasma.github.io/Logging_2082/tillsyn/A 32383-2022 tillsynsbegäran.docx", "A 32383-2022")</f>
        <v/>
      </c>
      <c r="AD29">
        <f>HYPERLINK("https://klasma.github.io/Logging_2082/tillsynsmail/A 32383-2022 tillsynsbegäran mail.docx", "A 32383-2022")</f>
        <v/>
      </c>
    </row>
    <row r="30" ht="15" customHeight="1">
      <c r="A30" t="inlineStr">
        <is>
          <t>A 34938-2025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46269</v>
      </c>
      <c r="F30" t="inlineStr">
        <is>
          <t>DALARNAS LÄN</t>
        </is>
      </c>
      <c r="G30" t="inlineStr">
        <is>
          <t>SÄTER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HYPERLINK("https://klasma.github.io/Logging_2082/artfynd/A 34938-2025 artfynd.xlsx", "A 34938-2025")</f>
        <v/>
      </c>
      <c r="X30">
        <f>HYPERLINK("https://klasma.github.io/Logging_2082/kartor/A 34938-2025 karta.png", "A 34938-2025")</f>
        <v/>
      </c>
      <c r="Y30">
        <f>HYPERLINK("https://klasma.github.io/Logging_2082/kartor_geotiff/A 34938-2025 georefererad karta.tif", "A 34938-2025")</f>
        <v/>
      </c>
      <c r="AA30">
        <f>HYPERLINK("https://klasma.github.io/Logging_2082/klagomål/A 34938-2025 FSC-klagomål.docx", "A 34938-2025")</f>
        <v/>
      </c>
      <c r="AB30">
        <f>HYPERLINK("https://klasma.github.io/Logging_2082/klagomålsmail/A 34938-2025 FSC-klagomål mail.docx", "A 34938-2025")</f>
        <v/>
      </c>
      <c r="AC30">
        <f>HYPERLINK("https://klasma.github.io/Logging_2082/tillsyn/A 34938-2025 tillsynsbegäran.docx", "A 34938-2025")</f>
        <v/>
      </c>
      <c r="AD30">
        <f>HYPERLINK("https://klasma.github.io/Logging_2082/tillsynsmail/A 34938-2025 tillsynsbegäran mail.docx", "A 34938-2025")</f>
        <v/>
      </c>
    </row>
    <row r="31" ht="15" customHeight="1">
      <c r="A31" t="inlineStr">
        <is>
          <t>A 35221-2025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45853</v>
      </c>
      <c r="E31" s="1" t="n">
        <v>46269</v>
      </c>
      <c r="F31" t="inlineStr">
        <is>
          <t>DALARNAS LÄN</t>
        </is>
      </c>
      <c r="G31" t="inlineStr">
        <is>
          <t>SÄTER</t>
        </is>
      </c>
      <c r="I31" t="n">
        <v>9.5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Vedskivlav</t>
        </is>
      </c>
      <c r="W31">
        <f>HYPERLINK("https://klasma.github.io/Logging_2082/artfynd/A 35221-2025 artfynd.xlsx", "A 35221-2025")</f>
        <v/>
      </c>
      <c r="X31">
        <f>HYPERLINK("https://klasma.github.io/Logging_2082/kartor/A 35221-2025 karta.png", "A 35221-2025")</f>
        <v/>
      </c>
      <c r="Y31">
        <f>HYPERLINK("https://klasma.github.io/Logging_2082/kartor_geotiff/A 35221-2025 georefererad karta.tif", "A 35221-2025")</f>
        <v/>
      </c>
      <c r="AA31">
        <f>HYPERLINK("https://klasma.github.io/Logging_2082/klagomål/A 35221-2025 FSC-klagomål.docx", "A 35221-2025")</f>
        <v/>
      </c>
      <c r="AB31">
        <f>HYPERLINK("https://klasma.github.io/Logging_2082/klagomålsmail/A 35221-2025 FSC-klagomål mail.docx", "A 35221-2025")</f>
        <v/>
      </c>
      <c r="AC31">
        <f>HYPERLINK("https://klasma.github.io/Logging_2082/tillsyn/A 35221-2025 tillsynsbegäran.docx", "A 35221-2025")</f>
        <v/>
      </c>
      <c r="AD31">
        <f>HYPERLINK("https://klasma.github.io/Logging_2082/tillsynsmail/A 35221-2025 tillsynsbegäran mail.docx", "A 35221-2025")</f>
        <v/>
      </c>
    </row>
    <row r="32" ht="15" customHeight="1">
      <c r="A32" t="inlineStr">
        <is>
          <t>A 9682-2025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46269</v>
      </c>
      <c r="F32" t="inlineStr">
        <is>
          <t>DALARNAS LÄN</t>
        </is>
      </c>
      <c r="G32" t="inlineStr">
        <is>
          <t>SÄTER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Ögonpyrola</t>
        </is>
      </c>
      <c r="W32">
        <f>HYPERLINK("https://klasma.github.io/Logging_2082/artfynd/A 9682-2025 artfynd.xlsx", "A 9682-2025")</f>
        <v/>
      </c>
      <c r="X32">
        <f>HYPERLINK("https://klasma.github.io/Logging_2082/kartor/A 9682-2025 karta.png", "A 9682-2025")</f>
        <v/>
      </c>
      <c r="Y32">
        <f>HYPERLINK("https://klasma.github.io/Logging_2082/kartor_geotiff/A 9682-2025 georefererad karta.tif", "A 9682-2025")</f>
        <v/>
      </c>
      <c r="AA32">
        <f>HYPERLINK("https://klasma.github.io/Logging_2082/klagomål/A 9682-2025 FSC-klagomål.docx", "A 9682-2025")</f>
        <v/>
      </c>
      <c r="AB32">
        <f>HYPERLINK("https://klasma.github.io/Logging_2082/klagomålsmail/A 9682-2025 FSC-klagomål mail.docx", "A 9682-2025")</f>
        <v/>
      </c>
      <c r="AC32">
        <f>HYPERLINK("https://klasma.github.io/Logging_2082/tillsyn/A 9682-2025 tillsynsbegäran.docx", "A 9682-2025")</f>
        <v/>
      </c>
      <c r="AD32">
        <f>HYPERLINK("https://klasma.github.io/Logging_2082/tillsynsmail/A 9682-2025 tillsynsbegäran mail.docx", "A 9682-2025")</f>
        <v/>
      </c>
    </row>
    <row r="33" ht="15" customHeight="1">
      <c r="A33" t="inlineStr">
        <is>
          <t>A 39406-2024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45551</v>
      </c>
      <c r="E33" s="1" t="n">
        <v>46269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Sotriska</t>
        </is>
      </c>
      <c r="W33">
        <f>HYPERLINK("https://klasma.github.io/Logging_2082/artfynd/A 39406-2024 artfynd.xlsx", "A 39406-2024")</f>
        <v/>
      </c>
      <c r="X33">
        <f>HYPERLINK("https://klasma.github.io/Logging_2082/kartor/A 39406-2024 karta.png", "A 39406-2024")</f>
        <v/>
      </c>
      <c r="Y33">
        <f>HYPERLINK("https://klasma.github.io/Logging_2082/kartor_geotiff/A 39406-2024 georefererad karta.tif", "A 39406-2024")</f>
        <v/>
      </c>
      <c r="AA33">
        <f>HYPERLINK("https://klasma.github.io/Logging_2082/klagomål/A 39406-2024 FSC-klagomål.docx", "A 39406-2024")</f>
        <v/>
      </c>
      <c r="AB33">
        <f>HYPERLINK("https://klasma.github.io/Logging_2082/klagomålsmail/A 39406-2024 FSC-klagomål mail.docx", "A 39406-2024")</f>
        <v/>
      </c>
      <c r="AC33">
        <f>HYPERLINK("https://klasma.github.io/Logging_2082/tillsyn/A 39406-2024 tillsynsbegäran.docx", "A 39406-2024")</f>
        <v/>
      </c>
      <c r="AD33">
        <f>HYPERLINK("https://klasma.github.io/Logging_2082/tillsynsmail/A 39406-2024 tillsynsbegäran mail.docx", "A 39406-2024")</f>
        <v/>
      </c>
    </row>
    <row r="34" ht="15" customHeight="1">
      <c r="A34" t="inlineStr">
        <is>
          <t>A 57427-2022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44896</v>
      </c>
      <c r="E34" s="1" t="n">
        <v>46269</v>
      </c>
      <c r="F34" t="inlineStr">
        <is>
          <t>DALARNAS LÄN</t>
        </is>
      </c>
      <c r="G34" t="inlineStr">
        <is>
          <t>SÄTER</t>
        </is>
      </c>
      <c r="I34" t="n">
        <v>3.3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HYPERLINK("https://klasma.github.io/Logging_2082/artfynd/A 57427-2022 artfynd.xlsx", "A 57427-2022")</f>
        <v/>
      </c>
      <c r="X34">
        <f>HYPERLINK("https://klasma.github.io/Logging_2082/kartor/A 57427-2022 karta.png", "A 57427-2022")</f>
        <v/>
      </c>
      <c r="Y34">
        <f>HYPERLINK("https://klasma.github.io/Logging_2082/kartor_geotiff/A 57427-2022 georefererad karta.tif", "A 57427-2022")</f>
        <v/>
      </c>
      <c r="AA34">
        <f>HYPERLINK("https://klasma.github.io/Logging_2082/klagomål/A 57427-2022 FSC-klagomål.docx", "A 57427-2022")</f>
        <v/>
      </c>
      <c r="AB34">
        <f>HYPERLINK("https://klasma.github.io/Logging_2082/klagomålsmail/A 57427-2022 FSC-klagomål mail.docx", "A 57427-2022")</f>
        <v/>
      </c>
      <c r="AC34">
        <f>HYPERLINK("https://klasma.github.io/Logging_2082/tillsyn/A 57427-2022 tillsynsbegäran.docx", "A 57427-2022")</f>
        <v/>
      </c>
      <c r="AD34">
        <f>HYPERLINK("https://klasma.github.io/Logging_2082/tillsynsmail/A 57427-2022 tillsynsbegäran mail.docx", "A 57427-2022")</f>
        <v/>
      </c>
    </row>
    <row r="35" ht="15" customHeight="1">
      <c r="A35" t="inlineStr">
        <is>
          <t>A 5232-2022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44594</v>
      </c>
      <c r="E35" s="1" t="n">
        <v>46269</v>
      </c>
      <c r="F35" t="inlineStr">
        <is>
          <t>DALARNAS LÄN</t>
        </is>
      </c>
      <c r="G35" t="inlineStr">
        <is>
          <t>SÄTER</t>
        </is>
      </c>
      <c r="I35" t="n">
        <v>2.5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Tvåblad</t>
        </is>
      </c>
      <c r="W35">
        <f>HYPERLINK("https://klasma.github.io/Logging_2082/artfynd/A 5232-2022 artfynd.xlsx", "A 5232-2022")</f>
        <v/>
      </c>
      <c r="X35">
        <f>HYPERLINK("https://klasma.github.io/Logging_2082/kartor/A 5232-2022 karta.png", "A 5232-2022")</f>
        <v/>
      </c>
      <c r="Y35">
        <f>HYPERLINK("https://klasma.github.io/Logging_2082/kartor_geotiff/A 5232-2022 georefererad karta.tif", "A 5232-2022")</f>
        <v/>
      </c>
      <c r="AA35">
        <f>HYPERLINK("https://klasma.github.io/Logging_2082/klagomål/A 5232-2022 FSC-klagomål.docx", "A 5232-2022")</f>
        <v/>
      </c>
      <c r="AB35">
        <f>HYPERLINK("https://klasma.github.io/Logging_2082/klagomålsmail/A 5232-2022 FSC-klagomål mail.docx", "A 5232-2022")</f>
        <v/>
      </c>
      <c r="AC35">
        <f>HYPERLINK("https://klasma.github.io/Logging_2082/tillsyn/A 5232-2022 tillsynsbegäran.docx", "A 5232-2022")</f>
        <v/>
      </c>
      <c r="AD35">
        <f>HYPERLINK("https://klasma.github.io/Logging_2082/tillsynsmail/A 5232-2022 tillsynsbegäran mail.docx", "A 5232-2022")</f>
        <v/>
      </c>
    </row>
    <row r="36" ht="15" customHeight="1">
      <c r="A36" t="inlineStr">
        <is>
          <t>A 44992-2024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45575</v>
      </c>
      <c r="E36" s="1" t="n">
        <v>46269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HYPERLINK("https://klasma.github.io/Logging_2082/artfynd/A 44992-2024 artfynd.xlsx", "A 44992-2024")</f>
        <v/>
      </c>
      <c r="X36">
        <f>HYPERLINK("https://klasma.github.io/Logging_2082/kartor/A 44992-2024 karta.png", "A 44992-2024")</f>
        <v/>
      </c>
      <c r="Y36">
        <f>HYPERLINK("https://klasma.github.io/Logging_2082/kartor_geotiff/A 44992-2024 georefererad karta.tif", "A 44992-2024")</f>
        <v/>
      </c>
      <c r="AA36">
        <f>HYPERLINK("https://klasma.github.io/Logging_2082/klagomål/A 44992-2024 FSC-klagomål.docx", "A 44992-2024")</f>
        <v/>
      </c>
      <c r="AB36">
        <f>HYPERLINK("https://klasma.github.io/Logging_2082/klagomålsmail/A 44992-2024 FSC-klagomål mail.docx", "A 44992-2024")</f>
        <v/>
      </c>
      <c r="AC36">
        <f>HYPERLINK("https://klasma.github.io/Logging_2082/tillsyn/A 44992-2024 tillsynsbegäran.docx", "A 44992-2024")</f>
        <v/>
      </c>
      <c r="AD36">
        <f>HYPERLINK("https://klasma.github.io/Logging_2082/tillsynsmail/A 44992-2024 tillsynsbegäran mail.docx", "A 44992-2024")</f>
        <v/>
      </c>
    </row>
    <row r="37" ht="15" customHeight="1">
      <c r="A37" t="inlineStr">
        <is>
          <t>A 47661-2025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46269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Järnsparv</t>
        </is>
      </c>
      <c r="W37">
        <f>HYPERLINK("https://klasma.github.io/Logging_2082/artfynd/A 47661-2025 artfynd.xlsx", "A 47661-2025")</f>
        <v/>
      </c>
      <c r="X37">
        <f>HYPERLINK("https://klasma.github.io/Logging_2082/kartor/A 47661-2025 karta.png", "A 47661-2025")</f>
        <v/>
      </c>
      <c r="Y37">
        <f>HYPERLINK("https://klasma.github.io/Logging_2082/kartor_geotiff/A 47661-2025 georefererad karta.tif", "A 47661-2025")</f>
        <v/>
      </c>
      <c r="AA37">
        <f>HYPERLINK("https://klasma.github.io/Logging_2082/klagomål/A 47661-2025 FSC-klagomål.docx", "A 47661-2025")</f>
        <v/>
      </c>
      <c r="AB37">
        <f>HYPERLINK("https://klasma.github.io/Logging_2082/klagomålsmail/A 47661-2025 FSC-klagomål mail.docx", "A 47661-2025")</f>
        <v/>
      </c>
      <c r="AC37">
        <f>HYPERLINK("https://klasma.github.io/Logging_2082/tillsyn/A 47661-2025 tillsynsbegäran.docx", "A 47661-2025")</f>
        <v/>
      </c>
      <c r="AD37">
        <f>HYPERLINK("https://klasma.github.io/Logging_2082/tillsynsmail/A 47661-2025 tillsynsbegäran mail.docx", "A 47661-2025")</f>
        <v/>
      </c>
      <c r="AE37">
        <f>HYPERLINK("https://klasma.github.io/Logging_2082/fåglar/A 47661-2025 prioriterade fågelarter.docx", "A 47661-2025")</f>
        <v/>
      </c>
    </row>
    <row r="38" ht="15" customHeight="1">
      <c r="A38" t="inlineStr">
        <is>
          <t>A 21120-2026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46269</v>
      </c>
      <c r="F38" t="inlineStr">
        <is>
          <t>DALARNAS LÄN</t>
        </is>
      </c>
      <c r="G38" t="inlineStr">
        <is>
          <t>SÄTER</t>
        </is>
      </c>
      <c r="I38" t="n">
        <v>4.8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HYPERLINK("https://klasma.github.io/Logging_2082/artfynd/A 21120-2026 artfynd.xlsx", "A 21120-2026")</f>
        <v/>
      </c>
      <c r="X38">
        <f>HYPERLINK("https://klasma.github.io/Logging_2082/kartor/A 21120-2026 karta.png", "A 21120-2026")</f>
        <v/>
      </c>
      <c r="Y38">
        <f>HYPERLINK("https://klasma.github.io/Logging_2082/kartor_geotiff/A 21120-2026 georefererad karta.tif", "A 21120-2026")</f>
        <v/>
      </c>
      <c r="Z38">
        <f>HYPERLINK("https://klasma.github.io/Logging_2082/knärot/A 21120-2026 karta knärot.png", "A 21120-2026")</f>
        <v/>
      </c>
      <c r="AA38">
        <f>HYPERLINK("https://klasma.github.io/Logging_2082/klagomål/A 21120-2026 FSC-klagomål.docx", "A 21120-2026")</f>
        <v/>
      </c>
      <c r="AB38">
        <f>HYPERLINK("https://klasma.github.io/Logging_2082/klagomålsmail/A 21120-2026 FSC-klagomål mail.docx", "A 21120-2026")</f>
        <v/>
      </c>
      <c r="AC38">
        <f>HYPERLINK("https://klasma.github.io/Logging_2082/tillsyn/A 21120-2026 tillsynsbegäran.docx", "A 21120-2026")</f>
        <v/>
      </c>
      <c r="AD38">
        <f>HYPERLINK("https://klasma.github.io/Logging_2082/tillsynsmail/A 21120-2026 tillsynsbegäran mail.docx", "A 21120-2026")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46269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49653-2025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46269</v>
      </c>
      <c r="F40" t="inlineStr">
        <is>
          <t>DALARNAS LÄN</t>
        </is>
      </c>
      <c r="G40" t="inlineStr">
        <is>
          <t>SÄTER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49653-2025 artfynd.xlsx", "A 49653-2025")</f>
        <v/>
      </c>
      <c r="X40">
        <f>HYPERLINK("https://klasma.github.io/Logging_2082/kartor/A 49653-2025 karta.png", "A 49653-2025")</f>
        <v/>
      </c>
      <c r="Y40">
        <f>HYPERLINK("https://klasma.github.io/Logging_2082/kartor_geotiff/A 49653-2025 georefererad karta.tif", "A 49653-2025")</f>
        <v/>
      </c>
      <c r="AA40">
        <f>HYPERLINK("https://klasma.github.io/Logging_2082/klagomål/A 49653-2025 FSC-klagomål.docx", "A 49653-2025")</f>
        <v/>
      </c>
      <c r="AB40">
        <f>HYPERLINK("https://klasma.github.io/Logging_2082/klagomålsmail/A 49653-2025 FSC-klagomål mail.docx", "A 49653-2025")</f>
        <v/>
      </c>
      <c r="AC40">
        <f>HYPERLINK("https://klasma.github.io/Logging_2082/tillsyn/A 49653-2025 tillsynsbegäran.docx", "A 49653-2025")</f>
        <v/>
      </c>
      <c r="AD40">
        <f>HYPERLINK("https://klasma.github.io/Logging_2082/tillsynsmail/A 49653-2025 tillsynsbegäran mail.docx", "A 49653-2025")</f>
        <v/>
      </c>
    </row>
    <row r="41" ht="15" customHeight="1">
      <c r="A41" t="inlineStr">
        <is>
          <t>A 47064-2021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46269</v>
      </c>
      <c r="F41" t="inlineStr">
        <is>
          <t>DALARNAS LÄN</t>
        </is>
      </c>
      <c r="G41" t="inlineStr">
        <is>
          <t>SÄTER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HYPERLINK("https://klasma.github.io/Logging_2082/artfynd/A 47064-2021 artfynd.xlsx", "A 47064-2021")</f>
        <v/>
      </c>
      <c r="X41">
        <f>HYPERLINK("https://klasma.github.io/Logging_2082/kartor/A 47064-2021 karta.png", "A 47064-2021")</f>
        <v/>
      </c>
      <c r="Y41">
        <f>HYPERLINK("https://klasma.github.io/Logging_2082/kartor_geotiff/A 47064-2021 georefererad karta.tif", "A 47064-2021")</f>
        <v/>
      </c>
      <c r="AA41">
        <f>HYPERLINK("https://klasma.github.io/Logging_2082/klagomål/A 47064-2021 FSC-klagomål.docx", "A 47064-2021")</f>
        <v/>
      </c>
      <c r="AB41">
        <f>HYPERLINK("https://klasma.github.io/Logging_2082/klagomålsmail/A 47064-2021 FSC-klagomål mail.docx", "A 47064-2021")</f>
        <v/>
      </c>
      <c r="AC41">
        <f>HYPERLINK("https://klasma.github.io/Logging_2082/tillsyn/A 47064-2021 tillsynsbegäran.docx", "A 47064-2021")</f>
        <v/>
      </c>
      <c r="AD41">
        <f>HYPERLINK("https://klasma.github.io/Logging_2082/tillsynsmail/A 47064-2021 tillsynsbegäran mail.docx", "A 47064-2021")</f>
        <v/>
      </c>
      <c r="AE41">
        <f>HYPERLINK("https://klasma.github.io/Logging_2082/fåglar/A 47064-2021 prioriterade fågelarter.docx", "A 47064-2021")</f>
        <v/>
      </c>
    </row>
    <row r="42" ht="15" customHeight="1">
      <c r="A42" t="inlineStr">
        <is>
          <t>A 36939-2025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45874</v>
      </c>
      <c r="E42" s="1" t="n">
        <v>46269</v>
      </c>
      <c r="F42" t="inlineStr">
        <is>
          <t>DALARNAS LÄN</t>
        </is>
      </c>
      <c r="G42" t="inlineStr">
        <is>
          <t>SÄTER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Slaguggla</t>
        </is>
      </c>
      <c r="W42">
        <f>HYPERLINK("https://klasma.github.io/Logging_2082/artfynd/A 36939-2025 artfynd.xlsx", "A 36939-2025")</f>
        <v/>
      </c>
      <c r="X42">
        <f>HYPERLINK("https://klasma.github.io/Logging_2082/kartor/A 36939-2025 karta.png", "A 36939-2025")</f>
        <v/>
      </c>
      <c r="Y42">
        <f>HYPERLINK("https://klasma.github.io/Logging_2082/kartor_geotiff/A 36939-2025 georefererad karta.tif", "A 36939-2025")</f>
        <v/>
      </c>
      <c r="AA42">
        <f>HYPERLINK("https://klasma.github.io/Logging_2082/klagomål/A 36939-2025 FSC-klagomål.docx", "A 36939-2025")</f>
        <v/>
      </c>
      <c r="AB42">
        <f>HYPERLINK("https://klasma.github.io/Logging_2082/klagomålsmail/A 36939-2025 FSC-klagomål mail.docx", "A 36939-2025")</f>
        <v/>
      </c>
      <c r="AC42">
        <f>HYPERLINK("https://klasma.github.io/Logging_2082/tillsyn/A 36939-2025 tillsynsbegäran.docx", "A 36939-2025")</f>
        <v/>
      </c>
      <c r="AD42">
        <f>HYPERLINK("https://klasma.github.io/Logging_2082/tillsynsmail/A 36939-2025 tillsynsbegäran mail.docx", "A 36939-2025")</f>
        <v/>
      </c>
      <c r="AE42">
        <f>HYPERLINK("https://klasma.github.io/Logging_2082/fåglar/A 36939-2025 prioriterade fågelarter.docx", "A 36939-2025")</f>
        <v/>
      </c>
    </row>
    <row r="43" ht="15" customHeight="1">
      <c r="A43" t="inlineStr">
        <is>
          <t>A 27715-2023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45098</v>
      </c>
      <c r="E43" s="1" t="n">
        <v>46269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HYPERLINK("https://klasma.github.io/Logging_2082/artfynd/A 27715-2023 artfynd.xlsx", "A 27715-2023")</f>
        <v/>
      </c>
      <c r="X43">
        <f>HYPERLINK("https://klasma.github.io/Logging_2082/kartor/A 27715-2023 karta.png", "A 27715-2023")</f>
        <v/>
      </c>
      <c r="Y43">
        <f>HYPERLINK("https://klasma.github.io/Logging_2082/kartor_geotiff/A 27715-2023 georefererad karta.tif", "A 27715-2023")</f>
        <v/>
      </c>
      <c r="AA43">
        <f>HYPERLINK("https://klasma.github.io/Logging_2082/klagomål/A 27715-2023 FSC-klagomål.docx", "A 27715-2023")</f>
        <v/>
      </c>
      <c r="AB43">
        <f>HYPERLINK("https://klasma.github.io/Logging_2082/klagomålsmail/A 27715-2023 FSC-klagomål mail.docx", "A 27715-2023")</f>
        <v/>
      </c>
      <c r="AC43">
        <f>HYPERLINK("https://klasma.github.io/Logging_2082/tillsyn/A 27715-2023 tillsynsbegäran.docx", "A 27715-2023")</f>
        <v/>
      </c>
      <c r="AD43">
        <f>HYPERLINK("https://klasma.github.io/Logging_2082/tillsynsmail/A 27715-2023 tillsynsbegäran mail.docx", "A 27715-2023")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46269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61197-2025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46000</v>
      </c>
      <c r="E45" s="1" t="n">
        <v>46269</v>
      </c>
      <c r="F45" t="inlineStr">
        <is>
          <t>DALARNAS LÄN</t>
        </is>
      </c>
      <c r="G45" t="inlineStr">
        <is>
          <t>SÄTER</t>
        </is>
      </c>
      <c r="I45" t="n">
        <v>4.1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HYPERLINK("https://klasma.github.io/Logging_2082/artfynd/A 61197-2025 artfynd.xlsx", "A 61197-2025")</f>
        <v/>
      </c>
      <c r="X45">
        <f>HYPERLINK("https://klasma.github.io/Logging_2082/kartor/A 61197-2025 karta.png", "A 61197-2025")</f>
        <v/>
      </c>
      <c r="Y45">
        <f>HYPERLINK("https://klasma.github.io/Logging_2082/kartor_geotiff/A 61197-2025 georefererad karta.tif", "A 61197-2025")</f>
        <v/>
      </c>
      <c r="Z45">
        <f>HYPERLINK("https://klasma.github.io/Logging_2082/knärot/A 61197-2025 karta knärot.png", "A 61197-2025")</f>
        <v/>
      </c>
      <c r="AA45">
        <f>HYPERLINK("https://klasma.github.io/Logging_2082/klagomål/A 61197-2025 FSC-klagomål.docx", "A 61197-2025")</f>
        <v/>
      </c>
      <c r="AB45">
        <f>HYPERLINK("https://klasma.github.io/Logging_2082/klagomålsmail/A 61197-2025 FSC-klagomål mail.docx", "A 61197-2025")</f>
        <v/>
      </c>
      <c r="AC45">
        <f>HYPERLINK("https://klasma.github.io/Logging_2082/tillsyn/A 61197-2025 tillsynsbegäran.docx", "A 61197-2025")</f>
        <v/>
      </c>
      <c r="AD45">
        <f>HYPERLINK("https://klasma.github.io/Logging_2082/tillsynsmail/A 61197-2025 tillsynsbegäran mail.docx", "A 61197-2025")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46269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46269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46269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46269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46269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46269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46269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46269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46269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46269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46269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44725</v>
      </c>
      <c r="E57" s="1" t="n">
        <v>46269</v>
      </c>
      <c r="F57" t="inlineStr">
        <is>
          <t>DALARNAS LÄN</t>
        </is>
      </c>
      <c r="G57" t="inlineStr">
        <is>
          <t>SÄTER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46269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46269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46269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46269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46269</v>
      </c>
      <c r="F62" t="inlineStr">
        <is>
          <t>DALARNAS LÄN</t>
        </is>
      </c>
      <c r="G62" t="inlineStr">
        <is>
          <t>SÄTER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46269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46269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46269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46269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46269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46269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46269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46269</v>
      </c>
      <c r="F70" t="inlineStr">
        <is>
          <t>DALARNAS LÄN</t>
        </is>
      </c>
      <c r="G70" t="inlineStr">
        <is>
          <t>SÄTER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46269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46269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44715</v>
      </c>
      <c r="E73" s="1" t="n">
        <v>46269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46269</v>
      </c>
      <c r="F74" t="inlineStr">
        <is>
          <t>DALARNAS LÄN</t>
        </is>
      </c>
      <c r="G74" t="inlineStr">
        <is>
          <t>SÄTER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16901-2024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46269</v>
      </c>
      <c r="F75" t="inlineStr">
        <is>
          <t>DALARNAS LÄN</t>
        </is>
      </c>
      <c r="G75" t="inlineStr">
        <is>
          <t>SÄTER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46269</v>
      </c>
      <c r="F76" t="inlineStr">
        <is>
          <t>DALARNAS LÄN</t>
        </is>
      </c>
      <c r="G76" t="inlineStr">
        <is>
          <t>SÄTER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46269</v>
      </c>
      <c r="F77" t="inlineStr">
        <is>
          <t>DALARNAS LÄN</t>
        </is>
      </c>
      <c r="G77" t="inlineStr">
        <is>
          <t>SÄTER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46269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46269</v>
      </c>
      <c r="F79" t="inlineStr">
        <is>
          <t>DALARNAS LÄN</t>
        </is>
      </c>
      <c r="G79" t="inlineStr">
        <is>
          <t>SÄTER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46269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45398</v>
      </c>
      <c r="E81" s="1" t="n">
        <v>46269</v>
      </c>
      <c r="F81" t="inlineStr">
        <is>
          <t>DALARNAS LÄN</t>
        </is>
      </c>
      <c r="G81" t="inlineStr">
        <is>
          <t>SÄTER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45576</v>
      </c>
      <c r="E82" s="1" t="n">
        <v>46269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46269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45170</v>
      </c>
      <c r="E84" s="1" t="n">
        <v>46269</v>
      </c>
      <c r="F84" t="inlineStr">
        <is>
          <t>DALARNAS LÄN</t>
        </is>
      </c>
      <c r="G84" t="inlineStr">
        <is>
          <t>SÄTER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45182</v>
      </c>
      <c r="E85" s="1" t="n">
        <v>46269</v>
      </c>
      <c r="F85" t="inlineStr">
        <is>
          <t>DALARNAS LÄN</t>
        </is>
      </c>
      <c r="G85" t="inlineStr">
        <is>
          <t>SÄTER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46269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51320-2024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45604</v>
      </c>
      <c r="E87" s="1" t="n">
        <v>46269</v>
      </c>
      <c r="F87" t="inlineStr">
        <is>
          <t>DALARNAS LÄN</t>
        </is>
      </c>
      <c r="G87" t="inlineStr">
        <is>
          <t>SÄTER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45604</v>
      </c>
      <c r="E88" s="1" t="n">
        <v>46269</v>
      </c>
      <c r="F88" t="inlineStr">
        <is>
          <t>DALARNAS LÄN</t>
        </is>
      </c>
      <c r="G88" t="inlineStr">
        <is>
          <t>SÄTER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46269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46269</v>
      </c>
      <c r="F90" t="inlineStr">
        <is>
          <t>DALARNAS LÄN</t>
        </is>
      </c>
      <c r="G90" t="inlineStr">
        <is>
          <t>SÄTER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45453</v>
      </c>
      <c r="E91" s="1" t="n">
        <v>46269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45666</v>
      </c>
      <c r="E92" s="1" t="n">
        <v>46269</v>
      </c>
      <c r="F92" t="inlineStr">
        <is>
          <t>DALARNAS LÄN</t>
        </is>
      </c>
      <c r="G92" t="inlineStr">
        <is>
          <t>SÄTER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20337-2024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46269</v>
      </c>
      <c r="F93" t="inlineStr">
        <is>
          <t>DALARNAS LÄN</t>
        </is>
      </c>
      <c r="G93" t="inlineStr">
        <is>
          <t>SÄTER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45365</v>
      </c>
      <c r="E94" s="1" t="n">
        <v>46269</v>
      </c>
      <c r="F94" t="inlineStr">
        <is>
          <t>DALARNAS LÄN</t>
        </is>
      </c>
      <c r="G94" t="inlineStr">
        <is>
          <t>SÄTER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46269</v>
      </c>
      <c r="F95" t="inlineStr">
        <is>
          <t>DALARNAS LÄN</t>
        </is>
      </c>
      <c r="G95" t="inlineStr">
        <is>
          <t>SÄTER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46269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46269</v>
      </c>
      <c r="F97" t="inlineStr">
        <is>
          <t>DALARNAS LÄN</t>
        </is>
      </c>
      <c r="G97" t="inlineStr">
        <is>
          <t>SÄTER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46269</v>
      </c>
      <c r="F98" t="inlineStr">
        <is>
          <t>DALARNAS LÄN</t>
        </is>
      </c>
      <c r="G98" t="inlineStr">
        <is>
          <t>SÄTER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45006</v>
      </c>
      <c r="E99" s="1" t="n">
        <v>46269</v>
      </c>
      <c r="F99" t="inlineStr">
        <is>
          <t>DALARNAS LÄN</t>
        </is>
      </c>
      <c r="G99" t="inlineStr">
        <is>
          <t>SÄTER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46269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46269</v>
      </c>
      <c r="F101" t="inlineStr">
        <is>
          <t>DALARNAS LÄN</t>
        </is>
      </c>
      <c r="G101" t="inlineStr">
        <is>
          <t>SÄTER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45638</v>
      </c>
      <c r="E102" s="1" t="n">
        <v>46269</v>
      </c>
      <c r="F102" t="inlineStr">
        <is>
          <t>DALARNAS LÄN</t>
        </is>
      </c>
      <c r="G102" t="inlineStr">
        <is>
          <t>SÄTER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55497-2024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46269</v>
      </c>
      <c r="F103" t="inlineStr">
        <is>
          <t>DALARNAS LÄN</t>
        </is>
      </c>
      <c r="G103" t="inlineStr">
        <is>
          <t>SÄTER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45638</v>
      </c>
      <c r="E104" s="1" t="n">
        <v>46269</v>
      </c>
      <c r="F104" t="inlineStr">
        <is>
          <t>DALARNAS LÄN</t>
        </is>
      </c>
      <c r="G104" t="inlineStr">
        <is>
          <t>SÄTER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46269</v>
      </c>
      <c r="F105" t="inlineStr">
        <is>
          <t>DALARNAS LÄN</t>
        </is>
      </c>
      <c r="G105" t="inlineStr">
        <is>
          <t>SÄTER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45462</v>
      </c>
      <c r="E106" s="1" t="n">
        <v>46269</v>
      </c>
      <c r="F106" t="inlineStr">
        <is>
          <t>DALARNAS LÄN</t>
        </is>
      </c>
      <c r="G106" t="inlineStr">
        <is>
          <t>SÄTER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46269</v>
      </c>
      <c r="F107" t="inlineStr">
        <is>
          <t>DALARNAS LÄN</t>
        </is>
      </c>
      <c r="G107" t="inlineStr">
        <is>
          <t>SÄTER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12285-2024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45377</v>
      </c>
      <c r="E108" s="1" t="n">
        <v>46269</v>
      </c>
      <c r="F108" t="inlineStr">
        <is>
          <t>DALARNAS LÄN</t>
        </is>
      </c>
      <c r="G108" t="inlineStr">
        <is>
          <t>SÄTER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45604</v>
      </c>
      <c r="E109" s="1" t="n">
        <v>46269</v>
      </c>
      <c r="F109" t="inlineStr">
        <is>
          <t>DALARNAS LÄN</t>
        </is>
      </c>
      <c r="G109" t="inlineStr">
        <is>
          <t>SÄTER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37440-2022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44809</v>
      </c>
      <c r="E110" s="1" t="n">
        <v>46269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45411</v>
      </c>
      <c r="E111" s="1" t="n">
        <v>46269</v>
      </c>
      <c r="F111" t="inlineStr">
        <is>
          <t>DALARNAS LÄN</t>
        </is>
      </c>
      <c r="G111" t="inlineStr">
        <is>
          <t>SÄTER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46269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46269</v>
      </c>
      <c r="F113" t="inlineStr">
        <is>
          <t>DALARNAS LÄN</t>
        </is>
      </c>
      <c r="G113" t="inlineStr">
        <is>
          <t>SÄTER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45804</v>
      </c>
      <c r="E114" s="1" t="n">
        <v>46269</v>
      </c>
      <c r="F114" t="inlineStr">
        <is>
          <t>DALARNAS LÄN</t>
        </is>
      </c>
      <c r="G114" t="inlineStr">
        <is>
          <t>SÄTER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46269</v>
      </c>
      <c r="F115" t="inlineStr">
        <is>
          <t>DALARNAS LÄN</t>
        </is>
      </c>
      <c r="G115" t="inlineStr">
        <is>
          <t>SÄTER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46269</v>
      </c>
      <c r="F116" t="inlineStr">
        <is>
          <t>DALARNAS LÄN</t>
        </is>
      </c>
      <c r="G116" t="inlineStr">
        <is>
          <t>SÄTER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46269</v>
      </c>
      <c r="F117" t="inlineStr">
        <is>
          <t>DALARNAS LÄN</t>
        </is>
      </c>
      <c r="G117" t="inlineStr">
        <is>
          <t>SÄTER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46269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46269</v>
      </c>
      <c r="F119" t="inlineStr">
        <is>
          <t>DALARNAS LÄN</t>
        </is>
      </c>
      <c r="G119" t="inlineStr">
        <is>
          <t>SÄTER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46269</v>
      </c>
      <c r="F120" t="inlineStr">
        <is>
          <t>DALARNAS LÄN</t>
        </is>
      </c>
      <c r="G120" t="inlineStr">
        <is>
          <t>SÄTER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45411</v>
      </c>
      <c r="E121" s="1" t="n">
        <v>46269</v>
      </c>
      <c r="F121" t="inlineStr">
        <is>
          <t>DALARNAS LÄN</t>
        </is>
      </c>
      <c r="G121" t="inlineStr">
        <is>
          <t>SÄTER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46269</v>
      </c>
      <c r="F122" t="inlineStr">
        <is>
          <t>DALARNAS LÄN</t>
        </is>
      </c>
      <c r="G122" t="inlineStr">
        <is>
          <t>SÄTER</t>
        </is>
      </c>
      <c r="I122" t="n">
        <v>10.9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46269</v>
      </c>
      <c r="F123" t="inlineStr">
        <is>
          <t>DALARNAS LÄN</t>
        </is>
      </c>
      <c r="G123" t="inlineStr">
        <is>
          <t>SÄTER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45552</v>
      </c>
      <c r="E124" s="1" t="n">
        <v>46269</v>
      </c>
      <c r="F124" t="inlineStr">
        <is>
          <t>DALARNAS LÄN</t>
        </is>
      </c>
      <c r="G124" t="inlineStr">
        <is>
          <t>SÄTER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46269</v>
      </c>
      <c r="F125" t="inlineStr">
        <is>
          <t>DALARNAS LÄN</t>
        </is>
      </c>
      <c r="G125" t="inlineStr">
        <is>
          <t>SÄTER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46269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28549-2022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44748</v>
      </c>
      <c r="E127" s="1" t="n">
        <v>46269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46269</v>
      </c>
      <c r="F128" t="inlineStr">
        <is>
          <t>DALARNAS LÄN</t>
        </is>
      </c>
      <c r="G128" t="inlineStr">
        <is>
          <t>SÄTER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46269</v>
      </c>
      <c r="F129" t="inlineStr">
        <is>
          <t>DALARNAS LÄN</t>
        </is>
      </c>
      <c r="G129" t="inlineStr">
        <is>
          <t>SÄTER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45201</v>
      </c>
      <c r="E130" s="1" t="n">
        <v>46269</v>
      </c>
      <c r="F130" t="inlineStr">
        <is>
          <t>DALARNAS LÄN</t>
        </is>
      </c>
      <c r="G130" t="inlineStr">
        <is>
          <t>SÄTER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46269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57416-2022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46269</v>
      </c>
      <c r="F132" t="inlineStr">
        <is>
          <t>DALARNAS LÄN</t>
        </is>
      </c>
      <c r="G132" t="inlineStr">
        <is>
          <t>SÄTER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  <c r="Z132">
        <f>HYPERLINK("https://klasma.github.io/Logging_2082/knärot/A 57416-2022 karta knärot.png", "A 57416-2022")</f>
        <v/>
      </c>
      <c r="AA132">
        <f>HYPERLINK("https://klasma.github.io/Logging_2082/klagomål/A 57416-2022 FSC-klagomål.docx", "A 57416-2022")</f>
        <v/>
      </c>
      <c r="AB132">
        <f>HYPERLINK("https://klasma.github.io/Logging_2082/klagomålsmail/A 57416-2022 FSC-klagomål mail.docx", "A 57416-2022")</f>
        <v/>
      </c>
      <c r="AC132">
        <f>HYPERLINK("https://klasma.github.io/Logging_2082/tillsyn/A 57416-2022 tillsynsbegäran.docx", "A 57416-2022")</f>
        <v/>
      </c>
      <c r="AD132">
        <f>HYPERLINK("https://klasma.github.io/Logging_2082/tillsynsmail/A 57416-2022 tillsynsbegäran mail.docx", "A 57416-2022")</f>
        <v/>
      </c>
    </row>
    <row r="133" ht="15" customHeight="1">
      <c r="A133" t="inlineStr">
        <is>
          <t>A 64788-2023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46269</v>
      </c>
      <c r="F133" t="inlineStr">
        <is>
          <t>DALARNAS LÄN</t>
        </is>
      </c>
      <c r="G133" t="inlineStr">
        <is>
          <t>SÄTER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46269</v>
      </c>
      <c r="F134" t="inlineStr">
        <is>
          <t>DALARNAS LÄN</t>
        </is>
      </c>
      <c r="G134" t="inlineStr">
        <is>
          <t>SÄTER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46269</v>
      </c>
      <c r="F135" t="inlineStr">
        <is>
          <t>DALARNAS LÄN</t>
        </is>
      </c>
      <c r="G135" t="inlineStr">
        <is>
          <t>SÄTER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46269</v>
      </c>
      <c r="F136" t="inlineStr">
        <is>
          <t>DALARNAS LÄN</t>
        </is>
      </c>
      <c r="G136" t="inlineStr">
        <is>
          <t>SÄTER</t>
        </is>
      </c>
      <c r="H136" t="inlineStr">
        <is>
          <t>Kommuner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51323-2024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45604</v>
      </c>
      <c r="E137" s="1" t="n">
        <v>46269</v>
      </c>
      <c r="F137" t="inlineStr">
        <is>
          <t>DALARNAS LÄN</t>
        </is>
      </c>
      <c r="G137" t="inlineStr">
        <is>
          <t>SÄTER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44572</v>
      </c>
      <c r="E138" s="1" t="n">
        <v>46269</v>
      </c>
      <c r="F138" t="inlineStr">
        <is>
          <t>DALARNAS LÄN</t>
        </is>
      </c>
      <c r="G138" t="inlineStr">
        <is>
          <t>SÄTER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46269</v>
      </c>
      <c r="F139" t="inlineStr">
        <is>
          <t>DALARNAS LÄN</t>
        </is>
      </c>
      <c r="G139" t="inlineStr">
        <is>
          <t>SÄTER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46269</v>
      </c>
      <c r="F140" t="inlineStr">
        <is>
          <t>DALARNAS LÄN</t>
        </is>
      </c>
      <c r="G140" t="inlineStr">
        <is>
          <t>SÄTER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46269</v>
      </c>
      <c r="F141" t="inlineStr">
        <is>
          <t>DALARNAS LÄN</t>
        </is>
      </c>
      <c r="G141" t="inlineStr">
        <is>
          <t>SÄTER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44788</v>
      </c>
      <c r="E142" s="1" t="n">
        <v>46269</v>
      </c>
      <c r="F142" t="inlineStr">
        <is>
          <t>DALARNAS LÄN</t>
        </is>
      </c>
      <c r="G142" t="inlineStr">
        <is>
          <t>SÄTER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46269</v>
      </c>
      <c r="F143" t="inlineStr">
        <is>
          <t>DALARNAS LÄN</t>
        </is>
      </c>
      <c r="G143" t="inlineStr">
        <is>
          <t>SÄTER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46269</v>
      </c>
      <c r="F144" t="inlineStr">
        <is>
          <t>DALARNAS LÄN</t>
        </is>
      </c>
      <c r="G144" t="inlineStr">
        <is>
          <t>SÄTER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44609</v>
      </c>
      <c r="E145" s="1" t="n">
        <v>46269</v>
      </c>
      <c r="F145" t="inlineStr">
        <is>
          <t>DALARNAS LÄN</t>
        </is>
      </c>
      <c r="G145" t="inlineStr">
        <is>
          <t>SÄTER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46269</v>
      </c>
      <c r="F146" t="inlineStr">
        <is>
          <t>DALARNAS LÄN</t>
        </is>
      </c>
      <c r="G146" t="inlineStr">
        <is>
          <t>SÄTER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44972</v>
      </c>
      <c r="E147" s="1" t="n">
        <v>46269</v>
      </c>
      <c r="F147" t="inlineStr">
        <is>
          <t>DALARNAS LÄN</t>
        </is>
      </c>
      <c r="G147" t="inlineStr">
        <is>
          <t>SÄTER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46269</v>
      </c>
      <c r="F148" t="inlineStr">
        <is>
          <t>DALARNAS LÄN</t>
        </is>
      </c>
      <c r="G148" t="inlineStr">
        <is>
          <t>SÄTER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45138</v>
      </c>
      <c r="E149" s="1" t="n">
        <v>46269</v>
      </c>
      <c r="F149" t="inlineStr">
        <is>
          <t>DALARNAS LÄN</t>
        </is>
      </c>
      <c r="G149" t="inlineStr">
        <is>
          <t>SÄTER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46269</v>
      </c>
      <c r="F150" t="inlineStr">
        <is>
          <t>DALARNAS LÄN</t>
        </is>
      </c>
      <c r="G150" t="inlineStr">
        <is>
          <t>SÄTER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46269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46269</v>
      </c>
      <c r="F152" t="inlineStr">
        <is>
          <t>DALARNAS LÄN</t>
        </is>
      </c>
      <c r="G152" t="inlineStr">
        <is>
          <t>SÄTER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45622</v>
      </c>
      <c r="E153" s="1" t="n">
        <v>46269</v>
      </c>
      <c r="F153" t="inlineStr">
        <is>
          <t>DALARNAS LÄN</t>
        </is>
      </c>
      <c r="G153" t="inlineStr">
        <is>
          <t>SÄTER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46269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44585</v>
      </c>
      <c r="E155" s="1" t="n">
        <v>46269</v>
      </c>
      <c r="F155" t="inlineStr">
        <is>
          <t>DALARNAS LÄN</t>
        </is>
      </c>
      <c r="G155" t="inlineStr">
        <is>
          <t>SÄTER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46269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45870</v>
      </c>
      <c r="E157" s="1" t="n">
        <v>46269</v>
      </c>
      <c r="F157" t="inlineStr">
        <is>
          <t>DALARNAS LÄN</t>
        </is>
      </c>
      <c r="G157" t="inlineStr">
        <is>
          <t>SÄTER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46269</v>
      </c>
      <c r="F158" t="inlineStr">
        <is>
          <t>DALARNAS LÄN</t>
        </is>
      </c>
      <c r="G158" t="inlineStr">
        <is>
          <t>SÄTER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45875</v>
      </c>
      <c r="E159" s="1" t="n">
        <v>46269</v>
      </c>
      <c r="F159" t="inlineStr">
        <is>
          <t>DALARNAS LÄN</t>
        </is>
      </c>
      <c r="G159" t="inlineStr">
        <is>
          <t>SÄTER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46269</v>
      </c>
      <c r="F160" t="inlineStr">
        <is>
          <t>DALARNAS LÄN</t>
        </is>
      </c>
      <c r="G160" t="inlineStr">
        <is>
          <t>SÄTER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45566</v>
      </c>
      <c r="E161" s="1" t="n">
        <v>46269</v>
      </c>
      <c r="F161" t="inlineStr">
        <is>
          <t>DALARNAS LÄN</t>
        </is>
      </c>
      <c r="G161" t="inlineStr">
        <is>
          <t>SÄTER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45342</v>
      </c>
      <c r="E162" s="1" t="n">
        <v>46269</v>
      </c>
      <c r="F162" t="inlineStr">
        <is>
          <t>DALARNAS LÄN</t>
        </is>
      </c>
      <c r="G162" t="inlineStr">
        <is>
          <t>SÄTER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46269</v>
      </c>
      <c r="F163" t="inlineStr">
        <is>
          <t>DALARNAS LÄN</t>
        </is>
      </c>
      <c r="G163" t="inlineStr">
        <is>
          <t>SÄTER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44690</v>
      </c>
      <c r="E164" s="1" t="n">
        <v>46269</v>
      </c>
      <c r="F164" t="inlineStr">
        <is>
          <t>DALARNAS LÄN</t>
        </is>
      </c>
      <c r="G164" t="inlineStr">
        <is>
          <t>SÄTER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46269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46269</v>
      </c>
      <c r="F166" t="inlineStr">
        <is>
          <t>DALARNAS LÄN</t>
        </is>
      </c>
      <c r="G166" t="inlineStr">
        <is>
          <t>SÄTER</t>
        </is>
      </c>
      <c r="H166" t="inlineStr">
        <is>
          <t>Kommuner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44727</v>
      </c>
      <c r="E167" s="1" t="n">
        <v>46269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46269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46269</v>
      </c>
      <c r="F169" t="inlineStr">
        <is>
          <t>DALARNAS LÄN</t>
        </is>
      </c>
      <c r="G169" t="inlineStr">
        <is>
          <t>SÄTER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35005-2024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45527</v>
      </c>
      <c r="E170" s="1" t="n">
        <v>46269</v>
      </c>
      <c r="F170" t="inlineStr">
        <is>
          <t>DALARNAS LÄN</t>
        </is>
      </c>
      <c r="G170" t="inlineStr">
        <is>
          <t>SÄTER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46269</v>
      </c>
      <c r="F171" t="inlineStr">
        <is>
          <t>DALARNAS LÄN</t>
        </is>
      </c>
      <c r="G171" t="inlineStr">
        <is>
          <t>SÄTER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46269</v>
      </c>
      <c r="F172" t="inlineStr">
        <is>
          <t>DALARNAS LÄN</t>
        </is>
      </c>
      <c r="G172" t="inlineStr">
        <is>
          <t>SÄTER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46269</v>
      </c>
      <c r="F173" t="inlineStr">
        <is>
          <t>DALARNAS LÄN</t>
        </is>
      </c>
      <c r="G173" t="inlineStr">
        <is>
          <t>SÄTER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52220-2021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46269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44732</v>
      </c>
      <c r="E175" s="1" t="n">
        <v>46269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44463</v>
      </c>
      <c r="E176" s="1" t="n">
        <v>46269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46269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20056-2026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46269</v>
      </c>
      <c r="F178" t="inlineStr">
        <is>
          <t>DALARNAS LÄN</t>
        </is>
      </c>
      <c r="G178" t="inlineStr">
        <is>
          <t>SÄTER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45366</v>
      </c>
      <c r="E179" s="1" t="n">
        <v>46269</v>
      </c>
      <c r="F179" t="inlineStr">
        <is>
          <t>DALARNAS LÄN</t>
        </is>
      </c>
      <c r="G179" t="inlineStr">
        <is>
          <t>SÄTER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46269</v>
      </c>
      <c r="F180" t="inlineStr">
        <is>
          <t>DALARNAS LÄN</t>
        </is>
      </c>
      <c r="G180" t="inlineStr">
        <is>
          <t>SÄTER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38240-2022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46269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46269</v>
      </c>
      <c r="F182" t="inlineStr">
        <is>
          <t>DALARNAS LÄN</t>
        </is>
      </c>
      <c r="G182" t="inlineStr">
        <is>
          <t>SÄTER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46269</v>
      </c>
      <c r="F183" t="inlineStr">
        <is>
          <t>DALARNAS LÄN</t>
        </is>
      </c>
      <c r="G183" t="inlineStr">
        <is>
          <t>SÄTER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45265</v>
      </c>
      <c r="E184" s="1" t="n">
        <v>46269</v>
      </c>
      <c r="F184" t="inlineStr">
        <is>
          <t>DALARNAS LÄN</t>
        </is>
      </c>
      <c r="G184" t="inlineStr">
        <is>
          <t>SÄTER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46269</v>
      </c>
      <c r="F185" t="inlineStr">
        <is>
          <t>DALARNAS LÄN</t>
        </is>
      </c>
      <c r="G185" t="inlineStr">
        <is>
          <t>SÄTER</t>
        </is>
      </c>
      <c r="H185" t="inlineStr">
        <is>
          <t>Kommuner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44572</v>
      </c>
      <c r="E186" s="1" t="n">
        <v>46269</v>
      </c>
      <c r="F186" t="inlineStr">
        <is>
          <t>DALARNAS LÄN</t>
        </is>
      </c>
      <c r="G186" t="inlineStr">
        <is>
          <t>SÄTER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46269</v>
      </c>
      <c r="F187" t="inlineStr">
        <is>
          <t>DALARNAS LÄN</t>
        </is>
      </c>
      <c r="G187" t="inlineStr">
        <is>
          <t>SÄTER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45665</v>
      </c>
      <c r="E188" s="1" t="n">
        <v>46269</v>
      </c>
      <c r="F188" t="inlineStr">
        <is>
          <t>DALARNAS LÄN</t>
        </is>
      </c>
      <c r="G188" t="inlineStr">
        <is>
          <t>SÄTER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63152-2023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45273</v>
      </c>
      <c r="E189" s="1" t="n">
        <v>46269</v>
      </c>
      <c r="F189" t="inlineStr">
        <is>
          <t>DALARNAS LÄN</t>
        </is>
      </c>
      <c r="G189" t="inlineStr">
        <is>
          <t>SÄTER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45484</v>
      </c>
      <c r="E190" s="1" t="n">
        <v>46269</v>
      </c>
      <c r="F190" t="inlineStr">
        <is>
          <t>DALARNAS LÄN</t>
        </is>
      </c>
      <c r="G190" t="inlineStr">
        <is>
          <t>SÄTER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45561</v>
      </c>
      <c r="E191" s="1" t="n">
        <v>46269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46269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46269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46269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46269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46269</v>
      </c>
      <c r="F196" t="inlineStr">
        <is>
          <t>DALARNAS LÄN</t>
        </is>
      </c>
      <c r="G196" t="inlineStr">
        <is>
          <t>SÄTER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46269</v>
      </c>
      <c r="F197" t="inlineStr">
        <is>
          <t>DALARNAS LÄN</t>
        </is>
      </c>
      <c r="G197" t="inlineStr">
        <is>
          <t>SÄTER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46269</v>
      </c>
      <c r="F198" t="inlineStr">
        <is>
          <t>DALARNAS LÄN</t>
        </is>
      </c>
      <c r="G198" t="inlineStr">
        <is>
          <t>SÄTER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46269</v>
      </c>
      <c r="F199" t="inlineStr">
        <is>
          <t>DALARNAS LÄN</t>
        </is>
      </c>
      <c r="G199" t="inlineStr">
        <is>
          <t>SÄTER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46269</v>
      </c>
      <c r="F200" t="inlineStr">
        <is>
          <t>DALARNAS LÄN</t>
        </is>
      </c>
      <c r="G200" t="inlineStr">
        <is>
          <t>SÄTER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46269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46269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46269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46269</v>
      </c>
      <c r="F204" t="inlineStr">
        <is>
          <t>DALARNAS LÄN</t>
        </is>
      </c>
      <c r="G204" t="inlineStr">
        <is>
          <t>SÄTER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46269</v>
      </c>
      <c r="F205" t="inlineStr">
        <is>
          <t>DALARNAS LÄN</t>
        </is>
      </c>
      <c r="G205" t="inlineStr">
        <is>
          <t>SÄTER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46269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10.8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46269</v>
      </c>
      <c r="F207" t="inlineStr">
        <is>
          <t>DALARNAS LÄN</t>
        </is>
      </c>
      <c r="G207" t="inlineStr">
        <is>
          <t>SÄTER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46269</v>
      </c>
      <c r="F208" t="inlineStr">
        <is>
          <t>DALARNAS LÄN</t>
        </is>
      </c>
      <c r="G208" t="inlineStr">
        <is>
          <t>SÄTER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46043</v>
      </c>
      <c r="E209" s="1" t="n">
        <v>46269</v>
      </c>
      <c r="F209" t="inlineStr">
        <is>
          <t>DALARNAS LÄN</t>
        </is>
      </c>
      <c r="G209" t="inlineStr">
        <is>
          <t>SÄTER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46269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15.2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46269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41.4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46269</v>
      </c>
      <c r="F212" t="inlineStr">
        <is>
          <t>DALARNAS LÄN</t>
        </is>
      </c>
      <c r="G212" t="inlineStr">
        <is>
          <t>SÄTER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46269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45644</v>
      </c>
      <c r="E214" s="1" t="n">
        <v>46269</v>
      </c>
      <c r="F214" t="inlineStr">
        <is>
          <t>DALARNAS LÄN</t>
        </is>
      </c>
      <c r="G214" t="inlineStr">
        <is>
          <t>SÄTER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46269</v>
      </c>
      <c r="F215" t="inlineStr">
        <is>
          <t>DALARNAS LÄN</t>
        </is>
      </c>
      <c r="G215" t="inlineStr">
        <is>
          <t>SÄTER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46269</v>
      </c>
      <c r="F216" t="inlineStr">
        <is>
          <t>DALARNAS LÄN</t>
        </is>
      </c>
      <c r="G216" t="inlineStr">
        <is>
          <t>SÄTER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46269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42.6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46269</v>
      </c>
      <c r="F218" t="inlineStr">
        <is>
          <t>DALARNAS LÄN</t>
        </is>
      </c>
      <c r="G218" t="inlineStr">
        <is>
          <t>SÄTER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46269</v>
      </c>
      <c r="F219" t="inlineStr">
        <is>
          <t>DALARNAS LÄN</t>
        </is>
      </c>
      <c r="G219" t="inlineStr">
        <is>
          <t>SÄTER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45604</v>
      </c>
      <c r="E220" s="1" t="n">
        <v>46269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46269</v>
      </c>
      <c r="F221" t="inlineStr">
        <is>
          <t>DALARNAS LÄN</t>
        </is>
      </c>
      <c r="G221" t="inlineStr">
        <is>
          <t>SÄTER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45190</v>
      </c>
      <c r="E222" s="1" t="n">
        <v>46269</v>
      </c>
      <c r="F222" t="inlineStr">
        <is>
          <t>DALARNAS LÄN</t>
        </is>
      </c>
      <c r="G222" t="inlineStr">
        <is>
          <t>SÄTER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46269</v>
      </c>
      <c r="F223" t="inlineStr">
        <is>
          <t>DALARNAS LÄN</t>
        </is>
      </c>
      <c r="G223" t="inlineStr">
        <is>
          <t>SÄTER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45427</v>
      </c>
      <c r="E224" s="1" t="n">
        <v>46269</v>
      </c>
      <c r="F224" t="inlineStr">
        <is>
          <t>DALARNAS LÄN</t>
        </is>
      </c>
      <c r="G224" t="inlineStr">
        <is>
          <t>SÄTER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46269</v>
      </c>
      <c r="F225" t="inlineStr">
        <is>
          <t>DALARNAS LÄN</t>
        </is>
      </c>
      <c r="G225" t="inlineStr">
        <is>
          <t>SÄTER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46269</v>
      </c>
      <c r="F226" t="inlineStr">
        <is>
          <t>DALARNAS LÄN</t>
        </is>
      </c>
      <c r="G226" t="inlineStr">
        <is>
          <t>SÄTER</t>
        </is>
      </c>
      <c r="H226" t="inlineStr">
        <is>
          <t>Kommuner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46269</v>
      </c>
      <c r="F227" t="inlineStr">
        <is>
          <t>DALARNAS LÄN</t>
        </is>
      </c>
      <c r="G227" t="inlineStr">
        <is>
          <t>SÄTER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45939</v>
      </c>
      <c r="E228" s="1" t="n">
        <v>46269</v>
      </c>
      <c r="F228" t="inlineStr">
        <is>
          <t>DALARNAS LÄN</t>
        </is>
      </c>
      <c r="G228" t="inlineStr">
        <is>
          <t>SÄTER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44691</v>
      </c>
      <c r="E229" s="1" t="n">
        <v>46269</v>
      </c>
      <c r="F229" t="inlineStr">
        <is>
          <t>DALARNAS LÄN</t>
        </is>
      </c>
      <c r="G229" t="inlineStr">
        <is>
          <t>SÄTER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46269</v>
      </c>
      <c r="F230" t="inlineStr">
        <is>
          <t>DALARNAS LÄN</t>
        </is>
      </c>
      <c r="G230" t="inlineStr">
        <is>
          <t>SÄTER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46269</v>
      </c>
      <c r="F231" t="inlineStr">
        <is>
          <t>DALARNAS LÄN</t>
        </is>
      </c>
      <c r="G231" t="inlineStr">
        <is>
          <t>SÄTER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46269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46269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46269</v>
      </c>
      <c r="F234" t="inlineStr">
        <is>
          <t>DALARNAS LÄN</t>
        </is>
      </c>
      <c r="G234" t="inlineStr">
        <is>
          <t>SÄTER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46269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54141-2023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46269</v>
      </c>
      <c r="F236" t="inlineStr">
        <is>
          <t>DALARNAS LÄN</t>
        </is>
      </c>
      <c r="G236" t="inlineStr">
        <is>
          <t>SÄTER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46269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46154</v>
      </c>
      <c r="E238" s="1" t="n">
        <v>46269</v>
      </c>
      <c r="F238" t="inlineStr">
        <is>
          <t>DALARNAS LÄN</t>
        </is>
      </c>
      <c r="G238" t="inlineStr">
        <is>
          <t>SÄTER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46269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46269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15.1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52422-2025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45954</v>
      </c>
      <c r="E241" s="1" t="n">
        <v>46269</v>
      </c>
      <c r="F241" t="inlineStr">
        <is>
          <t>DALARNAS LÄN</t>
        </is>
      </c>
      <c r="G241" t="inlineStr">
        <is>
          <t>SÄTER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46155</v>
      </c>
      <c r="E242" s="1" t="n">
        <v>46269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53559-2025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45960</v>
      </c>
      <c r="E243" s="1" t="n">
        <v>46269</v>
      </c>
      <c r="F243" t="inlineStr">
        <is>
          <t>DALARNAS LÄN</t>
        </is>
      </c>
      <c r="G243" t="inlineStr">
        <is>
          <t>SÄTER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46269</v>
      </c>
      <c r="F244" t="inlineStr">
        <is>
          <t>DALARNAS LÄN</t>
        </is>
      </c>
      <c r="G244" t="inlineStr">
        <is>
          <t>SÄTER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46087</v>
      </c>
      <c r="E245" s="1" t="n">
        <v>46269</v>
      </c>
      <c r="F245" t="inlineStr">
        <is>
          <t>DALARNAS LÄN</t>
        </is>
      </c>
      <c r="G245" t="inlineStr">
        <is>
          <t>SÄTER</t>
        </is>
      </c>
      <c r="H245" t="inlineStr">
        <is>
          <t>Kommuner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45961</v>
      </c>
      <c r="E246" s="1" t="n">
        <v>46269</v>
      </c>
      <c r="F246" t="inlineStr">
        <is>
          <t>DALARNAS LÄN</t>
        </is>
      </c>
      <c r="G246" t="inlineStr">
        <is>
          <t>SÄTER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46269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44581</v>
      </c>
      <c r="E248" s="1" t="n">
        <v>46269</v>
      </c>
      <c r="F248" t="inlineStr">
        <is>
          <t>DALARNAS LÄN</t>
        </is>
      </c>
      <c r="G248" t="inlineStr">
        <is>
          <t>SÄTER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46269</v>
      </c>
      <c r="F249" t="inlineStr">
        <is>
          <t>DALARNAS LÄN</t>
        </is>
      </c>
      <c r="G249" t="inlineStr">
        <is>
          <t>SÄTER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46269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46269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46269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46269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46269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46269</v>
      </c>
      <c r="F255" t="inlineStr">
        <is>
          <t>DALARNAS LÄN</t>
        </is>
      </c>
      <c r="G255" t="inlineStr">
        <is>
          <t>SÄTER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24376-2026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46269</v>
      </c>
      <c r="F256" t="inlineStr">
        <is>
          <t>DALARNAS LÄN</t>
        </is>
      </c>
      <c r="G256" t="inlineStr">
        <is>
          <t>SÄTER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46269</v>
      </c>
      <c r="F257" t="inlineStr">
        <is>
          <t>DALARNAS LÄN</t>
        </is>
      </c>
      <c r="G257" t="inlineStr">
        <is>
          <t>SÄTER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45985</v>
      </c>
      <c r="E258" s="1" t="n">
        <v>46269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46269</v>
      </c>
      <c r="F259" t="inlineStr">
        <is>
          <t>DALARNAS LÄN</t>
        </is>
      </c>
      <c r="G259" t="inlineStr">
        <is>
          <t>SÄTER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44960</v>
      </c>
      <c r="E260" s="1" t="n">
        <v>46269</v>
      </c>
      <c r="F260" t="inlineStr">
        <is>
          <t>DALARNAS LÄN</t>
        </is>
      </c>
      <c r="G260" t="inlineStr">
        <is>
          <t>SÄTER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46269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46269</v>
      </c>
      <c r="F262" t="inlineStr">
        <is>
          <t>DALARNAS LÄN</t>
        </is>
      </c>
      <c r="G262" t="inlineStr">
        <is>
          <t>SÄTER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46269</v>
      </c>
      <c r="F263" t="inlineStr">
        <is>
          <t>DALARNAS LÄN</t>
        </is>
      </c>
      <c r="G263" t="inlineStr">
        <is>
          <t>SÄTER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59974-2025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45993</v>
      </c>
      <c r="E264" s="1" t="n">
        <v>46269</v>
      </c>
      <c r="F264" t="inlineStr">
        <is>
          <t>DALARNAS LÄN</t>
        </is>
      </c>
      <c r="G264" t="inlineStr">
        <is>
          <t>SÄTER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63377-2025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46269</v>
      </c>
      <c r="F265" t="inlineStr">
        <is>
          <t>DALARNAS LÄN</t>
        </is>
      </c>
      <c r="G265" t="inlineStr">
        <is>
          <t>SÄTER</t>
        </is>
      </c>
      <c r="H265" t="inlineStr">
        <is>
          <t>Övriga statliga verk och myndigheter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46269</v>
      </c>
      <c r="F266" t="inlineStr">
        <is>
          <t>DALARNAS LÄN</t>
        </is>
      </c>
      <c r="G266" t="inlineStr">
        <is>
          <t>SÄTER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46269</v>
      </c>
      <c r="F267" t="inlineStr">
        <is>
          <t>DALARNAS LÄN</t>
        </is>
      </c>
      <c r="G267" t="inlineStr">
        <is>
          <t>SÄTER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46269</v>
      </c>
      <c r="F268" t="inlineStr">
        <is>
          <t>DALARNAS LÄN</t>
        </is>
      </c>
      <c r="G268" t="inlineStr">
        <is>
          <t>SÄTER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46559-2021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44445</v>
      </c>
      <c r="E269" s="1" t="n">
        <v>46269</v>
      </c>
      <c r="F269" t="inlineStr">
        <is>
          <t>DALARNAS LÄN</t>
        </is>
      </c>
      <c r="G269" t="inlineStr">
        <is>
          <t>SÄTER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51328-2024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45604</v>
      </c>
      <c r="E270" s="1" t="n">
        <v>46269</v>
      </c>
      <c r="F270" t="inlineStr">
        <is>
          <t>DALARNAS LÄN</t>
        </is>
      </c>
      <c r="G270" t="inlineStr">
        <is>
          <t>SÄTER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51339-2024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45604</v>
      </c>
      <c r="E271" s="1" t="n">
        <v>46269</v>
      </c>
      <c r="F271" t="inlineStr">
        <is>
          <t>DALARNAS LÄN</t>
        </is>
      </c>
      <c r="G271" t="inlineStr">
        <is>
          <t>SÄTER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46269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46269</v>
      </c>
      <c r="F273" t="inlineStr">
        <is>
          <t>DALARNAS LÄN</t>
        </is>
      </c>
      <c r="G273" t="inlineStr">
        <is>
          <t>SÄTER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46269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46269</v>
      </c>
      <c r="F275" t="inlineStr">
        <is>
          <t>DALARNAS LÄN</t>
        </is>
      </c>
      <c r="G275" t="inlineStr">
        <is>
          <t>SÄTER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46269</v>
      </c>
      <c r="F276" t="inlineStr">
        <is>
          <t>DALARNAS LÄN</t>
        </is>
      </c>
      <c r="G276" t="inlineStr">
        <is>
          <t>SÄTER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46269</v>
      </c>
      <c r="F277" t="inlineStr">
        <is>
          <t>DALARNAS LÄN</t>
        </is>
      </c>
      <c r="G277" t="inlineStr">
        <is>
          <t>SÄTER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46269</v>
      </c>
      <c r="F278" t="inlineStr">
        <is>
          <t>DALARNAS LÄN</t>
        </is>
      </c>
      <c r="G278" t="inlineStr">
        <is>
          <t>SÄTER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46234</v>
      </c>
      <c r="E279" s="1" t="n">
        <v>46269</v>
      </c>
      <c r="F279" t="inlineStr">
        <is>
          <t>DALARNAS LÄN</t>
        </is>
      </c>
      <c r="G279" t="inlineStr">
        <is>
          <t>SÄTER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46027</v>
      </c>
      <c r="E280" s="1" t="n">
        <v>46269</v>
      </c>
      <c r="F280" t="inlineStr">
        <is>
          <t>DALARNAS LÄN</t>
        </is>
      </c>
      <c r="G280" t="inlineStr">
        <is>
          <t>SÄTER</t>
        </is>
      </c>
      <c r="I280" t="n">
        <v>12.1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46026</v>
      </c>
      <c r="E281" s="1" t="n">
        <v>46269</v>
      </c>
      <c r="F281" t="inlineStr">
        <is>
          <t>DALARNAS LÄN</t>
        </is>
      </c>
      <c r="G281" t="inlineStr">
        <is>
          <t>SÄTER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987-2026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46030</v>
      </c>
      <c r="E282" s="1" t="n">
        <v>46269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46269</v>
      </c>
      <c r="F283" t="inlineStr">
        <is>
          <t>DALARNAS LÄN</t>
        </is>
      </c>
      <c r="G283" t="inlineStr">
        <is>
          <t>SÄTER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46031</v>
      </c>
      <c r="E284" s="1" t="n">
        <v>46269</v>
      </c>
      <c r="F284" t="inlineStr">
        <is>
          <t>DALARNAS LÄN</t>
        </is>
      </c>
      <c r="G284" t="inlineStr">
        <is>
          <t>SÄTER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46269</v>
      </c>
      <c r="F285" t="inlineStr">
        <is>
          <t>DALARNAS LÄN</t>
        </is>
      </c>
      <c r="G285" t="inlineStr">
        <is>
          <t>SÄTER</t>
        </is>
      </c>
      <c r="H285" t="inlineStr">
        <is>
          <t>Kommuner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46269</v>
      </c>
      <c r="F286" t="inlineStr">
        <is>
          <t>DALARNAS LÄN</t>
        </is>
      </c>
      <c r="G286" t="inlineStr">
        <is>
          <t>SÄTER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46269</v>
      </c>
      <c r="F287" t="inlineStr">
        <is>
          <t>DALARNAS LÄN</t>
        </is>
      </c>
      <c r="G287" t="inlineStr">
        <is>
          <t>SÄTER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46269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46269</v>
      </c>
      <c r="F289" t="inlineStr">
        <is>
          <t>DALARNAS LÄN</t>
        </is>
      </c>
      <c r="G289" t="inlineStr">
        <is>
          <t>SÄTER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46269</v>
      </c>
      <c r="F290" t="inlineStr">
        <is>
          <t>DALARNAS LÄN</t>
        </is>
      </c>
      <c r="G290" t="inlineStr">
        <is>
          <t>SÄTER</t>
        </is>
      </c>
      <c r="I290" t="n">
        <v>10.9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28281-2026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46269</v>
      </c>
      <c r="F291" t="inlineStr">
        <is>
          <t>DALARNAS LÄN</t>
        </is>
      </c>
      <c r="G291" t="inlineStr">
        <is>
          <t>SÄTER</t>
        </is>
      </c>
      <c r="H291" t="inlineStr">
        <is>
          <t>Sveaskog</t>
        </is>
      </c>
      <c r="I291" t="n">
        <v>19.8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46269</v>
      </c>
      <c r="F292" t="inlineStr">
        <is>
          <t>DALARNAS LÄN</t>
        </is>
      </c>
      <c r="G292" t="inlineStr">
        <is>
          <t>SÄTER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44643</v>
      </c>
      <c r="E293" s="1" t="n">
        <v>46269</v>
      </c>
      <c r="F293" t="inlineStr">
        <is>
          <t>DALARNAS LÄN</t>
        </is>
      </c>
      <c r="G293" t="inlineStr">
        <is>
          <t>SÄTER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46269</v>
      </c>
      <c r="F294" t="inlineStr">
        <is>
          <t>DALARNAS LÄN</t>
        </is>
      </c>
      <c r="G294" t="inlineStr">
        <is>
          <t>SÄTER</t>
        </is>
      </c>
      <c r="I294" t="n">
        <v>10.6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46269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46269</v>
      </c>
      <c r="F296" t="inlineStr">
        <is>
          <t>DALARNAS LÄN</t>
        </is>
      </c>
      <c r="G296" t="inlineStr">
        <is>
          <t>SÄTER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46204</v>
      </c>
      <c r="E297" s="1" t="n">
        <v>46269</v>
      </c>
      <c r="F297" t="inlineStr">
        <is>
          <t>DALARNAS LÄN</t>
        </is>
      </c>
      <c r="G297" t="inlineStr">
        <is>
          <t>SÄTER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46269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46269</v>
      </c>
      <c r="F299" t="inlineStr">
        <is>
          <t>DALARNAS LÄN</t>
        </is>
      </c>
      <c r="G299" t="inlineStr">
        <is>
          <t>SÄTER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46269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46269</v>
      </c>
      <c r="F301" t="inlineStr">
        <is>
          <t>DALARNAS LÄN</t>
        </is>
      </c>
      <c r="G301" t="inlineStr">
        <is>
          <t>SÄTER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46269</v>
      </c>
      <c r="F302" t="inlineStr">
        <is>
          <t>DALARNAS LÄN</t>
        </is>
      </c>
      <c r="G302" t="inlineStr">
        <is>
          <t>SÄTER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46269</v>
      </c>
      <c r="F303" t="inlineStr">
        <is>
          <t>DALARNAS LÄN</t>
        </is>
      </c>
      <c r="G303" t="inlineStr">
        <is>
          <t>SÄTER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46269</v>
      </c>
      <c r="F304" t="inlineStr">
        <is>
          <t>DALARNAS LÄN</t>
        </is>
      </c>
      <c r="G304" t="inlineStr">
        <is>
          <t>SÄTER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46269</v>
      </c>
      <c r="F305" t="inlineStr">
        <is>
          <t>DALARNAS LÄN</t>
        </is>
      </c>
      <c r="G305" t="inlineStr">
        <is>
          <t>SÄTER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46269</v>
      </c>
      <c r="F306" t="inlineStr">
        <is>
          <t>DALARNAS LÄN</t>
        </is>
      </c>
      <c r="G306" t="inlineStr">
        <is>
          <t>SÄTER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46269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46269</v>
      </c>
      <c r="F308" t="inlineStr">
        <is>
          <t>DALARNAS LÄN</t>
        </is>
      </c>
      <c r="G308" t="inlineStr">
        <is>
          <t>SÄTER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46269</v>
      </c>
      <c r="F309" t="inlineStr">
        <is>
          <t>DALARNAS LÄN</t>
        </is>
      </c>
      <c r="G309" t="inlineStr">
        <is>
          <t>SÄTER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46254</v>
      </c>
      <c r="E310" s="1" t="n">
        <v>46269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46211</v>
      </c>
      <c r="E311" s="1" t="n">
        <v>46269</v>
      </c>
      <c r="F311" t="inlineStr">
        <is>
          <t>DALARNAS LÄN</t>
        </is>
      </c>
      <c r="G311" t="inlineStr">
        <is>
          <t>SÄTER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46269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46269</v>
      </c>
      <c r="F313" t="inlineStr">
        <is>
          <t>DALARNAS LÄN</t>
        </is>
      </c>
      <c r="G313" t="inlineStr">
        <is>
          <t>SÄTER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12322-2026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46269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46083</v>
      </c>
      <c r="E315" s="1" t="n">
        <v>46269</v>
      </c>
      <c r="F315" t="inlineStr">
        <is>
          <t>DALARNAS LÄN</t>
        </is>
      </c>
      <c r="G315" t="inlineStr">
        <is>
          <t>SÄTER</t>
        </is>
      </c>
      <c r="H315" t="inlineStr">
        <is>
          <t>Kommuner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46093</v>
      </c>
      <c r="E316" s="1" t="n">
        <v>46269</v>
      </c>
      <c r="F316" t="inlineStr">
        <is>
          <t>DALARNAS LÄN</t>
        </is>
      </c>
      <c r="G316" t="inlineStr">
        <is>
          <t>SÄTER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46269</v>
      </c>
      <c r="F317" t="inlineStr">
        <is>
          <t>DALARNAS LÄN</t>
        </is>
      </c>
      <c r="G317" t="inlineStr">
        <is>
          <t>SÄTER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46269</v>
      </c>
      <c r="F318" t="inlineStr">
        <is>
          <t>DALARNAS LÄN</t>
        </is>
      </c>
      <c r="G318" t="inlineStr">
        <is>
          <t>SÄTER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46269</v>
      </c>
      <c r="F319" t="inlineStr">
        <is>
          <t>DALARNAS LÄN</t>
        </is>
      </c>
      <c r="G319" t="inlineStr">
        <is>
          <t>SÄTER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46269</v>
      </c>
      <c r="F320" t="inlineStr">
        <is>
          <t>DALARNAS LÄN</t>
        </is>
      </c>
      <c r="G320" t="inlineStr">
        <is>
          <t>SÄTER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46269</v>
      </c>
      <c r="F321" t="inlineStr">
        <is>
          <t>DALARNAS LÄN</t>
        </is>
      </c>
      <c r="G321" t="inlineStr">
        <is>
          <t>SÄTER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45599</v>
      </c>
      <c r="E322" s="1" t="n">
        <v>46269</v>
      </c>
      <c r="F322" t="inlineStr">
        <is>
          <t>DALARNAS LÄN</t>
        </is>
      </c>
      <c r="G322" t="inlineStr">
        <is>
          <t>SÄTER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46269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46269</v>
      </c>
      <c r="F324" t="inlineStr">
        <is>
          <t>DALARNAS LÄN</t>
        </is>
      </c>
      <c r="G324" t="inlineStr">
        <is>
          <t>SÄTER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46269</v>
      </c>
      <c r="F325" t="inlineStr">
        <is>
          <t>DALARNAS LÄN</t>
        </is>
      </c>
      <c r="G325" t="inlineStr">
        <is>
          <t>SÄTER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45628</v>
      </c>
      <c r="E326" s="1" t="n">
        <v>46269</v>
      </c>
      <c r="F326" t="inlineStr">
        <is>
          <t>DALARNAS LÄN</t>
        </is>
      </c>
      <c r="G326" t="inlineStr">
        <is>
          <t>SÄTER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35564-2026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46262</v>
      </c>
      <c r="E327" s="1" t="n">
        <v>46269</v>
      </c>
      <c r="F327" t="inlineStr">
        <is>
          <t>DALARNAS LÄN</t>
        </is>
      </c>
      <c r="G327" t="inlineStr">
        <is>
          <t>SÄTER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46261</v>
      </c>
      <c r="E328" s="1" t="n">
        <v>46269</v>
      </c>
      <c r="F328" t="inlineStr">
        <is>
          <t>DALARNAS LÄN</t>
        </is>
      </c>
      <c r="G328" t="inlineStr">
        <is>
          <t>SÄTER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44982</v>
      </c>
      <c r="E329" s="1" t="n">
        <v>46269</v>
      </c>
      <c r="F329" t="inlineStr">
        <is>
          <t>DALARNAS LÄN</t>
        </is>
      </c>
      <c r="G329" t="inlineStr">
        <is>
          <t>SÄTER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46269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45268</v>
      </c>
      <c r="E331" s="1" t="n">
        <v>46269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46113</v>
      </c>
      <c r="E332" s="1" t="n">
        <v>46269</v>
      </c>
      <c r="F332" t="inlineStr">
        <is>
          <t>DALARNAS LÄN</t>
        </is>
      </c>
      <c r="G332" t="inlineStr">
        <is>
          <t>SÄTER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44817</v>
      </c>
      <c r="E333" s="1" t="n">
        <v>46269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46269</v>
      </c>
      <c r="F334" t="inlineStr">
        <is>
          <t>DALARNAS LÄN</t>
        </is>
      </c>
      <c r="G334" t="inlineStr">
        <is>
          <t>SÄTER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46269</v>
      </c>
      <c r="F335" t="inlineStr">
        <is>
          <t>DALARNAS LÄN</t>
        </is>
      </c>
      <c r="G335" t="inlineStr">
        <is>
          <t>SÄTER</t>
        </is>
      </c>
      <c r="H335" t="inlineStr">
        <is>
          <t>Kommuner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46269</v>
      </c>
      <c r="F336" t="inlineStr">
        <is>
          <t>DALARNAS LÄN</t>
        </is>
      </c>
      <c r="G336" t="inlineStr">
        <is>
          <t>SÄTER</t>
        </is>
      </c>
      <c r="I336" t="n">
        <v>15.2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46269</v>
      </c>
      <c r="F337" t="inlineStr">
        <is>
          <t>DALARNAS LÄN</t>
        </is>
      </c>
      <c r="G337" t="inlineStr">
        <is>
          <t>SÄTER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46269</v>
      </c>
      <c r="F338" t="inlineStr">
        <is>
          <t>DALARNAS LÄN</t>
        </is>
      </c>
      <c r="G338" t="inlineStr">
        <is>
          <t>SÄTER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44784</v>
      </c>
      <c r="E339" s="1" t="n">
        <v>46269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46269</v>
      </c>
      <c r="F340" t="inlineStr">
        <is>
          <t>DALARNAS LÄN</t>
        </is>
      </c>
      <c r="G340" t="inlineStr">
        <is>
          <t>SÄTER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46269</v>
      </c>
      <c r="F341" t="inlineStr">
        <is>
          <t>DALARNAS LÄN</t>
        </is>
      </c>
      <c r="G341" t="inlineStr">
        <is>
          <t>SÄTER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46269</v>
      </c>
      <c r="F342" t="inlineStr">
        <is>
          <t>DALARNAS LÄN</t>
        </is>
      </c>
      <c r="G342" t="inlineStr">
        <is>
          <t>SÄTER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45527</v>
      </c>
      <c r="E343" s="1" t="n">
        <v>46269</v>
      </c>
      <c r="F343" t="inlineStr">
        <is>
          <t>DALARNAS LÄN</t>
        </is>
      </c>
      <c r="G343" t="inlineStr">
        <is>
          <t>SÄTER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62533-2023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45268</v>
      </c>
      <c r="E344" s="1" t="n">
        <v>46269</v>
      </c>
      <c r="F344" t="inlineStr">
        <is>
          <t>DALARNAS LÄN</t>
        </is>
      </c>
      <c r="G344" t="inlineStr">
        <is>
          <t>SÄTER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45526</v>
      </c>
      <c r="E345" s="1" t="n">
        <v>46269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37923-2022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44811</v>
      </c>
      <c r="E346" s="1" t="n">
        <v>46269</v>
      </c>
      <c r="F346" t="inlineStr">
        <is>
          <t>DALARNAS LÄN</t>
        </is>
      </c>
      <c r="G346" t="inlineStr">
        <is>
          <t>SÄTER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44978</v>
      </c>
      <c r="E347" s="1" t="n">
        <v>46269</v>
      </c>
      <c r="F347" t="inlineStr">
        <is>
          <t>DALARNAS LÄN</t>
        </is>
      </c>
      <c r="G347" t="inlineStr">
        <is>
          <t>SÄTER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46269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42225-2022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44830</v>
      </c>
      <c r="E349" s="1" t="n">
        <v>46269</v>
      </c>
      <c r="F349" t="inlineStr">
        <is>
          <t>DALARNAS LÄN</t>
        </is>
      </c>
      <c r="G349" t="inlineStr">
        <is>
          <t>SÄTER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10406-2024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46269</v>
      </c>
      <c r="F350" t="inlineStr">
        <is>
          <t>DALARNAS LÄN</t>
        </is>
      </c>
      <c r="G350" t="inlineStr">
        <is>
          <t>SÄTER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51333-2024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45604</v>
      </c>
      <c r="E351" s="1" t="n">
        <v>46269</v>
      </c>
      <c r="F351" t="inlineStr">
        <is>
          <t>DALARNAS LÄN</t>
        </is>
      </c>
      <c r="G351" t="inlineStr">
        <is>
          <t>SÄTER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41643-2023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45175</v>
      </c>
      <c r="E352" s="1" t="n">
        <v>46269</v>
      </c>
      <c r="F352" t="inlineStr">
        <is>
          <t>DALARNAS LÄN</t>
        </is>
      </c>
      <c r="G352" t="inlineStr">
        <is>
          <t>SÄTER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45664</v>
      </c>
      <c r="E353" s="1" t="n">
        <v>46269</v>
      </c>
      <c r="F353" t="inlineStr">
        <is>
          <t>DALARNAS LÄN</t>
        </is>
      </c>
      <c r="G353" t="inlineStr">
        <is>
          <t>SÄTER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  <c r="Z353">
        <f>HYPERLINK("https://klasma.github.io/Logging_2082/knärot/A 498-2025 karta knärot.png", "A 498-2025")</f>
        <v/>
      </c>
      <c r="AA353">
        <f>HYPERLINK("https://klasma.github.io/Logging_2082/klagomål/A 498-2025 FSC-klagomål.docx", "A 498-2025")</f>
        <v/>
      </c>
      <c r="AB353">
        <f>HYPERLINK("https://klasma.github.io/Logging_2082/klagomålsmail/A 498-2025 FSC-klagomål mail.docx", "A 498-2025")</f>
        <v/>
      </c>
      <c r="AC353">
        <f>HYPERLINK("https://klasma.github.io/Logging_2082/tillsyn/A 498-2025 tillsynsbegäran.docx", "A 498-2025")</f>
        <v/>
      </c>
      <c r="AD353">
        <f>HYPERLINK("https://klasma.github.io/Logging_2082/tillsynsmail/A 498-2025 tillsynsbegäran mail.docx", "A 498-2025")</f>
        <v/>
      </c>
    </row>
    <row r="354" ht="15" customHeight="1">
      <c r="A354" t="inlineStr">
        <is>
          <t>A 61344-2023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45264</v>
      </c>
      <c r="E354" s="1" t="n">
        <v>46269</v>
      </c>
      <c r="F354" t="inlineStr">
        <is>
          <t>DALARNAS LÄN</t>
        </is>
      </c>
      <c r="G354" t="inlineStr">
        <is>
          <t>SÄTER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46269</v>
      </c>
      <c r="F355" t="inlineStr">
        <is>
          <t>DALARNAS LÄN</t>
        </is>
      </c>
      <c r="G355" t="inlineStr">
        <is>
          <t>SÄTER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45171</v>
      </c>
      <c r="E356" s="1" t="n">
        <v>46269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49684-2024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46269</v>
      </c>
      <c r="F357" t="inlineStr">
        <is>
          <t>DALARNAS LÄN</t>
        </is>
      </c>
      <c r="G357" t="inlineStr">
        <is>
          <t>SÄTER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21583-2025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45783</v>
      </c>
      <c r="E358" s="1" t="n">
        <v>46269</v>
      </c>
      <c r="F358" t="inlineStr">
        <is>
          <t>DALARNAS LÄN</t>
        </is>
      </c>
      <c r="G358" t="inlineStr">
        <is>
          <t>SÄTER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19322-2024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45428</v>
      </c>
      <c r="E359" s="1" t="n">
        <v>46269</v>
      </c>
      <c r="F359" t="inlineStr">
        <is>
          <t>DALARNAS LÄN</t>
        </is>
      </c>
      <c r="G359" t="inlineStr">
        <is>
          <t>SÄTER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46269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46269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46269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46269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46269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46269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46269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46269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46269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2026-09-04T02:07:18Z</dcterms:created>
  <dcterms:modified xmlns:dcterms="http://purl.org/dc/terms/" xmlns:xsi="http://www.w3.org/2001/XMLSchema-instance" xsi:type="dcterms:W3CDTF">2026-09-04T02:07:19Z</dcterms:modified>
</cp:coreProperties>
</file>