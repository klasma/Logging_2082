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46231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46231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46231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46231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46231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46231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46231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46231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t="n">
        <v>0</v>
      </c>
      <c r="V14" s="2" t="inlineStr">
        <is>
          <t>Garnlav
Knärot
Nästrot</t>
        </is>
      </c>
      <c r="W14">
        <f>HYPERLINK("https://klasma.github.io/Logging_2082/artfynd/A 27374-2022 artfynd.xlsx", "A 27374-2022")</f>
        <v/>
      </c>
      <c r="X14">
        <f>HYPERLINK("https://klasma.github.io/Logging_2082/kartor/A 27374-2022 karta.png", "A 27374-2022")</f>
        <v/>
      </c>
      <c r="Y14">
        <f>HYPERLINK("https://klasma.github.io/Logging_2082/kartor_geotiff/A 27374-2022 georefererad karta.tif", "A 27374-2022")</f>
        <v/>
      </c>
      <c r="Z14">
        <f>HYPERLINK("https://klasma.github.io/Logging_2082/knärot/A 27374-2022 karta knärot.png", "A 27374-2022")</f>
        <v/>
      </c>
      <c r="AA14">
        <f>HYPERLINK("https://klasma.github.io/Logging_2082/klagomål/A 27374-2022 FSC-klagomål.docx", "A 27374-2022")</f>
        <v/>
      </c>
      <c r="AB14">
        <f>HYPERLINK("https://klasma.github.io/Logging_2082/klagomålsmail/A 27374-2022 FSC-klagomål mail.docx", "A 27374-2022")</f>
        <v/>
      </c>
      <c r="AC14">
        <f>HYPERLINK("https://klasma.github.io/Logging_2082/tillsyn/A 27374-2022 tillsynsbegäran.docx", "A 27374-2022")</f>
        <v/>
      </c>
      <c r="AD14">
        <f>HYPERLINK("https://klasma.github.io/Logging_2082/tillsynsmail/A 27374-2022 tillsynsbegäran mail.docx", "A 27374-2022")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46231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46231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46231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46231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46231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46231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46231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46231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46231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46231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46231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46231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46231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Ullticka
Svavelriska</t>
        </is>
      </c>
      <c r="W27">
        <f>HYPERLINK("https://klasma.github.io/Logging_2082/artfynd/A 23917-2024 artfynd.xlsx", "A 23917-2024")</f>
        <v/>
      </c>
      <c r="X27">
        <f>HYPERLINK("https://klasma.github.io/Logging_2082/kartor/A 23917-2024 karta.png", "A 23917-2024")</f>
        <v/>
      </c>
      <c r="Y27">
        <f>HYPERLINK("https://klasma.github.io/Logging_2082/kartor_geotiff/A 23917-2024 georefererad karta.tif", "A 23917-2024")</f>
        <v/>
      </c>
      <c r="AA27">
        <f>HYPERLINK("https://klasma.github.io/Logging_2082/klagomål/A 23917-2024 FSC-klagomål.docx", "A 23917-2024")</f>
        <v/>
      </c>
      <c r="AB27">
        <f>HYPERLINK("https://klasma.github.io/Logging_2082/klagomålsmail/A 23917-2024 FSC-klagomål mail.docx", "A 23917-2024")</f>
        <v/>
      </c>
      <c r="AC27">
        <f>HYPERLINK("https://klasma.github.io/Logging_2082/tillsyn/A 23917-2024 tillsynsbegäran.docx", "A 23917-2024")</f>
        <v/>
      </c>
      <c r="AD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46231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46231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46231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46231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46231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32383-2022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46231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32383-2022 artfynd.xlsx", "A 32383-2022")</f>
        <v/>
      </c>
      <c r="X34">
        <f>HYPERLINK("https://klasma.github.io/Logging_2082/kartor/A 32383-2022 karta.png", "A 32383-2022")</f>
        <v/>
      </c>
      <c r="Y34">
        <f>HYPERLINK("https://klasma.github.io/Logging_2082/kartor_geotiff/A 32383-2022 georefererad karta.tif", "A 32383-2022")</f>
        <v/>
      </c>
      <c r="Z34">
        <f>HYPERLINK("https://klasma.github.io/Logging_2082/knärot/A 32383-2022 karta knärot.png", "A 32383-2022")</f>
        <v/>
      </c>
      <c r="AA34">
        <f>HYPERLINK("https://klasma.github.io/Logging_2082/klagomål/A 32383-2022 FSC-klagomål.docx", "A 32383-2022")</f>
        <v/>
      </c>
      <c r="AB34">
        <f>HYPERLINK("https://klasma.github.io/Logging_2082/klagomålsmail/A 32383-2022 FSC-klagomål mail.docx", "A 32383-2022")</f>
        <v/>
      </c>
      <c r="AC34">
        <f>HYPERLINK("https://klasma.github.io/Logging_2082/tillsyn/A 32383-2022 tillsynsbegäran.docx", "A 32383-2022")</f>
        <v/>
      </c>
      <c r="AD34">
        <f>HYPERLINK("https://klasma.github.io/Logging_2082/tillsynsmail/A 32383-2022 tillsynsbegäran mail.docx", "A 32383-2022")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46231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39406-2024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45551</v>
      </c>
      <c r="E36" s="1" t="n">
        <v>46231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Sotriska</t>
        </is>
      </c>
      <c r="W36">
        <f>HYPERLINK("https://klasma.github.io/Logging_2082/artfynd/A 39406-2024 artfynd.xlsx", "A 39406-2024")</f>
        <v/>
      </c>
      <c r="X36">
        <f>HYPERLINK("https://klasma.github.io/Logging_2082/kartor/A 39406-2024 karta.png", "A 39406-2024")</f>
        <v/>
      </c>
      <c r="Y36">
        <f>HYPERLINK("https://klasma.github.io/Logging_2082/kartor_geotiff/A 39406-2024 georefererad karta.tif", "A 39406-2024")</f>
        <v/>
      </c>
      <c r="AA36">
        <f>HYPERLINK("https://klasma.github.io/Logging_2082/klagomål/A 39406-2024 FSC-klagomål.docx", "A 39406-2024")</f>
        <v/>
      </c>
      <c r="AB36">
        <f>HYPERLINK("https://klasma.github.io/Logging_2082/klagomålsmail/A 39406-2024 FSC-klagomål mail.docx", "A 39406-2024")</f>
        <v/>
      </c>
      <c r="AC36">
        <f>HYPERLINK("https://klasma.github.io/Logging_2082/tillsyn/A 39406-2024 tillsynsbegäran.docx", "A 39406-2024")</f>
        <v/>
      </c>
      <c r="AD36">
        <f>HYPERLINK("https://klasma.github.io/Logging_2082/tillsynsmail/A 39406-2024 tillsynsbegäran mail.docx", "A 39406-2024")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46231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HYPERLINK("https://klasma.github.io/Logging_2082/artfynd/A 57427-2022 artfynd.xlsx", "A 57427-2022")</f>
        <v/>
      </c>
      <c r="X37">
        <f>HYPERLINK("https://klasma.github.io/Logging_2082/kartor/A 57427-2022 karta.png", "A 57427-2022")</f>
        <v/>
      </c>
      <c r="Y37">
        <f>HYPERLINK("https://klasma.github.io/Logging_2082/kartor_geotiff/A 57427-2022 georefererad karta.tif", "A 57427-2022")</f>
        <v/>
      </c>
      <c r="AA37">
        <f>HYPERLINK("https://klasma.github.io/Logging_2082/klagomål/A 57427-2022 FSC-klagomål.docx", "A 57427-2022")</f>
        <v/>
      </c>
      <c r="AB37">
        <f>HYPERLINK("https://klasma.github.io/Logging_2082/klagomålsmail/A 57427-2022 FSC-klagomål mail.docx", "A 57427-2022")</f>
        <v/>
      </c>
      <c r="AC37">
        <f>HYPERLINK("https://klasma.github.io/Logging_2082/tillsyn/A 57427-2022 tillsynsbegäran.docx", "A 57427-2022")</f>
        <v/>
      </c>
      <c r="AD37">
        <f>HYPERLINK("https://klasma.github.io/Logging_2082/tillsynsmail/A 57427-2022 tillsynsbegäran mail.docx", "A 57427-2022")</f>
        <v/>
      </c>
    </row>
    <row r="38" ht="15" customHeight="1">
      <c r="A38" t="inlineStr">
        <is>
          <t>A 47661-2025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46231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13.8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Järnsparv</t>
        </is>
      </c>
      <c r="W38">
        <f>HYPERLINK("https://klasma.github.io/Logging_2082/artfynd/A 47661-2025 artfynd.xlsx", "A 47661-2025")</f>
        <v/>
      </c>
      <c r="X38">
        <f>HYPERLINK("https://klasma.github.io/Logging_2082/kartor/A 47661-2025 karta.png", "A 47661-2025")</f>
        <v/>
      </c>
      <c r="Y38">
        <f>HYPERLINK("https://klasma.github.io/Logging_2082/kartor_geotiff/A 47661-2025 georefererad karta.tif", "A 47661-2025")</f>
        <v/>
      </c>
      <c r="AA38">
        <f>HYPERLINK("https://klasma.github.io/Logging_2082/klagomål/A 47661-2025 FSC-klagomål.docx", "A 47661-2025")</f>
        <v/>
      </c>
      <c r="AB38">
        <f>HYPERLINK("https://klasma.github.io/Logging_2082/klagomålsmail/A 47661-2025 FSC-klagomål mail.docx", "A 47661-2025")</f>
        <v/>
      </c>
      <c r="AC38">
        <f>HYPERLINK("https://klasma.github.io/Logging_2082/tillsyn/A 47661-2025 tillsynsbegäran.docx", "A 47661-2025")</f>
        <v/>
      </c>
      <c r="AD38">
        <f>HYPERLINK("https://klasma.github.io/Logging_2082/tillsynsmail/A 47661-2025 tillsynsbegäran mail.docx", "A 47661-2025")</f>
        <v/>
      </c>
      <c r="AE38">
        <f>HYPERLINK("https://klasma.github.io/Logging_2082/fåglar/A 47661-2025 prioriterade fågelarter.docx", "A 47661-2025")</f>
        <v/>
      </c>
    </row>
    <row r="39" ht="15" customHeight="1">
      <c r="A39" t="inlineStr">
        <is>
          <t>A 21120-2026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46231</v>
      </c>
      <c r="F39" t="inlineStr">
        <is>
          <t>DALARNAS LÄN</t>
        </is>
      </c>
      <c r="G39" t="inlineStr">
        <is>
          <t>SÄTER</t>
        </is>
      </c>
      <c r="I39" t="n">
        <v>4.8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21120-2026 artfynd.xlsx", "A 21120-2026")</f>
        <v/>
      </c>
      <c r="X39">
        <f>HYPERLINK("https://klasma.github.io/Logging_2082/kartor/A 21120-2026 karta.png", "A 21120-2026")</f>
        <v/>
      </c>
      <c r="Y39">
        <f>HYPERLINK("https://klasma.github.io/Logging_2082/kartor_geotiff/A 21120-2026 georefererad karta.tif", "A 21120-2026")</f>
        <v/>
      </c>
      <c r="Z39">
        <f>HYPERLINK("https://klasma.github.io/Logging_2082/knärot/A 21120-2026 karta knärot.png", "A 21120-2026")</f>
        <v/>
      </c>
      <c r="AA39">
        <f>HYPERLINK("https://klasma.github.io/Logging_2082/klagomål/A 21120-2026 FSC-klagomål.docx", "A 21120-2026")</f>
        <v/>
      </c>
      <c r="AB39">
        <f>HYPERLINK("https://klasma.github.io/Logging_2082/klagomålsmail/A 21120-2026 FSC-klagomål mail.docx", "A 21120-2026")</f>
        <v/>
      </c>
      <c r="AC39">
        <f>HYPERLINK("https://klasma.github.io/Logging_2082/tillsyn/A 21120-2026 tillsynsbegäran.docx", "A 21120-2026")</f>
        <v/>
      </c>
      <c r="AD39">
        <f>HYPERLINK("https://klasma.github.io/Logging_2082/tillsynsmail/A 21120-2026 tillsynsbegäran mail.docx", "A 21120-2026")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46231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46231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49653-2025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45939</v>
      </c>
      <c r="E42" s="1" t="n">
        <v>46231</v>
      </c>
      <c r="F42" t="inlineStr">
        <is>
          <t>DALARNAS LÄN</t>
        </is>
      </c>
      <c r="G42" t="inlineStr">
        <is>
          <t>SÄTER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49653-2025 artfynd.xlsx", "A 49653-2025")</f>
        <v/>
      </c>
      <c r="X42">
        <f>HYPERLINK("https://klasma.github.io/Logging_2082/kartor/A 49653-2025 karta.png", "A 49653-2025")</f>
        <v/>
      </c>
      <c r="Y42">
        <f>HYPERLINK("https://klasma.github.io/Logging_2082/kartor_geotiff/A 49653-2025 georefererad karta.tif", "A 49653-2025")</f>
        <v/>
      </c>
      <c r="AA42">
        <f>HYPERLINK("https://klasma.github.io/Logging_2082/klagomål/A 49653-2025 FSC-klagomål.docx", "A 49653-2025")</f>
        <v/>
      </c>
      <c r="AB42">
        <f>HYPERLINK("https://klasma.github.io/Logging_2082/klagomålsmail/A 49653-2025 FSC-klagomål mail.docx", "A 49653-2025")</f>
        <v/>
      </c>
      <c r="AC42">
        <f>HYPERLINK("https://klasma.github.io/Logging_2082/tillsyn/A 49653-2025 tillsynsbegäran.docx", "A 49653-2025")</f>
        <v/>
      </c>
      <c r="AD42">
        <f>HYPERLINK("https://klasma.github.io/Logging_2082/tillsynsmail/A 49653-2025 tillsynsbegäran mail.docx", "A 49653-2025")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46231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61197-2025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46231</v>
      </c>
      <c r="F44" t="inlineStr">
        <is>
          <t>DALARNAS LÄN</t>
        </is>
      </c>
      <c r="G44" t="inlineStr">
        <is>
          <t>SÄTER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HYPERLINK("https://klasma.github.io/Logging_2082/artfynd/A 61197-2025 artfynd.xlsx", "A 61197-2025")</f>
        <v/>
      </c>
      <c r="X44">
        <f>HYPERLINK("https://klasma.github.io/Logging_2082/kartor/A 61197-2025 karta.png", "A 61197-2025")</f>
        <v/>
      </c>
      <c r="Y44">
        <f>HYPERLINK("https://klasma.github.io/Logging_2082/kartor_geotiff/A 61197-2025 georefererad karta.tif", "A 61197-2025")</f>
        <v/>
      </c>
      <c r="Z44">
        <f>HYPERLINK("https://klasma.github.io/Logging_2082/knärot/A 61197-2025 karta knärot.png", "A 61197-2025")</f>
        <v/>
      </c>
      <c r="AA44">
        <f>HYPERLINK("https://klasma.github.io/Logging_2082/klagomål/A 61197-2025 FSC-klagomål.docx", "A 61197-2025")</f>
        <v/>
      </c>
      <c r="AB44">
        <f>HYPERLINK("https://klasma.github.io/Logging_2082/klagomålsmail/A 61197-2025 FSC-klagomål mail.docx", "A 61197-2025")</f>
        <v/>
      </c>
      <c r="AC44">
        <f>HYPERLINK("https://klasma.github.io/Logging_2082/tillsyn/A 61197-2025 tillsynsbegäran.docx", "A 61197-2025")</f>
        <v/>
      </c>
      <c r="AD44">
        <f>HYPERLINK("https://klasma.github.io/Logging_2082/tillsynsmail/A 61197-2025 tillsynsbegäran mail.docx", "A 61197-2025")</f>
        <v/>
      </c>
    </row>
    <row r="45" ht="15" customHeight="1">
      <c r="A45" t="inlineStr">
        <is>
          <t>A 47064-2021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46231</v>
      </c>
      <c r="F45" t="inlineStr">
        <is>
          <t>DALARNAS LÄN</t>
        </is>
      </c>
      <c r="G45" t="inlineStr">
        <is>
          <t>SÄTER</t>
        </is>
      </c>
      <c r="I45" t="n">
        <v>2.9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Sädesärla</t>
        </is>
      </c>
      <c r="W45">
        <f>HYPERLINK("https://klasma.github.io/Logging_2082/artfynd/A 47064-2021 artfynd.xlsx", "A 47064-2021")</f>
        <v/>
      </c>
      <c r="X45">
        <f>HYPERLINK("https://klasma.github.io/Logging_2082/kartor/A 47064-2021 karta.png", "A 47064-2021")</f>
        <v/>
      </c>
      <c r="Y45">
        <f>HYPERLINK("https://klasma.github.io/Logging_2082/kartor_geotiff/A 47064-2021 georefererad karta.tif", "A 47064-2021")</f>
        <v/>
      </c>
      <c r="AA45">
        <f>HYPERLINK("https://klasma.github.io/Logging_2082/klagomål/A 47064-2021 FSC-klagomål.docx", "A 47064-2021")</f>
        <v/>
      </c>
      <c r="AB45">
        <f>HYPERLINK("https://klasma.github.io/Logging_2082/klagomålsmail/A 47064-2021 FSC-klagomål mail.docx", "A 47064-2021")</f>
        <v/>
      </c>
      <c r="AC45">
        <f>HYPERLINK("https://klasma.github.io/Logging_2082/tillsyn/A 47064-2021 tillsynsbegäran.docx", "A 47064-2021")</f>
        <v/>
      </c>
      <c r="AD45">
        <f>HYPERLINK("https://klasma.github.io/Logging_2082/tillsynsmail/A 47064-2021 tillsynsbegäran mail.docx", "A 47064-2021")</f>
        <v/>
      </c>
      <c r="AE45">
        <f>HYPERLINK("https://klasma.github.io/Logging_2082/fåglar/A 47064-2021 prioriterade fågelarter.docx", "A 47064-2021")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46231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46231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46231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46231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46231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46231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46231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46231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46231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46231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46231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46231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46231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46231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46231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46231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46231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46231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46231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46231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46231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46231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46231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46231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46231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46231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46231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46231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46231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46231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46231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46231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46231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46231</v>
      </c>
      <c r="F80" t="inlineStr">
        <is>
          <t>DALARNAS LÄN</t>
        </is>
      </c>
      <c r="G80" t="inlineStr">
        <is>
          <t>SÄTER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46231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46231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46231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44869</v>
      </c>
      <c r="E84" s="1" t="n">
        <v>46231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46231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46231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46231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46231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44908</v>
      </c>
      <c r="E89" s="1" t="n">
        <v>46231</v>
      </c>
      <c r="F89" t="inlineStr">
        <is>
          <t>DALARNAS LÄN</t>
        </is>
      </c>
      <c r="G89" t="inlineStr">
        <is>
          <t>SÄTER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46231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46231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46231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46231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46231</v>
      </c>
      <c r="F94" t="inlineStr">
        <is>
          <t>DALARNAS LÄN</t>
        </is>
      </c>
      <c r="G94" t="inlineStr">
        <is>
          <t>SÄTER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46231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46231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46231</v>
      </c>
      <c r="F97" t="inlineStr">
        <is>
          <t>DALARNAS LÄN</t>
        </is>
      </c>
      <c r="G97" t="inlineStr">
        <is>
          <t>SÄTER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1276-2022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44572</v>
      </c>
      <c r="E98" s="1" t="n">
        <v>46231</v>
      </c>
      <c r="F98" t="inlineStr">
        <is>
          <t>DALARNAS LÄN</t>
        </is>
      </c>
      <c r="G98" t="inlineStr">
        <is>
          <t>SÄTER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46231</v>
      </c>
      <c r="F99" t="inlineStr">
        <is>
          <t>DALARNAS LÄN</t>
        </is>
      </c>
      <c r="G99" t="inlineStr">
        <is>
          <t>SÄTER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46231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46231</v>
      </c>
      <c r="F101" t="inlineStr">
        <is>
          <t>DALARNAS LÄN</t>
        </is>
      </c>
      <c r="G101" t="inlineStr">
        <is>
          <t>SÄTER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46030</v>
      </c>
      <c r="E102" s="1" t="n">
        <v>46231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46231</v>
      </c>
      <c r="F103" t="inlineStr">
        <is>
          <t>DALARNAS LÄN</t>
        </is>
      </c>
      <c r="G103" t="inlineStr">
        <is>
          <t>SÄTER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46231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46231</v>
      </c>
      <c r="F105" t="inlineStr">
        <is>
          <t>DALARNAS LÄN</t>
        </is>
      </c>
      <c r="G105" t="inlineStr">
        <is>
          <t>SÄTER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46231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46231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46231</v>
      </c>
      <c r="F108" t="inlineStr">
        <is>
          <t>DALARNAS LÄN</t>
        </is>
      </c>
      <c r="G108" t="inlineStr">
        <is>
          <t>SÄTER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46231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46231</v>
      </c>
      <c r="F110" t="inlineStr">
        <is>
          <t>DALARNAS LÄN</t>
        </is>
      </c>
      <c r="G110" t="inlineStr">
        <is>
          <t>SÄTER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46231</v>
      </c>
      <c r="F111" t="inlineStr">
        <is>
          <t>DALARNAS LÄN</t>
        </is>
      </c>
      <c r="G111" t="inlineStr">
        <is>
          <t>SÄTER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46231</v>
      </c>
      <c r="F112" t="inlineStr">
        <is>
          <t>DALARNAS LÄN</t>
        </is>
      </c>
      <c r="G112" t="inlineStr">
        <is>
          <t>SÄTER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46231</v>
      </c>
      <c r="F113" t="inlineStr">
        <is>
          <t>DALARNAS LÄN</t>
        </is>
      </c>
      <c r="G113" t="inlineStr">
        <is>
          <t>SÄTER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46231</v>
      </c>
      <c r="F114" t="inlineStr">
        <is>
          <t>DALARNAS LÄN</t>
        </is>
      </c>
      <c r="G114" t="inlineStr">
        <is>
          <t>SÄTER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46231</v>
      </c>
      <c r="F115" t="inlineStr">
        <is>
          <t>DALARNAS LÄN</t>
        </is>
      </c>
      <c r="G115" t="inlineStr">
        <is>
          <t>SÄTER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46231</v>
      </c>
      <c r="F116" t="inlineStr">
        <is>
          <t>DALARNAS LÄN</t>
        </is>
      </c>
      <c r="G116" t="inlineStr">
        <is>
          <t>SÄTER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46231</v>
      </c>
      <c r="F117" t="inlineStr">
        <is>
          <t>DALARNAS LÄN</t>
        </is>
      </c>
      <c r="G117" t="inlineStr">
        <is>
          <t>SÄTER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44425</v>
      </c>
      <c r="E118" s="1" t="n">
        <v>46231</v>
      </c>
      <c r="F118" t="inlineStr">
        <is>
          <t>DALARNAS LÄN</t>
        </is>
      </c>
      <c r="G118" t="inlineStr">
        <is>
          <t>SÄTER</t>
        </is>
      </c>
      <c r="I118" t="n">
        <v>10.8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44972</v>
      </c>
      <c r="E119" s="1" t="n">
        <v>46231</v>
      </c>
      <c r="F119" t="inlineStr">
        <is>
          <t>DALARNAS LÄN</t>
        </is>
      </c>
      <c r="G119" t="inlineStr">
        <is>
          <t>SÄTER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46231</v>
      </c>
      <c r="F120" t="inlineStr">
        <is>
          <t>DALARNAS LÄN</t>
        </is>
      </c>
      <c r="G120" t="inlineStr">
        <is>
          <t>SÄTER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46231</v>
      </c>
      <c r="F121" t="inlineStr">
        <is>
          <t>DALARNAS LÄN</t>
        </is>
      </c>
      <c r="G121" t="inlineStr">
        <is>
          <t>SÄTER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46231</v>
      </c>
      <c r="F122" t="inlineStr">
        <is>
          <t>DALARNAS LÄN</t>
        </is>
      </c>
      <c r="G122" t="inlineStr">
        <is>
          <t>SÄTER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46231</v>
      </c>
      <c r="F123" t="inlineStr">
        <is>
          <t>DALARNAS LÄN</t>
        </is>
      </c>
      <c r="G123" t="inlineStr">
        <is>
          <t>SÄTER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46231</v>
      </c>
      <c r="F124" t="inlineStr">
        <is>
          <t>DALARNAS LÄN</t>
        </is>
      </c>
      <c r="G124" t="inlineStr">
        <is>
          <t>SÄTER</t>
        </is>
      </c>
      <c r="I124" t="n">
        <v>10.6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3445-2026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46042</v>
      </c>
      <c r="E125" s="1" t="n">
        <v>46231</v>
      </c>
      <c r="F125" t="inlineStr">
        <is>
          <t>DALARNAS LÄN</t>
        </is>
      </c>
      <c r="G125" t="inlineStr">
        <is>
          <t>SÄTER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46231</v>
      </c>
      <c r="F126" t="inlineStr">
        <is>
          <t>DALARNAS LÄN</t>
        </is>
      </c>
      <c r="G126" t="inlineStr">
        <is>
          <t>SÄTER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45138</v>
      </c>
      <c r="E127" s="1" t="n">
        <v>46231</v>
      </c>
      <c r="F127" t="inlineStr">
        <is>
          <t>DALARNAS LÄN</t>
        </is>
      </c>
      <c r="G127" t="inlineStr">
        <is>
          <t>SÄTER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46231</v>
      </c>
      <c r="F128" t="inlineStr">
        <is>
          <t>DALARNAS LÄN</t>
        </is>
      </c>
      <c r="G128" t="inlineStr">
        <is>
          <t>SÄTER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46231</v>
      </c>
      <c r="F129" t="inlineStr">
        <is>
          <t>DALARNAS LÄN</t>
        </is>
      </c>
      <c r="G129" t="inlineStr">
        <is>
          <t>SÄTER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46231</v>
      </c>
      <c r="F130" t="inlineStr">
        <is>
          <t>DALARNAS LÄN</t>
        </is>
      </c>
      <c r="G130" t="inlineStr">
        <is>
          <t>SÄTER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46231</v>
      </c>
      <c r="F131" t="inlineStr">
        <is>
          <t>DALARNAS LÄN</t>
        </is>
      </c>
      <c r="G131" t="inlineStr">
        <is>
          <t>SÄTER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46231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46231</v>
      </c>
      <c r="F133" t="inlineStr">
        <is>
          <t>DALARNAS LÄN</t>
        </is>
      </c>
      <c r="G133" t="inlineStr">
        <is>
          <t>SÄTER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44413</v>
      </c>
      <c r="E134" s="1" t="n">
        <v>46231</v>
      </c>
      <c r="F134" t="inlineStr">
        <is>
          <t>DALARNAS LÄN</t>
        </is>
      </c>
      <c r="G134" t="inlineStr">
        <is>
          <t>SÄTER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46231</v>
      </c>
      <c r="F135" t="inlineStr">
        <is>
          <t>DALARNAS LÄN</t>
        </is>
      </c>
      <c r="G135" t="inlineStr">
        <is>
          <t>SÄTER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46231</v>
      </c>
      <c r="F136" t="inlineStr">
        <is>
          <t>DALARNAS LÄN</t>
        </is>
      </c>
      <c r="G136" t="inlineStr">
        <is>
          <t>SÄTER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46057</v>
      </c>
      <c r="E137" s="1" t="n">
        <v>46231</v>
      </c>
      <c r="F137" t="inlineStr">
        <is>
          <t>DALARNAS LÄN</t>
        </is>
      </c>
      <c r="G137" t="inlineStr">
        <is>
          <t>SÄTER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45638</v>
      </c>
      <c r="E138" s="1" t="n">
        <v>46231</v>
      </c>
      <c r="F138" t="inlineStr">
        <is>
          <t>DALARNAS LÄN</t>
        </is>
      </c>
      <c r="G138" t="inlineStr">
        <is>
          <t>SÄTER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46231</v>
      </c>
      <c r="F139" t="inlineStr">
        <is>
          <t>DALARNAS LÄN</t>
        </is>
      </c>
      <c r="G139" t="inlineStr">
        <is>
          <t>SÄTER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46231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46064</v>
      </c>
      <c r="E141" s="1" t="n">
        <v>46231</v>
      </c>
      <c r="F141" t="inlineStr">
        <is>
          <t>DALARNAS LÄN</t>
        </is>
      </c>
      <c r="G141" t="inlineStr">
        <is>
          <t>SÄTER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46065</v>
      </c>
      <c r="E142" s="1" t="n">
        <v>46231</v>
      </c>
      <c r="F142" t="inlineStr">
        <is>
          <t>DALARNAS LÄN</t>
        </is>
      </c>
      <c r="G142" t="inlineStr">
        <is>
          <t>SÄTER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46231</v>
      </c>
      <c r="F143" t="inlineStr">
        <is>
          <t>DALARNAS LÄN</t>
        </is>
      </c>
      <c r="G143" t="inlineStr">
        <is>
          <t>SÄTER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46231</v>
      </c>
      <c r="F144" t="inlineStr">
        <is>
          <t>DALARNAS LÄN</t>
        </is>
      </c>
      <c r="G144" t="inlineStr">
        <is>
          <t>SÄTER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45569</v>
      </c>
      <c r="E145" s="1" t="n">
        <v>46231</v>
      </c>
      <c r="F145" t="inlineStr">
        <is>
          <t>DALARNAS LÄN</t>
        </is>
      </c>
      <c r="G145" t="inlineStr">
        <is>
          <t>SÄTER</t>
        </is>
      </c>
      <c r="I145" t="n">
        <v>13.2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46231</v>
      </c>
      <c r="F146" t="inlineStr">
        <is>
          <t>DALARNAS LÄN</t>
        </is>
      </c>
      <c r="G146" t="inlineStr">
        <is>
          <t>SÄTER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46231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46231</v>
      </c>
      <c r="F148" t="inlineStr">
        <is>
          <t>DALARNAS LÄN</t>
        </is>
      </c>
      <c r="G148" t="inlineStr">
        <is>
          <t>SÄTER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46231</v>
      </c>
      <c r="F149" t="inlineStr">
        <is>
          <t>DALARNAS LÄN</t>
        </is>
      </c>
      <c r="G149" t="inlineStr">
        <is>
          <t>SÄTER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46231</v>
      </c>
      <c r="F150" t="inlineStr">
        <is>
          <t>DALARNAS LÄN</t>
        </is>
      </c>
      <c r="G150" t="inlineStr">
        <is>
          <t>SÄTER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46231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46077</v>
      </c>
      <c r="E152" s="1" t="n">
        <v>46231</v>
      </c>
      <c r="F152" t="inlineStr">
        <is>
          <t>DALARNAS LÄN</t>
        </is>
      </c>
      <c r="G152" t="inlineStr">
        <is>
          <t>SÄTER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46087</v>
      </c>
      <c r="E153" s="1" t="n">
        <v>46231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45398</v>
      </c>
      <c r="E154" s="1" t="n">
        <v>46231</v>
      </c>
      <c r="F154" t="inlineStr">
        <is>
          <t>DALARNAS LÄN</t>
        </is>
      </c>
      <c r="G154" t="inlineStr">
        <is>
          <t>SÄTER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45576</v>
      </c>
      <c r="E155" s="1" t="n">
        <v>46231</v>
      </c>
      <c r="F155" t="inlineStr">
        <is>
          <t>DALARNAS LÄN</t>
        </is>
      </c>
      <c r="G155" t="inlineStr">
        <is>
          <t>SÄTER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45870</v>
      </c>
      <c r="E156" s="1" t="n">
        <v>46231</v>
      </c>
      <c r="F156" t="inlineStr">
        <is>
          <t>DALARNAS LÄN</t>
        </is>
      </c>
      <c r="G156" t="inlineStr">
        <is>
          <t>SÄTER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46231</v>
      </c>
      <c r="F157" t="inlineStr">
        <is>
          <t>DALARNAS LÄN</t>
        </is>
      </c>
      <c r="G157" t="inlineStr">
        <is>
          <t>SÄTER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42998-2023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45182</v>
      </c>
      <c r="E158" s="1" t="n">
        <v>46231</v>
      </c>
      <c r="F158" t="inlineStr">
        <is>
          <t>DALARNAS LÄN</t>
        </is>
      </c>
      <c r="G158" t="inlineStr">
        <is>
          <t>SÄTER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51320-2024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45604</v>
      </c>
      <c r="E159" s="1" t="n">
        <v>46231</v>
      </c>
      <c r="F159" t="inlineStr">
        <is>
          <t>DALARNAS LÄN</t>
        </is>
      </c>
      <c r="G159" t="inlineStr">
        <is>
          <t>SÄTER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45604</v>
      </c>
      <c r="E160" s="1" t="n">
        <v>46231</v>
      </c>
      <c r="F160" t="inlineStr">
        <is>
          <t>DALARNAS LÄN</t>
        </is>
      </c>
      <c r="G160" t="inlineStr">
        <is>
          <t>SÄTER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46083</v>
      </c>
      <c r="E161" s="1" t="n">
        <v>46231</v>
      </c>
      <c r="F161" t="inlineStr">
        <is>
          <t>DALARNAS LÄN</t>
        </is>
      </c>
      <c r="G161" t="inlineStr">
        <is>
          <t>SÄTER</t>
        </is>
      </c>
      <c r="H161" t="inlineStr">
        <is>
          <t>Kommuner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46231</v>
      </c>
      <c r="F162" t="inlineStr">
        <is>
          <t>DALARNAS LÄN</t>
        </is>
      </c>
      <c r="G162" t="inlineStr">
        <is>
          <t>SÄTER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46231</v>
      </c>
      <c r="F163" t="inlineStr">
        <is>
          <t>DALARNAS LÄN</t>
        </is>
      </c>
      <c r="G163" t="inlineStr">
        <is>
          <t>SÄTER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46092</v>
      </c>
      <c r="E164" s="1" t="n">
        <v>46231</v>
      </c>
      <c r="F164" t="inlineStr">
        <is>
          <t>DALARNAS LÄN</t>
        </is>
      </c>
      <c r="G164" t="inlineStr">
        <is>
          <t>SÄTER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46231</v>
      </c>
      <c r="F165" t="inlineStr">
        <is>
          <t>DALARNAS LÄN</t>
        </is>
      </c>
      <c r="G165" t="inlineStr">
        <is>
          <t>SÄTER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45875</v>
      </c>
      <c r="E166" s="1" t="n">
        <v>46231</v>
      </c>
      <c r="F166" t="inlineStr">
        <is>
          <t>DALARNAS LÄN</t>
        </is>
      </c>
      <c r="G166" t="inlineStr">
        <is>
          <t>SÄTER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45453</v>
      </c>
      <c r="E167" s="1" t="n">
        <v>46231</v>
      </c>
      <c r="F167" t="inlineStr">
        <is>
          <t>DALARNAS LÄN</t>
        </is>
      </c>
      <c r="G167" t="inlineStr">
        <is>
          <t>SÄTER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46231</v>
      </c>
      <c r="F168" t="inlineStr">
        <is>
          <t>DALARNAS LÄN</t>
        </is>
      </c>
      <c r="G168" t="inlineStr">
        <is>
          <t>SÄTER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46231</v>
      </c>
      <c r="F169" t="inlineStr">
        <is>
          <t>DALARNAS LÄN</t>
        </is>
      </c>
      <c r="G169" t="inlineStr">
        <is>
          <t>SÄTER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45628</v>
      </c>
      <c r="E170" s="1" t="n">
        <v>46231</v>
      </c>
      <c r="F170" t="inlineStr">
        <is>
          <t>DALARNAS LÄN</t>
        </is>
      </c>
      <c r="G170" t="inlineStr">
        <is>
          <t>SÄTER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45628</v>
      </c>
      <c r="E171" s="1" t="n">
        <v>46231</v>
      </c>
      <c r="F171" t="inlineStr">
        <is>
          <t>DALARNAS LÄN</t>
        </is>
      </c>
      <c r="G171" t="inlineStr">
        <is>
          <t>SÄTER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46098</v>
      </c>
      <c r="E172" s="1" t="n">
        <v>46231</v>
      </c>
      <c r="F172" t="inlineStr">
        <is>
          <t>DALARNAS LÄN</t>
        </is>
      </c>
      <c r="G172" t="inlineStr">
        <is>
          <t>SÄTER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46098</v>
      </c>
      <c r="E173" s="1" t="n">
        <v>46231</v>
      </c>
      <c r="F173" t="inlineStr">
        <is>
          <t>DALARNAS LÄN</t>
        </is>
      </c>
      <c r="G173" t="inlineStr">
        <is>
          <t>SÄTER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46231</v>
      </c>
      <c r="F174" t="inlineStr">
        <is>
          <t>DALARNAS LÄN</t>
        </is>
      </c>
      <c r="G174" t="inlineStr">
        <is>
          <t>SÄTER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46231</v>
      </c>
      <c r="F175" t="inlineStr">
        <is>
          <t>DALARNAS LÄN</t>
        </is>
      </c>
      <c r="G175" t="inlineStr">
        <is>
          <t>SÄTER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46231</v>
      </c>
      <c r="F176" t="inlineStr">
        <is>
          <t>DALARNAS LÄN</t>
        </is>
      </c>
      <c r="G176" t="inlineStr">
        <is>
          <t>SÄTER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46231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46231</v>
      </c>
      <c r="F178" t="inlineStr">
        <is>
          <t>DALARNAS LÄN</t>
        </is>
      </c>
      <c r="G178" t="inlineStr">
        <is>
          <t>SÄTER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46231</v>
      </c>
      <c r="F179" t="inlineStr">
        <is>
          <t>DALARNAS LÄN</t>
        </is>
      </c>
      <c r="G179" t="inlineStr">
        <is>
          <t>SÄTER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46231</v>
      </c>
      <c r="F180" t="inlineStr">
        <is>
          <t>DALARNAS LÄN</t>
        </is>
      </c>
      <c r="G180" t="inlineStr">
        <is>
          <t>SÄTER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46231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46113</v>
      </c>
      <c r="E182" s="1" t="n">
        <v>46231</v>
      </c>
      <c r="F182" t="inlineStr">
        <is>
          <t>DALARNAS LÄN</t>
        </is>
      </c>
      <c r="G182" t="inlineStr">
        <is>
          <t>SÄTER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46231</v>
      </c>
      <c r="F183" t="inlineStr">
        <is>
          <t>DALARNAS LÄN</t>
        </is>
      </c>
      <c r="G183" t="inlineStr">
        <is>
          <t>SÄTER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46231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46231</v>
      </c>
      <c r="F185" t="inlineStr">
        <is>
          <t>DALARNAS LÄN</t>
        </is>
      </c>
      <c r="G185" t="inlineStr">
        <is>
          <t>SÄTER</t>
        </is>
      </c>
      <c r="I185" t="n">
        <v>15.2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46231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28549-2022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44748</v>
      </c>
      <c r="E187" s="1" t="n">
        <v>46231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46231</v>
      </c>
      <c r="F188" t="inlineStr">
        <is>
          <t>DALARNAS LÄN</t>
        </is>
      </c>
      <c r="G188" t="inlineStr">
        <is>
          <t>SÄTER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46231</v>
      </c>
      <c r="F189" t="inlineStr">
        <is>
          <t>DALARNAS LÄN</t>
        </is>
      </c>
      <c r="G189" t="inlineStr">
        <is>
          <t>SÄTER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46231</v>
      </c>
      <c r="F190" t="inlineStr">
        <is>
          <t>DALARNAS LÄN</t>
        </is>
      </c>
      <c r="G190" t="inlineStr">
        <is>
          <t>SÄTER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46231</v>
      </c>
      <c r="F191" t="inlineStr">
        <is>
          <t>DALARNAS LÄN</t>
        </is>
      </c>
      <c r="G191" t="inlineStr">
        <is>
          <t>SÄTER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46231</v>
      </c>
      <c r="F192" t="inlineStr">
        <is>
          <t>DALARNAS LÄN</t>
        </is>
      </c>
      <c r="G192" t="inlineStr">
        <is>
          <t>SÄTER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46231</v>
      </c>
      <c r="F193" t="inlineStr">
        <is>
          <t>DALARNAS LÄN</t>
        </is>
      </c>
      <c r="G193" t="inlineStr">
        <is>
          <t>SÄTER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HYPERLINK("https://klasma.github.io/Logging_2082/knärot/A 57416-2022 karta knärot.png", "A 57416-2022")</f>
        <v/>
      </c>
      <c r="AA193">
        <f>HYPERLINK("https://klasma.github.io/Logging_2082/klagomål/A 57416-2022 FSC-klagomål.docx", "A 57416-2022")</f>
        <v/>
      </c>
      <c r="AB193">
        <f>HYPERLINK("https://klasma.github.io/Logging_2082/klagomålsmail/A 57416-2022 FSC-klagomål mail.docx", "A 57416-2022")</f>
        <v/>
      </c>
      <c r="AC193">
        <f>HYPERLINK("https://klasma.github.io/Logging_2082/tillsyn/A 57416-2022 tillsynsbegäran.docx", "A 57416-2022")</f>
        <v/>
      </c>
      <c r="AD193">
        <f>HYPERLINK("https://klasma.github.io/Logging_2082/tillsynsmail/A 57416-2022 tillsynsbegäran mail.docx", "A 57416-2022")</f>
        <v/>
      </c>
    </row>
    <row r="194" ht="15" customHeight="1">
      <c r="A194" t="inlineStr">
        <is>
          <t>A 43553-2025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46231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46231</v>
      </c>
      <c r="F195" t="inlineStr">
        <is>
          <t>DALARNAS LÄN</t>
        </is>
      </c>
      <c r="G195" t="inlineStr">
        <is>
          <t>SÄTER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46231</v>
      </c>
      <c r="F196" t="inlineStr">
        <is>
          <t>DALARNAS LÄN</t>
        </is>
      </c>
      <c r="G196" t="inlineStr">
        <is>
          <t>SÄTER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46231</v>
      </c>
      <c r="F197" t="inlineStr">
        <is>
          <t>DALARNAS LÄN</t>
        </is>
      </c>
      <c r="G197" t="inlineStr">
        <is>
          <t>SÄTER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46231</v>
      </c>
      <c r="F198" t="inlineStr">
        <is>
          <t>DALARNAS LÄN</t>
        </is>
      </c>
      <c r="G198" t="inlineStr">
        <is>
          <t>SÄTER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46231</v>
      </c>
      <c r="F199" t="inlineStr">
        <is>
          <t>DALARNAS LÄN</t>
        </is>
      </c>
      <c r="G199" t="inlineStr">
        <is>
          <t>SÄTER</t>
        </is>
      </c>
      <c r="H199" t="inlineStr">
        <is>
          <t>Kommuner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44788</v>
      </c>
      <c r="E200" s="1" t="n">
        <v>46231</v>
      </c>
      <c r="F200" t="inlineStr">
        <is>
          <t>DALARNAS LÄN</t>
        </is>
      </c>
      <c r="G200" t="inlineStr">
        <is>
          <t>SÄTER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46231</v>
      </c>
      <c r="F201" t="inlineStr">
        <is>
          <t>DALARNAS LÄN</t>
        </is>
      </c>
      <c r="G201" t="inlineStr">
        <is>
          <t>SÄTER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46231</v>
      </c>
      <c r="F202" t="inlineStr">
        <is>
          <t>DALARNAS LÄN</t>
        </is>
      </c>
      <c r="G202" t="inlineStr">
        <is>
          <t>SÄTER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45561</v>
      </c>
      <c r="E203" s="1" t="n">
        <v>46231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46231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46231</v>
      </c>
      <c r="F205" t="inlineStr">
        <is>
          <t>DALARNAS LÄN</t>
        </is>
      </c>
      <c r="G205" t="inlineStr">
        <is>
          <t>SÄTER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46231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46231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69744-2021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44532</v>
      </c>
      <c r="E208" s="1" t="n">
        <v>46231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46231</v>
      </c>
      <c r="F209" t="inlineStr">
        <is>
          <t>DALARNAS LÄN</t>
        </is>
      </c>
      <c r="G209" t="inlineStr">
        <is>
          <t>SÄTER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46231</v>
      </c>
      <c r="F210" t="inlineStr">
        <is>
          <t>DALARNAS LÄN</t>
        </is>
      </c>
      <c r="G210" t="inlineStr">
        <is>
          <t>SÄTER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46231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46231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46231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41.4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46231</v>
      </c>
      <c r="F214" t="inlineStr">
        <is>
          <t>DALARNAS LÄN</t>
        </is>
      </c>
      <c r="G214" t="inlineStr">
        <is>
          <t>SÄTER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46231</v>
      </c>
      <c r="F215" t="inlineStr">
        <is>
          <t>DALARNAS LÄN</t>
        </is>
      </c>
      <c r="G215" t="inlineStr">
        <is>
          <t>SÄTER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46231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46231</v>
      </c>
      <c r="F217" t="inlineStr">
        <is>
          <t>DALARNAS LÄN</t>
        </is>
      </c>
      <c r="G217" t="inlineStr">
        <is>
          <t>SÄTER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46231</v>
      </c>
      <c r="F218" t="inlineStr">
        <is>
          <t>DALARNAS LÄN</t>
        </is>
      </c>
      <c r="G218" t="inlineStr">
        <is>
          <t>SÄTER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46231</v>
      </c>
      <c r="F219" t="inlineStr">
        <is>
          <t>DALARNAS LÄN</t>
        </is>
      </c>
      <c r="G219" t="inlineStr">
        <is>
          <t>SÄTER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46231</v>
      </c>
      <c r="F220" t="inlineStr">
        <is>
          <t>DALARNAS LÄN</t>
        </is>
      </c>
      <c r="G220" t="inlineStr">
        <is>
          <t>SÄTER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46231</v>
      </c>
      <c r="F221" t="inlineStr">
        <is>
          <t>DALARNAS LÄN</t>
        </is>
      </c>
      <c r="G221" t="inlineStr">
        <is>
          <t>SÄTER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46231</v>
      </c>
      <c r="F222" t="inlineStr">
        <is>
          <t>DALARNAS LÄN</t>
        </is>
      </c>
      <c r="G222" t="inlineStr">
        <is>
          <t>SÄTER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46231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42.6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46231</v>
      </c>
      <c r="F224" t="inlineStr">
        <is>
          <t>DALARNAS LÄN</t>
        </is>
      </c>
      <c r="G224" t="inlineStr">
        <is>
          <t>SÄTER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46231</v>
      </c>
      <c r="F225" t="inlineStr">
        <is>
          <t>DALARNAS LÄN</t>
        </is>
      </c>
      <c r="G225" t="inlineStr">
        <is>
          <t>SÄTER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46231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46091</v>
      </c>
      <c r="E227" s="1" t="n">
        <v>46231</v>
      </c>
      <c r="F227" t="inlineStr">
        <is>
          <t>DALARNAS LÄN</t>
        </is>
      </c>
      <c r="G227" t="inlineStr">
        <is>
          <t>SÄTER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46231</v>
      </c>
      <c r="F228" t="inlineStr">
        <is>
          <t>DALARNAS LÄN</t>
        </is>
      </c>
      <c r="G228" t="inlineStr">
        <is>
          <t>SÄTER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46231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46231</v>
      </c>
      <c r="F230" t="inlineStr">
        <is>
          <t>DALARNAS LÄN</t>
        </is>
      </c>
      <c r="G230" t="inlineStr">
        <is>
          <t>SÄTER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41564-2021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44425</v>
      </c>
      <c r="E231" s="1" t="n">
        <v>46231</v>
      </c>
      <c r="F231" t="inlineStr">
        <is>
          <t>DALARNAS LÄN</t>
        </is>
      </c>
      <c r="G231" t="inlineStr">
        <is>
          <t>SÄTER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46231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46231</v>
      </c>
      <c r="F233" t="inlineStr">
        <is>
          <t>DALARNAS LÄN</t>
        </is>
      </c>
      <c r="G233" t="inlineStr">
        <is>
          <t>SÄTER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46231</v>
      </c>
      <c r="F234" t="inlineStr">
        <is>
          <t>DALARNAS LÄN</t>
        </is>
      </c>
      <c r="G234" t="inlineStr">
        <is>
          <t>SÄTER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46231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46231</v>
      </c>
      <c r="F236" t="inlineStr">
        <is>
          <t>DALARNAS LÄN</t>
        </is>
      </c>
      <c r="G236" t="inlineStr">
        <is>
          <t>SÄTER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45140</v>
      </c>
      <c r="E237" s="1" t="n">
        <v>46231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46231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52220-2021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44462</v>
      </c>
      <c r="E239" s="1" t="n">
        <v>46231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46231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46231</v>
      </c>
      <c r="F241" t="inlineStr">
        <is>
          <t>DALARNAS LÄN</t>
        </is>
      </c>
      <c r="G241" t="inlineStr">
        <is>
          <t>SÄTER</t>
        </is>
      </c>
      <c r="H241" t="inlineStr">
        <is>
          <t>Sveaskog</t>
        </is>
      </c>
      <c r="I241" t="n">
        <v>19.8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46231</v>
      </c>
      <c r="F242" t="inlineStr">
        <is>
          <t>DALARNAS LÄN</t>
        </is>
      </c>
      <c r="G242" t="inlineStr">
        <is>
          <t>SÄTER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46231</v>
      </c>
      <c r="F243" t="inlineStr">
        <is>
          <t>DALARNAS LÄN</t>
        </is>
      </c>
      <c r="G243" t="inlineStr">
        <is>
          <t>SÄTER</t>
        </is>
      </c>
      <c r="I243" t="n">
        <v>9.6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46231</v>
      </c>
      <c r="F244" t="inlineStr">
        <is>
          <t>DALARNAS LÄN</t>
        </is>
      </c>
      <c r="G244" t="inlineStr">
        <is>
          <t>SÄTER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46231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46231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46231</v>
      </c>
      <c r="F247" t="inlineStr">
        <is>
          <t>DALARNAS LÄN</t>
        </is>
      </c>
      <c r="G247" t="inlineStr">
        <is>
          <t>SÄTER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46231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44572</v>
      </c>
      <c r="E249" s="1" t="n">
        <v>46231</v>
      </c>
      <c r="F249" t="inlineStr">
        <is>
          <t>DALARNAS LÄN</t>
        </is>
      </c>
      <c r="G249" t="inlineStr">
        <is>
          <t>SÄTER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46231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46231</v>
      </c>
      <c r="F251" t="inlineStr">
        <is>
          <t>DALARNAS LÄN</t>
        </is>
      </c>
      <c r="G251" t="inlineStr">
        <is>
          <t>SÄTER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46087</v>
      </c>
      <c r="E252" s="1" t="n">
        <v>46231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46231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46231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46231</v>
      </c>
      <c r="F255" t="inlineStr">
        <is>
          <t>DALARNAS LÄN</t>
        </is>
      </c>
      <c r="G255" t="inlineStr">
        <is>
          <t>SÄTER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46231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15.1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46231</v>
      </c>
      <c r="F257" t="inlineStr">
        <is>
          <t>DALARNAS LÄN</t>
        </is>
      </c>
      <c r="G257" t="inlineStr">
        <is>
          <t>SÄTER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11416-2022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44630</v>
      </c>
      <c r="E258" s="1" t="n">
        <v>46231</v>
      </c>
      <c r="F258" t="inlineStr">
        <is>
          <t>DALARNAS LÄN</t>
        </is>
      </c>
      <c r="G258" t="inlineStr">
        <is>
          <t>SÄTER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46231</v>
      </c>
      <c r="F259" t="inlineStr">
        <is>
          <t>DALARNAS LÄN</t>
        </is>
      </c>
      <c r="G259" t="inlineStr">
        <is>
          <t>SÄTER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45163</v>
      </c>
      <c r="E260" s="1" t="n">
        <v>46231</v>
      </c>
      <c r="F260" t="inlineStr">
        <is>
          <t>DALARNAS LÄN</t>
        </is>
      </c>
      <c r="G260" t="inlineStr">
        <is>
          <t>SÄTER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46231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46231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46231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46231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46231</v>
      </c>
      <c r="F265" t="inlineStr">
        <is>
          <t>DALARNAS LÄN</t>
        </is>
      </c>
      <c r="G265" t="inlineStr">
        <is>
          <t>SÄTER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46204</v>
      </c>
      <c r="E266" s="1" t="n">
        <v>46231</v>
      </c>
      <c r="F266" t="inlineStr">
        <is>
          <t>DALARNAS LÄN</t>
        </is>
      </c>
      <c r="G266" t="inlineStr">
        <is>
          <t>SÄTER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46231</v>
      </c>
      <c r="F267" t="inlineStr">
        <is>
          <t>DALARNAS LÄN</t>
        </is>
      </c>
      <c r="G267" t="inlineStr">
        <is>
          <t>SÄTER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46231</v>
      </c>
      <c r="F268" t="inlineStr">
        <is>
          <t>DALARNAS LÄN</t>
        </is>
      </c>
      <c r="G268" t="inlineStr">
        <is>
          <t>SÄTER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44992</v>
      </c>
      <c r="E269" s="1" t="n">
        <v>46231</v>
      </c>
      <c r="F269" t="inlineStr">
        <is>
          <t>DALARNAS LÄN</t>
        </is>
      </c>
      <c r="G269" t="inlineStr">
        <is>
          <t>SÄTER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53559-2025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45960</v>
      </c>
      <c r="E270" s="1" t="n">
        <v>46231</v>
      </c>
      <c r="F270" t="inlineStr">
        <is>
          <t>DALARNAS LÄN</t>
        </is>
      </c>
      <c r="G270" t="inlineStr">
        <is>
          <t>SÄTER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45960</v>
      </c>
      <c r="E271" s="1" t="n">
        <v>46231</v>
      </c>
      <c r="F271" t="inlineStr">
        <is>
          <t>DALARNAS LÄN</t>
        </is>
      </c>
      <c r="G271" t="inlineStr">
        <is>
          <t>SÄTER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46211</v>
      </c>
      <c r="E272" s="1" t="n">
        <v>46231</v>
      </c>
      <c r="F272" t="inlineStr">
        <is>
          <t>DALARNAS LÄN</t>
        </is>
      </c>
      <c r="G272" t="inlineStr">
        <is>
          <t>SÄTER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45644</v>
      </c>
      <c r="E273" s="1" t="n">
        <v>46231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51847-2024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45604</v>
      </c>
      <c r="E274" s="1" t="n">
        <v>46231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46231</v>
      </c>
      <c r="F275" t="inlineStr">
        <is>
          <t>DALARNAS LÄN</t>
        </is>
      </c>
      <c r="G275" t="inlineStr">
        <is>
          <t>SÄTER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46231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44803-2023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45190</v>
      </c>
      <c r="E277" s="1" t="n">
        <v>46231</v>
      </c>
      <c r="F277" t="inlineStr">
        <is>
          <t>DALARNAS LÄN</t>
        </is>
      </c>
      <c r="G277" t="inlineStr">
        <is>
          <t>SÄTER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45427</v>
      </c>
      <c r="E278" s="1" t="n">
        <v>46231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46231</v>
      </c>
      <c r="F279" t="inlineStr">
        <is>
          <t>DALARNAS LÄN</t>
        </is>
      </c>
      <c r="G279" t="inlineStr">
        <is>
          <t>SÄTER</t>
        </is>
      </c>
      <c r="H279" t="inlineStr">
        <is>
          <t>Kommuner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44691</v>
      </c>
      <c r="E280" s="1" t="n">
        <v>46231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46231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46231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45107</v>
      </c>
      <c r="E283" s="1" t="n">
        <v>46231</v>
      </c>
      <c r="F283" t="inlineStr">
        <is>
          <t>DALARNAS LÄN</t>
        </is>
      </c>
      <c r="G283" t="inlineStr">
        <is>
          <t>SÄTER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46231</v>
      </c>
      <c r="F284" t="inlineStr">
        <is>
          <t>DALARNAS LÄN</t>
        </is>
      </c>
      <c r="G284" t="inlineStr">
        <is>
          <t>SÄTER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46231</v>
      </c>
      <c r="F285" t="inlineStr">
        <is>
          <t>DALARNAS LÄN</t>
        </is>
      </c>
      <c r="G285" t="inlineStr">
        <is>
          <t>SÄTER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46231</v>
      </c>
      <c r="F286" t="inlineStr">
        <is>
          <t>DALARNAS LÄN</t>
        </is>
      </c>
      <c r="G286" t="inlineStr">
        <is>
          <t>SÄTER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46231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46010</v>
      </c>
      <c r="E288" s="1" t="n">
        <v>46231</v>
      </c>
      <c r="F288" t="inlineStr">
        <is>
          <t>DALARNAS LÄN</t>
        </is>
      </c>
      <c r="G288" t="inlineStr">
        <is>
          <t>SÄTER</t>
        </is>
      </c>
      <c r="H288" t="inlineStr">
        <is>
          <t>Övriga statliga verk och myndigheter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46231</v>
      </c>
      <c r="F289" t="inlineStr">
        <is>
          <t>DALARNAS LÄN</t>
        </is>
      </c>
      <c r="G289" t="inlineStr">
        <is>
          <t>SÄTER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46231</v>
      </c>
      <c r="F290" t="inlineStr">
        <is>
          <t>DALARNAS LÄN</t>
        </is>
      </c>
      <c r="G290" t="inlineStr">
        <is>
          <t>SÄTER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46231</v>
      </c>
      <c r="F291" t="inlineStr">
        <is>
          <t>DALARNAS LÄN</t>
        </is>
      </c>
      <c r="G291" t="inlineStr">
        <is>
          <t>SÄTER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46231</v>
      </c>
      <c r="F292" t="inlineStr">
        <is>
          <t>DALARNAS LÄN</t>
        </is>
      </c>
      <c r="G292" t="inlineStr">
        <is>
          <t>SÄTER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18888-2022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44690</v>
      </c>
      <c r="E293" s="1" t="n">
        <v>46231</v>
      </c>
      <c r="F293" t="inlineStr">
        <is>
          <t>DALARNAS LÄN</t>
        </is>
      </c>
      <c r="G293" t="inlineStr">
        <is>
          <t>SÄTER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46231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44727</v>
      </c>
      <c r="E295" s="1" t="n">
        <v>46231</v>
      </c>
      <c r="F295" t="inlineStr">
        <is>
          <t>DALARNAS LÄN</t>
        </is>
      </c>
      <c r="G295" t="inlineStr">
        <is>
          <t>SÄTER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46231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46231</v>
      </c>
      <c r="F297" t="inlineStr">
        <is>
          <t>DALARNAS LÄN</t>
        </is>
      </c>
      <c r="G297" t="inlineStr">
        <is>
          <t>SÄTER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46231</v>
      </c>
      <c r="F298" t="inlineStr">
        <is>
          <t>DALARNAS LÄN</t>
        </is>
      </c>
      <c r="G298" t="inlineStr">
        <is>
          <t>SÄTER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46231</v>
      </c>
      <c r="F299" t="inlineStr">
        <is>
          <t>DALARNAS LÄN</t>
        </is>
      </c>
      <c r="G299" t="inlineStr">
        <is>
          <t>SÄTER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46231</v>
      </c>
      <c r="F300" t="inlineStr">
        <is>
          <t>DALARNAS LÄN</t>
        </is>
      </c>
      <c r="G300" t="inlineStr">
        <is>
          <t>SÄTER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25690-2022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46231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44463</v>
      </c>
      <c r="E302" s="1" t="n">
        <v>46231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46231</v>
      </c>
      <c r="F303" t="inlineStr">
        <is>
          <t>DALARNAS LÄN</t>
        </is>
      </c>
      <c r="G303" t="inlineStr">
        <is>
          <t>SÄTER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46231</v>
      </c>
      <c r="F304" t="inlineStr">
        <is>
          <t>DALARNAS LÄN</t>
        </is>
      </c>
      <c r="G304" t="inlineStr">
        <is>
          <t>SÄTER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44812</v>
      </c>
      <c r="E305" s="1" t="n">
        <v>46231</v>
      </c>
      <c r="F305" t="inlineStr">
        <is>
          <t>DALARNAS LÄN</t>
        </is>
      </c>
      <c r="G305" t="inlineStr">
        <is>
          <t>SÄTER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46231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46231</v>
      </c>
      <c r="F307" t="inlineStr">
        <is>
          <t>DALARNAS LÄN</t>
        </is>
      </c>
      <c r="G307" t="inlineStr">
        <is>
          <t>SÄTER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46231</v>
      </c>
      <c r="F308" t="inlineStr">
        <is>
          <t>DALARNAS LÄN</t>
        </is>
      </c>
      <c r="G308" t="inlineStr">
        <is>
          <t>SÄTER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46231</v>
      </c>
      <c r="F309" t="inlineStr">
        <is>
          <t>DALARNAS LÄN</t>
        </is>
      </c>
      <c r="G309" t="inlineStr">
        <is>
          <t>SÄTER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46231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46014</v>
      </c>
      <c r="E311" s="1" t="n">
        <v>46231</v>
      </c>
      <c r="F311" t="inlineStr">
        <is>
          <t>DALARNAS LÄN</t>
        </is>
      </c>
      <c r="G311" t="inlineStr">
        <is>
          <t>SÄTER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45469</v>
      </c>
      <c r="E312" s="1" t="n">
        <v>46231</v>
      </c>
      <c r="F312" t="inlineStr">
        <is>
          <t>DALARNAS LÄN</t>
        </is>
      </c>
      <c r="G312" t="inlineStr">
        <is>
          <t>SÄTER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45520</v>
      </c>
      <c r="E313" s="1" t="n">
        <v>46231</v>
      </c>
      <c r="F313" t="inlineStr">
        <is>
          <t>DALARNAS LÄN</t>
        </is>
      </c>
      <c r="G313" t="inlineStr">
        <is>
          <t>SÄTER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45232</v>
      </c>
      <c r="E314" s="1" t="n">
        <v>46231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46231</v>
      </c>
      <c r="F315" t="inlineStr">
        <is>
          <t>DALARNAS LÄN</t>
        </is>
      </c>
      <c r="G315" t="inlineStr">
        <is>
          <t>SÄTER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44581</v>
      </c>
      <c r="E316" s="1" t="n">
        <v>46231</v>
      </c>
      <c r="F316" t="inlineStr">
        <is>
          <t>DALARNAS LÄN</t>
        </is>
      </c>
      <c r="G316" t="inlineStr">
        <is>
          <t>SÄTER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46231</v>
      </c>
      <c r="F317" t="inlineStr">
        <is>
          <t>DALARNAS LÄN</t>
        </is>
      </c>
      <c r="G317" t="inlineStr">
        <is>
          <t>SÄTER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44960</v>
      </c>
      <c r="E318" s="1" t="n">
        <v>46231</v>
      </c>
      <c r="F318" t="inlineStr">
        <is>
          <t>DALARNAS LÄN</t>
        </is>
      </c>
      <c r="G318" t="inlineStr">
        <is>
          <t>SÄTER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44953</v>
      </c>
      <c r="E319" s="1" t="n">
        <v>46231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46559-2021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44445</v>
      </c>
      <c r="E320" s="1" t="n">
        <v>46231</v>
      </c>
      <c r="F320" t="inlineStr">
        <is>
          <t>DALARNAS LÄN</t>
        </is>
      </c>
      <c r="G320" t="inlineStr">
        <is>
          <t>SÄTER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51328-2024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45604</v>
      </c>
      <c r="E321" s="1" t="n">
        <v>46231</v>
      </c>
      <c r="F321" t="inlineStr">
        <is>
          <t>DALARNAS LÄN</t>
        </is>
      </c>
      <c r="G321" t="inlineStr">
        <is>
          <t>SÄTER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51339-2024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45604</v>
      </c>
      <c r="E322" s="1" t="n">
        <v>46231</v>
      </c>
      <c r="F322" t="inlineStr">
        <is>
          <t>DALARNAS LÄN</t>
        </is>
      </c>
      <c r="G322" t="inlineStr">
        <is>
          <t>SÄTER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46231</v>
      </c>
      <c r="F323" t="inlineStr">
        <is>
          <t>DALARNAS LÄN</t>
        </is>
      </c>
      <c r="G323" t="inlineStr">
        <is>
          <t>SÄTER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46231</v>
      </c>
      <c r="F324" t="inlineStr">
        <is>
          <t>DALARNAS LÄN</t>
        </is>
      </c>
      <c r="G324" t="inlineStr">
        <is>
          <t>SÄTER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44643</v>
      </c>
      <c r="E325" s="1" t="n">
        <v>46231</v>
      </c>
      <c r="F325" t="inlineStr">
        <is>
          <t>DALARNAS LÄN</t>
        </is>
      </c>
      <c r="G325" t="inlineStr">
        <is>
          <t>SÄTER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57430-2022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46231</v>
      </c>
      <c r="F326" t="inlineStr">
        <is>
          <t>DALARNAS LÄN</t>
        </is>
      </c>
      <c r="G326" t="inlineStr">
        <is>
          <t>SÄTER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46231</v>
      </c>
      <c r="F327" t="inlineStr">
        <is>
          <t>DALARNAS LÄN</t>
        </is>
      </c>
      <c r="G327" t="inlineStr">
        <is>
          <t>SÄTER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45527</v>
      </c>
      <c r="E328" s="1" t="n">
        <v>46231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46231</v>
      </c>
      <c r="F329" t="inlineStr">
        <is>
          <t>DALARNAS LÄN</t>
        </is>
      </c>
      <c r="G329" t="inlineStr">
        <is>
          <t>SÄTER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45599</v>
      </c>
      <c r="E330" s="1" t="n">
        <v>46231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46231</v>
      </c>
      <c r="F331" t="inlineStr">
        <is>
          <t>DALARNAS LÄN</t>
        </is>
      </c>
      <c r="G331" t="inlineStr">
        <is>
          <t>SÄTER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56827-2024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46231</v>
      </c>
      <c r="F332" t="inlineStr">
        <is>
          <t>DALARNAS LÄN</t>
        </is>
      </c>
      <c r="G332" t="inlineStr">
        <is>
          <t>SÄTER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44982</v>
      </c>
      <c r="E333" s="1" t="n">
        <v>46231</v>
      </c>
      <c r="F333" t="inlineStr">
        <is>
          <t>DALARNAS LÄN</t>
        </is>
      </c>
      <c r="G333" t="inlineStr">
        <is>
          <t>SÄTER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46231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46231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45442</v>
      </c>
      <c r="E336" s="1" t="n">
        <v>46231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46231</v>
      </c>
      <c r="F337" t="inlineStr">
        <is>
          <t>DALARNAS LÄN</t>
        </is>
      </c>
      <c r="G337" t="inlineStr">
        <is>
          <t>SÄTER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46231</v>
      </c>
      <c r="F338" t="inlineStr">
        <is>
          <t>DALARNAS LÄN</t>
        </is>
      </c>
      <c r="G338" t="inlineStr">
        <is>
          <t>SÄTER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44784</v>
      </c>
      <c r="E339" s="1" t="n">
        <v>46231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45527</v>
      </c>
      <c r="E340" s="1" t="n">
        <v>46231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46231</v>
      </c>
      <c r="F341" t="inlineStr">
        <is>
          <t>DALARNAS LÄN</t>
        </is>
      </c>
      <c r="G341" t="inlineStr">
        <is>
          <t>SÄTER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46231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44811</v>
      </c>
      <c r="E343" s="1" t="n">
        <v>46231</v>
      </c>
      <c r="F343" t="inlineStr">
        <is>
          <t>DALARNAS LÄN</t>
        </is>
      </c>
      <c r="G343" t="inlineStr">
        <is>
          <t>SÄTER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44978</v>
      </c>
      <c r="E344" s="1" t="n">
        <v>46231</v>
      </c>
      <c r="F344" t="inlineStr">
        <is>
          <t>DALARNAS LÄN</t>
        </is>
      </c>
      <c r="G344" t="inlineStr">
        <is>
          <t>SÄTER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46231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46231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46231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51333-2024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45604</v>
      </c>
      <c r="E348" s="1" t="n">
        <v>46231</v>
      </c>
      <c r="F348" t="inlineStr">
        <is>
          <t>DALARNAS LÄN</t>
        </is>
      </c>
      <c r="G348" t="inlineStr">
        <is>
          <t>SÄTER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45175</v>
      </c>
      <c r="E349" s="1" t="n">
        <v>46231</v>
      </c>
      <c r="F349" t="inlineStr">
        <is>
          <t>DALARNAS LÄN</t>
        </is>
      </c>
      <c r="G349" t="inlineStr">
        <is>
          <t>SÄTER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46231</v>
      </c>
      <c r="F350" t="inlineStr">
        <is>
          <t>DALARNAS LÄN</t>
        </is>
      </c>
      <c r="G350" t="inlineStr">
        <is>
          <t>SÄTER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HYPERLINK("https://klasma.github.io/Logging_2082/knärot/A 498-2025 karta knärot.png", "A 498-2025")</f>
        <v/>
      </c>
      <c r="AA350">
        <f>HYPERLINK("https://klasma.github.io/Logging_2082/klagomål/A 498-2025 FSC-klagomål.docx", "A 498-2025")</f>
        <v/>
      </c>
      <c r="AB350">
        <f>HYPERLINK("https://klasma.github.io/Logging_2082/klagomålsmail/A 498-2025 FSC-klagomål mail.docx", "A 498-2025")</f>
        <v/>
      </c>
      <c r="AC350">
        <f>HYPERLINK("https://klasma.github.io/Logging_2082/tillsyn/A 498-2025 tillsynsbegäran.docx", "A 498-2025")</f>
        <v/>
      </c>
      <c r="AD350">
        <f>HYPERLINK("https://klasma.github.io/Logging_2082/tillsynsmail/A 498-2025 tillsynsbegäran mail.docx", "A 498-2025")</f>
        <v/>
      </c>
    </row>
    <row r="351" ht="15" customHeight="1">
      <c r="A351" t="inlineStr">
        <is>
          <t>A 61344-2023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46231</v>
      </c>
      <c r="F351" t="inlineStr">
        <is>
          <t>DALARNAS LÄN</t>
        </is>
      </c>
      <c r="G351" t="inlineStr">
        <is>
          <t>SÄTER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46231</v>
      </c>
      <c r="F352" t="inlineStr">
        <is>
          <t>DALARNAS LÄN</t>
        </is>
      </c>
      <c r="G352" t="inlineStr">
        <is>
          <t>SÄTER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45171</v>
      </c>
      <c r="E353" s="1" t="n">
        <v>46231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46231</v>
      </c>
      <c r="F354" t="inlineStr">
        <is>
          <t>DALARNAS LÄN</t>
        </is>
      </c>
      <c r="G354" t="inlineStr">
        <is>
          <t>SÄTER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46231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46231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46231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46231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46231</v>
      </c>
      <c r="F359" t="inlineStr">
        <is>
          <t>DALARNAS LÄN</t>
        </is>
      </c>
      <c r="G359" t="inlineStr">
        <is>
          <t>SÄTER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45666</v>
      </c>
      <c r="E360" s="1" t="n">
        <v>46231</v>
      </c>
      <c r="F360" t="inlineStr">
        <is>
          <t>DALARNAS LÄN</t>
        </is>
      </c>
      <c r="G360" t="inlineStr">
        <is>
          <t>SÄTER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46231</v>
      </c>
      <c r="F361" t="inlineStr">
        <is>
          <t>DALARNAS LÄN</t>
        </is>
      </c>
      <c r="G361" t="inlineStr">
        <is>
          <t>SÄTER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45443</v>
      </c>
      <c r="E362" s="1" t="n">
        <v>46231</v>
      </c>
      <c r="F362" t="inlineStr">
        <is>
          <t>DALARNAS LÄN</t>
        </is>
      </c>
      <c r="G362" t="inlineStr">
        <is>
          <t>SÄTER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46231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45462</v>
      </c>
      <c r="E364" s="1" t="n">
        <v>46231</v>
      </c>
      <c r="F364" t="inlineStr">
        <is>
          <t>DALARNAS LÄN</t>
        </is>
      </c>
      <c r="G364" t="inlineStr">
        <is>
          <t>SÄTER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46231</v>
      </c>
      <c r="F365" t="inlineStr">
        <is>
          <t>DALARNAS LÄN</t>
        </is>
      </c>
      <c r="G365" t="inlineStr">
        <is>
          <t>SÄTER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46231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46231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46231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46231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46231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46231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46231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2026-07-28T01:50:10Z</dcterms:created>
  <dcterms:modified xmlns:dcterms="http://purl.org/dc/terms/" xmlns:xsi="http://www.w3.org/2001/XMLSchema-instance" xsi:type="dcterms:W3CDTF">2026-07-28T01:50:10Z</dcterms:modified>
</cp:coreProperties>
</file>