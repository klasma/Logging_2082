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8524-2026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46065</v>
      </c>
      <c r="E2" s="1" t="n">
        <v>46316</v>
      </c>
      <c r="F2" t="inlineStr">
        <is>
          <t>DALARNAS LÄN</t>
        </is>
      </c>
      <c r="G2" t="inlineStr">
        <is>
          <t>SÄTER</t>
        </is>
      </c>
      <c r="I2" t="n">
        <v>23.9</v>
      </c>
      <c r="J2" t="n">
        <v>5</v>
      </c>
      <c r="K2" t="n">
        <v>2</v>
      </c>
      <c r="L2" t="n">
        <v>8</v>
      </c>
      <c r="M2" t="n">
        <v>1</v>
      </c>
      <c r="N2" t="n">
        <v>0</v>
      </c>
      <c r="O2" t="n">
        <v>0</v>
      </c>
      <c r="P2" t="n">
        <v>0</v>
      </c>
      <c r="Q2" t="n">
        <v>9</v>
      </c>
      <c r="R2" t="n">
        <v>1</v>
      </c>
      <c r="S2" t="n">
        <v>15</v>
      </c>
      <c r="T2" t="n">
        <v>75</v>
      </c>
      <c r="U2" t="n">
        <v>75</v>
      </c>
      <c r="V2" s="2" t="inlineStr">
        <is>
          <t>Knärot
Aspskinn
Doftskinn
Dropptaggsvamp
Dvärgbägarlav
Kortskaftad ärgspik
Nordtagging
Talltita
Vedskivlav
Mindre märgborre
Vedticka
Spillkråka
Timmerticka
Tjäder
Revlummer</t>
        </is>
      </c>
      <c r="W2">
        <f>HYPERLINK("https://klasma.github.io/Logging_2082/artfynd/A 8524-2026 artfynd.xlsx", "A 8524-2026")</f>
        <v/>
      </c>
      <c r="X2">
        <f>HYPERLINK("https://klasma.github.io/Logging_2082/kartor/A 8524-2026 karta.png", "A 8524-2026")</f>
        <v/>
      </c>
      <c r="Y2">
        <f>HYPERLINK("https://klasma.github.io/Logging_2082/kartor_geotiff/A 8524-2026 georefererad karta.tif", "A 8524-2026")</f>
        <v/>
      </c>
      <c r="Z2">
        <f>HYPERLINK("https://klasma.github.io/Logging_2082/knärot/A 8524-2026 karta knärot.png", "A 8524-2026")</f>
        <v/>
      </c>
      <c r="AA2">
        <f>HYPERLINK("https://klasma.github.io/Logging_2082/klagomål/A 8524-2026 FSC-klagomål.docx", "A 8524-2026")</f>
        <v/>
      </c>
      <c r="AB2">
        <f>HYPERLINK("https://klasma.github.io/Logging_2082/klagomålsmail/A 8524-2026 FSC-klagomål mail.docx", "A 8524-2026")</f>
        <v/>
      </c>
      <c r="AC2">
        <f>HYPERLINK("https://klasma.github.io/Logging_2082/tillsyn/A 8524-2026 tillsynsbegäran.docx", "A 8524-2026")</f>
        <v/>
      </c>
      <c r="AD2">
        <f>HYPERLINK("https://klasma.github.io/Logging_2082/tillsynsmail/A 8524-2026 tillsynsbegäran mail.docx", "A 8524-2026")</f>
        <v/>
      </c>
      <c r="AE2">
        <f>HYPERLINK("https://klasma.github.io/Logging_2082/fåglar/A 8524-2026 prioriterade fågelarter.docx", "A 8524-2026")</f>
        <v/>
      </c>
    </row>
    <row r="3" ht="15" customHeight="1">
      <c r="A3" t="inlineStr">
        <is>
          <t>A 35146-2025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45852</v>
      </c>
      <c r="E3" s="1" t="n">
        <v>46316</v>
      </c>
      <c r="F3" t="inlineStr">
        <is>
          <t>DALARNAS LÄN</t>
        </is>
      </c>
      <c r="G3" t="inlineStr">
        <is>
          <t>SÄTER</t>
        </is>
      </c>
      <c r="H3" t="inlineStr">
        <is>
          <t>Bergvik skog väst AB</t>
        </is>
      </c>
      <c r="I3" t="n">
        <v>2.2</v>
      </c>
      <c r="J3" t="n">
        <v>3</v>
      </c>
      <c r="K3" t="n">
        <v>3</v>
      </c>
      <c r="L3" t="n">
        <v>4</v>
      </c>
      <c r="M3" t="n">
        <v>2</v>
      </c>
      <c r="N3" t="n">
        <v>1</v>
      </c>
      <c r="O3" t="n">
        <v>0</v>
      </c>
      <c r="P3" t="n">
        <v>0</v>
      </c>
      <c r="Q3" t="n">
        <v>7</v>
      </c>
      <c r="R3" t="n">
        <v>3</v>
      </c>
      <c r="S3" t="n">
        <v>12</v>
      </c>
      <c r="T3" t="n">
        <v>30</v>
      </c>
      <c r="U3" t="n">
        <v>30</v>
      </c>
      <c r="V3" s="2" t="inlineStr">
        <is>
          <t>Skogsalm
Grangråticka
Gräddticka
Barrviolspindling
Gransotdyna
Rynkskinn
Ullticka
Grön sköldmossa
Svavelriska
Tibast
Blåsippa
Vanlig groda</t>
        </is>
      </c>
      <c r="W3">
        <f>HYPERLINK("https://klasma.github.io/Logging_2082/artfynd/A 35146-2025 artfynd.xlsx", "A 35146-2025")</f>
        <v/>
      </c>
      <c r="X3">
        <f>HYPERLINK("https://klasma.github.io/Logging_2082/kartor/A 35146-2025 karta.png", "A 35146-2025")</f>
        <v/>
      </c>
      <c r="Y3">
        <f>HYPERLINK("https://klasma.github.io/Logging_2082/kartor_geotiff/A 35146-2025 georefererad karta.tif", "A 35146-2025")</f>
        <v/>
      </c>
      <c r="AA3">
        <f>HYPERLINK("https://klasma.github.io/Logging_2082/klagomål/A 35146-2025 FSC-klagomål.docx", "A 35146-2025")</f>
        <v/>
      </c>
      <c r="AB3">
        <f>HYPERLINK("https://klasma.github.io/Logging_2082/klagomålsmail/A 35146-2025 FSC-klagomål mail.docx", "A 35146-2025")</f>
        <v/>
      </c>
      <c r="AC3">
        <f>HYPERLINK("https://klasma.github.io/Logging_2082/tillsyn/A 35146-2025 tillsynsbegäran.docx", "A 35146-2025")</f>
        <v/>
      </c>
      <c r="AD3">
        <f>HYPERLINK("https://klasma.github.io/Logging_2082/tillsynsmail/A 35146-2025 tillsynsbegäran mail.docx", "A 35146-2025")</f>
        <v/>
      </c>
    </row>
    <row r="4" ht="15" customHeight="1">
      <c r="A4" t="inlineStr">
        <is>
          <t>S 3187-2024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45524</v>
      </c>
      <c r="E4" s="1" t="n">
        <v>46316</v>
      </c>
      <c r="F4" t="inlineStr">
        <is>
          <t>DALARNAS LÄN</t>
        </is>
      </c>
      <c r="G4" t="inlineStr">
        <is>
          <t>SÄTER</t>
        </is>
      </c>
      <c r="H4" t="inlineStr">
        <is>
          <t>Bergvik skog väst AB</t>
        </is>
      </c>
      <c r="I4" t="n">
        <v>3.8</v>
      </c>
      <c r="J4" t="n">
        <v>0</v>
      </c>
      <c r="K4" t="n">
        <v>2</v>
      </c>
      <c r="L4" t="n">
        <v>6</v>
      </c>
      <c r="M4" t="n">
        <v>2</v>
      </c>
      <c r="N4" t="n">
        <v>0</v>
      </c>
      <c r="O4" t="n">
        <v>0</v>
      </c>
      <c r="P4" t="n">
        <v>0</v>
      </c>
      <c r="Q4" t="n">
        <v>8</v>
      </c>
      <c r="R4" t="n">
        <v>2</v>
      </c>
      <c r="S4" t="n">
        <v>10</v>
      </c>
      <c r="T4" t="n">
        <v>12</v>
      </c>
      <c r="U4" t="n">
        <v>12</v>
      </c>
      <c r="V4" s="2" t="inlineStr">
        <is>
          <t>Gul taggsvamp
Tvillingspindling
Dofttaggsvamp
Kandelabersvamp
Rosenticka
Rovspindling
Rynkskinn
Ullticka
Svavelriska
Trådticka</t>
        </is>
      </c>
      <c r="W4">
        <f>HYPERLINK("https://klasma.github.io/Logging_2082/artfynd/S 3187-2024 artfynd.xlsx", "S 3187-2024")</f>
        <v/>
      </c>
      <c r="X4">
        <f>HYPERLINK("https://klasma.github.io/Logging_2082/kartor/S 3187-2024 karta.png", "S 3187-2024")</f>
        <v/>
      </c>
      <c r="Y4">
        <f>HYPERLINK("https://klasma.github.io/Logging_2082/kartor_geotiff/S 3187-2024 georefererad karta.tif", "S 3187-2024")</f>
        <v/>
      </c>
      <c r="AA4">
        <f>HYPERLINK("https://klasma.github.io/Logging_2082/klagomål/S 3187-2024 FSC-klagomål.docx", "S 3187-2024")</f>
        <v/>
      </c>
      <c r="AB4">
        <f>HYPERLINK("https://klasma.github.io/Logging_2082/klagomålsmail/S 3187-2024 FSC-klagomål mail.docx", "S 3187-2024")</f>
        <v/>
      </c>
      <c r="AC4">
        <f>HYPERLINK("https://klasma.github.io/Logging_2082/tillsyn/S 3187-2024 tillsynsbegäran.docx", "S 3187-2024")</f>
        <v/>
      </c>
      <c r="AD4">
        <f>HYPERLINK("https://klasma.github.io/Logging_2082/tillsynsmail/S 3187-2024 tillsynsbegäran mail.docx", "S 3187-2024")</f>
        <v/>
      </c>
    </row>
    <row r="5" ht="15" customHeight="1">
      <c r="A5" t="inlineStr">
        <is>
          <t>A 57833-2023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45247</v>
      </c>
      <c r="E5" s="1" t="n">
        <v>46316</v>
      </c>
      <c r="F5" t="inlineStr">
        <is>
          <t>DALARNAS LÄN</t>
        </is>
      </c>
      <c r="G5" t="inlineStr">
        <is>
          <t>SÄTER</t>
        </is>
      </c>
      <c r="I5" t="n">
        <v>6.4</v>
      </c>
      <c r="J5" t="n">
        <v>4</v>
      </c>
      <c r="K5" t="n">
        <v>1</v>
      </c>
      <c r="L5" t="n">
        <v>4</v>
      </c>
      <c r="M5" t="n">
        <v>1</v>
      </c>
      <c r="N5" t="n">
        <v>0</v>
      </c>
      <c r="O5" t="n">
        <v>0</v>
      </c>
      <c r="P5" t="n">
        <v>0</v>
      </c>
      <c r="Q5" t="n">
        <v>5</v>
      </c>
      <c r="R5" t="n">
        <v>1</v>
      </c>
      <c r="S5" t="n">
        <v>9</v>
      </c>
      <c r="T5" t="n">
        <v>32</v>
      </c>
      <c r="U5" t="n">
        <v>32</v>
      </c>
      <c r="V5" s="2" t="inlineStr">
        <is>
          <t>Knärot
Dropptaggsvamp
Motaggsvamp
Talltita
Vedskivlav
Mindre märgborre
Spillkråka
Timmerticka
Revlummer</t>
        </is>
      </c>
      <c r="W5">
        <f>HYPERLINK("https://klasma.github.io/Logging_2082/artfynd/A 57833-2023 artfynd.xlsx", "A 57833-2023")</f>
        <v/>
      </c>
      <c r="X5">
        <f>HYPERLINK("https://klasma.github.io/Logging_2082/kartor/A 57833-2023 karta.png", "A 57833-2023")</f>
        <v/>
      </c>
      <c r="Y5">
        <f>HYPERLINK("https://klasma.github.io/Logging_2082/kartor_geotiff/A 57833-2023 georefererad karta.tif", "A 57833-2023")</f>
        <v/>
      </c>
      <c r="Z5">
        <f>HYPERLINK("https://klasma.github.io/Logging_2082/knärot/A 57833-2023 karta knärot.png", "A 57833-2023")</f>
        <v/>
      </c>
      <c r="AA5">
        <f>HYPERLINK("https://klasma.github.io/Logging_2082/klagomål/A 57833-2023 FSC-klagomål.docx", "A 57833-2023")</f>
        <v/>
      </c>
      <c r="AB5">
        <f>HYPERLINK("https://klasma.github.io/Logging_2082/klagomålsmail/A 57833-2023 FSC-klagomål mail.docx", "A 57833-2023")</f>
        <v/>
      </c>
      <c r="AC5">
        <f>HYPERLINK("https://klasma.github.io/Logging_2082/tillsyn/A 57833-2023 tillsynsbegäran.docx", "A 57833-2023")</f>
        <v/>
      </c>
      <c r="AD5">
        <f>HYPERLINK("https://klasma.github.io/Logging_2082/tillsynsmail/A 57833-2023 tillsynsbegäran mail.docx", "A 57833-2023")</f>
        <v/>
      </c>
      <c r="AE5">
        <f>HYPERLINK("https://klasma.github.io/Logging_2082/fåglar/A 57833-2023 prioriterade fågelarter.docx", "A 57833-2023")</f>
        <v/>
      </c>
    </row>
    <row r="6" ht="15" customHeight="1">
      <c r="A6" t="inlineStr">
        <is>
          <t>S 5932-2022</t>
        </is>
      </c>
      <c r="B6" t="inlineStr">
        <is>
          <t>samrådsanmälan</t>
        </is>
      </c>
      <c r="C6" t="n">
        <v/>
      </c>
      <c r="D6" s="1" t="n">
        <v>44855</v>
      </c>
      <c r="E6" s="1" t="n">
        <v>46316</v>
      </c>
      <c r="F6" t="inlineStr">
        <is>
          <t>DALARNAS LÄN</t>
        </is>
      </c>
      <c r="G6" t="inlineStr">
        <is>
          <t>SÄTER</t>
        </is>
      </c>
      <c r="H6" t="inlineStr">
        <is>
          <t>Bergvik skog väst AB</t>
        </is>
      </c>
      <c r="I6" t="n">
        <v>4.3</v>
      </c>
      <c r="J6" t="n">
        <v>4</v>
      </c>
      <c r="K6" t="n">
        <v>3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3</v>
      </c>
      <c r="R6" t="n">
        <v>1</v>
      </c>
      <c r="S6" t="n">
        <v>9</v>
      </c>
      <c r="T6" t="n">
        <v>13</v>
      </c>
      <c r="U6" t="n">
        <v>8</v>
      </c>
      <c r="V6" s="2" t="inlineStr">
        <is>
          <t>Skogsalm
Dofttaggsvamp
Kandelabersvamp
Scharlakansskål
Trådticka
Tvåblad
Blåsippa
Buskmus
Gullviva</t>
        </is>
      </c>
      <c r="W6">
        <f>HYPERLINK("https://klasma.github.io/Logging_2082/artfynd/S 5932-2022 artfynd.xlsx", "S 5932-2022")</f>
        <v/>
      </c>
      <c r="X6">
        <f>HYPERLINK("https://klasma.github.io/Logging_2082/kartor/S 5932-2022 karta.png", "S 5932-2022")</f>
        <v/>
      </c>
      <c r="Y6">
        <f>HYPERLINK("https://klasma.github.io/Logging_2082/kartor_geotiff/S 5932-2022 georefererad karta.tif", "S 5932-2022")</f>
        <v/>
      </c>
      <c r="AA6">
        <f>HYPERLINK("https://klasma.github.io/Logging_2082/klagomål/S 5932-2022 FSC-klagomål.docx", "S 5932-2022")</f>
        <v/>
      </c>
      <c r="AB6">
        <f>HYPERLINK("https://klasma.github.io/Logging_2082/klagomålsmail/S 5932-2022 FSC-klagomål mail.docx", "S 5932-2022")</f>
        <v/>
      </c>
      <c r="AC6">
        <f>HYPERLINK("https://klasma.github.io/Logging_2082/tillsyn/S 5932-2022 tillsynsbegäran.docx", "S 5932-2022")</f>
        <v/>
      </c>
      <c r="AD6">
        <f>HYPERLINK("https://klasma.github.io/Logging_2082/tillsynsmail/S 5932-2022 tillsynsbegäran mail.docx", "S 5932-2022")</f>
        <v/>
      </c>
    </row>
    <row r="7" ht="15" customHeight="1">
      <c r="A7" t="inlineStr">
        <is>
          <t>A 35411-2025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45855</v>
      </c>
      <c r="E7" s="1" t="n">
        <v>46316</v>
      </c>
      <c r="F7" t="inlineStr">
        <is>
          <t>DALARNAS LÄN</t>
        </is>
      </c>
      <c r="G7" t="inlineStr">
        <is>
          <t>SÄTER</t>
        </is>
      </c>
      <c r="I7" t="n">
        <v>8.4</v>
      </c>
      <c r="J7" t="n">
        <v>3</v>
      </c>
      <c r="K7" t="n">
        <v>1</v>
      </c>
      <c r="L7" t="n">
        <v>3</v>
      </c>
      <c r="M7" t="n">
        <v>2</v>
      </c>
      <c r="N7" t="n">
        <v>0</v>
      </c>
      <c r="O7" t="n">
        <v>0</v>
      </c>
      <c r="P7" t="n">
        <v>0</v>
      </c>
      <c r="Q7" t="n">
        <v>5</v>
      </c>
      <c r="R7" t="n">
        <v>2</v>
      </c>
      <c r="S7" t="n">
        <v>8</v>
      </c>
      <c r="T7" t="n">
        <v>24</v>
      </c>
      <c r="U7" t="n">
        <v>24</v>
      </c>
      <c r="V7" s="2" t="inlineStr">
        <is>
          <t>Knärot
Laxporing
Rosenticka
Rynkskinn
Ullticka
Trådticka
Spillkråka
Vanlig padda</t>
        </is>
      </c>
      <c r="W7">
        <f>HYPERLINK("https://klasma.github.io/Logging_2082/artfynd/A 35411-2025 artfynd.xlsx", "A 35411-2025")</f>
        <v/>
      </c>
      <c r="X7">
        <f>HYPERLINK("https://klasma.github.io/Logging_2082/kartor/A 35411-2025 karta.png", "A 35411-2025")</f>
        <v/>
      </c>
      <c r="Y7">
        <f>HYPERLINK("https://klasma.github.io/Logging_2082/kartor_geotiff/A 35411-2025 georefererad karta.tif", "A 35411-2025")</f>
        <v/>
      </c>
      <c r="Z7">
        <f>HYPERLINK("https://klasma.github.io/Logging_2082/knärot/A 35411-2025 karta knärot.png", "A 35411-2025")</f>
        <v/>
      </c>
      <c r="AA7">
        <f>HYPERLINK("https://klasma.github.io/Logging_2082/klagomål/A 35411-2025 FSC-klagomål.docx", "A 35411-2025")</f>
        <v/>
      </c>
      <c r="AB7">
        <f>HYPERLINK("https://klasma.github.io/Logging_2082/klagomålsmail/A 35411-2025 FSC-klagomål mail.docx", "A 35411-2025")</f>
        <v/>
      </c>
      <c r="AC7">
        <f>HYPERLINK("https://klasma.github.io/Logging_2082/tillsyn/A 35411-2025 tillsynsbegäran.docx", "A 35411-2025")</f>
        <v/>
      </c>
      <c r="AD7">
        <f>HYPERLINK("https://klasma.github.io/Logging_2082/tillsynsmail/A 35411-2025 tillsynsbegäran mail.docx", "A 35411-2025")</f>
        <v/>
      </c>
      <c r="AE7">
        <f>HYPERLINK("https://klasma.github.io/Logging_2082/fåglar/A 35411-2025 prioriterade fågelarter.docx", "A 35411-2025")</f>
        <v/>
      </c>
    </row>
    <row r="8" ht="15" customHeight="1">
      <c r="A8" t="inlineStr">
        <is>
          <t>A 8533-2026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46065</v>
      </c>
      <c r="E8" s="1" t="n">
        <v>46316</v>
      </c>
      <c r="F8" t="inlineStr">
        <is>
          <t>DALARNAS LÄN</t>
        </is>
      </c>
      <c r="G8" t="inlineStr">
        <is>
          <t>SÄTER</t>
        </is>
      </c>
      <c r="I8" t="n">
        <v>9.9</v>
      </c>
      <c r="J8" t="n">
        <v>3</v>
      </c>
      <c r="K8" t="n">
        <v>1</v>
      </c>
      <c r="L8" t="n">
        <v>3</v>
      </c>
      <c r="M8" t="n">
        <v>1</v>
      </c>
      <c r="N8" t="n">
        <v>0</v>
      </c>
      <c r="O8" t="n">
        <v>0</v>
      </c>
      <c r="P8" t="n">
        <v>0</v>
      </c>
      <c r="Q8" t="n">
        <v>4</v>
      </c>
      <c r="R8" t="n">
        <v>1</v>
      </c>
      <c r="S8" t="n">
        <v>8</v>
      </c>
      <c r="T8" t="n">
        <v>22</v>
      </c>
      <c r="U8" t="n">
        <v>17</v>
      </c>
      <c r="V8" s="2" t="inlineStr">
        <is>
          <t>Ostticka
Dropptaggsvamp
Talltita
Vedskivlav
Mindre märgborre
Spillkråka
Timmerticka
Revlummer</t>
        </is>
      </c>
      <c r="W8">
        <f>HYPERLINK("https://klasma.github.io/Logging_2082/artfynd/A 8533-2026 artfynd.xlsx", "A 8533-2026")</f>
        <v/>
      </c>
      <c r="X8">
        <f>HYPERLINK("https://klasma.github.io/Logging_2082/kartor/A 8533-2026 karta.png", "A 8533-2026")</f>
        <v/>
      </c>
      <c r="Y8">
        <f>HYPERLINK("https://klasma.github.io/Logging_2082/kartor_geotiff/A 8533-2026 georefererad karta.tif", "A 8533-2026")</f>
        <v/>
      </c>
      <c r="AA8">
        <f>HYPERLINK("https://klasma.github.io/Logging_2082/klagomål/A 8533-2026 FSC-klagomål.docx", "A 8533-2026")</f>
        <v/>
      </c>
      <c r="AB8">
        <f>HYPERLINK("https://klasma.github.io/Logging_2082/klagomålsmail/A 8533-2026 FSC-klagomål mail.docx", "A 8533-2026")</f>
        <v/>
      </c>
      <c r="AC8">
        <f>HYPERLINK("https://klasma.github.io/Logging_2082/tillsyn/A 8533-2026 tillsynsbegäran.docx", "A 8533-2026")</f>
        <v/>
      </c>
      <c r="AD8">
        <f>HYPERLINK("https://klasma.github.io/Logging_2082/tillsynsmail/A 8533-2026 tillsynsbegäran mail.docx", "A 8533-2026")</f>
        <v/>
      </c>
      <c r="AE8">
        <f>HYPERLINK("https://klasma.github.io/Logging_2082/fåglar/A 8533-2026 prioriterade fågelarter.docx", "A 8533-2026")</f>
        <v/>
      </c>
    </row>
    <row r="9" ht="15" customHeight="1">
      <c r="A9" t="inlineStr">
        <is>
          <t>A 42301-2026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46307</v>
      </c>
      <c r="E9" s="1" t="n">
        <v>46316</v>
      </c>
      <c r="F9" t="inlineStr">
        <is>
          <t>DALARNAS LÄN</t>
        </is>
      </c>
      <c r="G9" t="inlineStr">
        <is>
          <t>SÄTER</t>
        </is>
      </c>
      <c r="I9" t="n">
        <v>6.7</v>
      </c>
      <c r="J9" t="n">
        <v>3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7</v>
      </c>
      <c r="T9" t="n">
        <v>16</v>
      </c>
      <c r="U9" t="n">
        <v>0</v>
      </c>
      <c r="V9" s="2" t="inlineStr">
        <is>
          <t>Dropptaggsvamp
Talltita
Vedskivlav
Mindre märgborre
Spillkråka
Timmerticka
Revlummer</t>
        </is>
      </c>
      <c r="W9">
        <f>HYPERLINK("https://klasma.github.io/Logging_2082/artfynd/A 42301-2026 artfynd.xlsx", "A 42301-2026")</f>
        <v/>
      </c>
      <c r="X9">
        <f>HYPERLINK("https://klasma.github.io/Logging_2082/kartor/A 42301-2026 karta.png", "A 42301-2026")</f>
        <v/>
      </c>
      <c r="Y9">
        <f>HYPERLINK("https://klasma.github.io/Logging_2082/kartor_geotiff/A 42301-2026 georefererad karta.tif", "A 42301-2026")</f>
        <v/>
      </c>
      <c r="AA9">
        <f>HYPERLINK("https://klasma.github.io/Logging_2082/klagomål/A 42301-2026 FSC-klagomål.docx", "A 42301-2026")</f>
        <v/>
      </c>
      <c r="AB9">
        <f>HYPERLINK("https://klasma.github.io/Logging_2082/klagomålsmail/A 42301-2026 FSC-klagomål mail.docx", "A 42301-2026")</f>
        <v/>
      </c>
      <c r="AC9">
        <f>HYPERLINK("https://klasma.github.io/Logging_2082/tillsyn/A 42301-2026 tillsynsbegäran.docx", "A 42301-2026")</f>
        <v/>
      </c>
      <c r="AD9">
        <f>HYPERLINK("https://klasma.github.io/Logging_2082/tillsynsmail/A 42301-2026 tillsynsbegäran mail.docx", "A 42301-2026")</f>
        <v/>
      </c>
      <c r="AE9">
        <f>HYPERLINK("https://klasma.github.io/Logging_2082/fåglar/A 42301-2026 prioriterade fågelarter.docx", "A 42301-2026")</f>
        <v/>
      </c>
    </row>
    <row r="10" ht="15" customHeight="1">
      <c r="A10" t="inlineStr">
        <is>
          <t>S 2071-2026</t>
        </is>
      </c>
      <c r="B10" t="inlineStr">
        <is>
          <t>samrådsanmälan</t>
        </is>
      </c>
      <c r="C10" t="inlineStr">
        <is>
          <t>Askåterföring</t>
        </is>
      </c>
      <c r="D10" s="1" t="n">
        <v>46227</v>
      </c>
      <c r="E10" s="1" t="n">
        <v>46316</v>
      </c>
      <c r="F10" t="inlineStr">
        <is>
          <t>DALARNAS LÄN</t>
        </is>
      </c>
      <c r="G10" t="inlineStr">
        <is>
          <t>SÄTER</t>
        </is>
      </c>
      <c r="H10" t="inlineStr">
        <is>
          <t>Kommuner</t>
        </is>
      </c>
      <c r="I10" t="n">
        <v>47.6</v>
      </c>
      <c r="J10" t="n">
        <v>1</v>
      </c>
      <c r="K10" t="n">
        <v>2</v>
      </c>
      <c r="L10" t="n">
        <v>3</v>
      </c>
      <c r="M10" t="n">
        <v>2</v>
      </c>
      <c r="N10" t="n">
        <v>0</v>
      </c>
      <c r="O10" t="n">
        <v>0</v>
      </c>
      <c r="P10" t="n">
        <v>0</v>
      </c>
      <c r="Q10" t="n">
        <v>5</v>
      </c>
      <c r="R10" t="n">
        <v>2</v>
      </c>
      <c r="S10" t="n">
        <v>7</v>
      </c>
      <c r="T10" t="n">
        <v>8</v>
      </c>
      <c r="U10" t="n">
        <v>0</v>
      </c>
      <c r="V10" s="2" t="inlineStr">
        <is>
          <t>Knärot
Ulltickeporing
Fjällig taggsvamp s.str.
Rynkskinn
Ullticka
Brandticka
Grönpyrola</t>
        </is>
      </c>
      <c r="W10">
        <f>HYPERLINK("https://klasma.github.io/Logging_2082/artfynd/S 2071-2026 artfynd.xlsx", "S 2071-2026")</f>
        <v/>
      </c>
      <c r="X10">
        <f>HYPERLINK("https://klasma.github.io/Logging_2082/kartor/S 2071-2026 karta.png", "S 2071-2026")</f>
        <v/>
      </c>
      <c r="Y10">
        <f>HYPERLINK("https://klasma.github.io/Logging_2082/kartor_geotiff/S 2071-2026 georefererad karta.tif", "S 2071-2026")</f>
        <v/>
      </c>
      <c r="Z10">
        <f>HYPERLINK("https://klasma.github.io/Logging_2082/knärot/S 2071-2026 karta knärot.png", "S 2071-2026")</f>
        <v/>
      </c>
      <c r="AA10">
        <f>HYPERLINK("https://klasma.github.io/Logging_2082/klagomål/S 2071-2026 FSC-klagomål.docx", "S 2071-2026")</f>
        <v/>
      </c>
      <c r="AB10">
        <f>HYPERLINK("https://klasma.github.io/Logging_2082/klagomålsmail/S 2071-2026 FSC-klagomål mail.docx", "S 2071-2026")</f>
        <v/>
      </c>
      <c r="AC10">
        <f>HYPERLINK("https://klasma.github.io/Logging_2082/tillsyn/S 2071-2026 tillsynsbegäran.docx", "S 2071-2026")</f>
        <v/>
      </c>
      <c r="AD10">
        <f>HYPERLINK("https://klasma.github.io/Logging_2082/tillsynsmail/S 2071-2026 tillsynsbegäran mail.docx", "S 2071-2026")</f>
        <v/>
      </c>
    </row>
    <row r="11" ht="15" customHeight="1">
      <c r="A11" t="inlineStr">
        <is>
          <t>A 23464-2023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45076</v>
      </c>
      <c r="E11" s="1" t="n">
        <v>46316</v>
      </c>
      <c r="F11" t="inlineStr">
        <is>
          <t>DALARNAS LÄN</t>
        </is>
      </c>
      <c r="G11" t="inlineStr">
        <is>
          <t>SÄTER</t>
        </is>
      </c>
      <c r="I11" t="n">
        <v>4.6</v>
      </c>
      <c r="J11" t="n">
        <v>0</v>
      </c>
      <c r="K11" t="n">
        <v>2</v>
      </c>
      <c r="L11" t="n">
        <v>3</v>
      </c>
      <c r="M11" t="n">
        <v>1</v>
      </c>
      <c r="N11" t="n">
        <v>0</v>
      </c>
      <c r="O11" t="n">
        <v>0</v>
      </c>
      <c r="P11" t="n">
        <v>0</v>
      </c>
      <c r="Q11" t="n">
        <v>4</v>
      </c>
      <c r="R11" t="n">
        <v>1</v>
      </c>
      <c r="S11" t="n">
        <v>6</v>
      </c>
      <c r="T11" t="n">
        <v>23</v>
      </c>
      <c r="U11" t="n">
        <v>2</v>
      </c>
      <c r="V11" s="2" t="inlineStr">
        <is>
          <t>Lammticka
Dropptaggsvamp
Skarp dropptaggsvamp
Tallfingersvamp
Rökmusseron
Smal svampklubba</t>
        </is>
      </c>
      <c r="W11">
        <f>HYPERLINK("https://klasma.github.io/Logging_2082/artfynd/A 23464-2023 artfynd.xlsx", "A 23464-2023")</f>
        <v/>
      </c>
      <c r="X11">
        <f>HYPERLINK("https://klasma.github.io/Logging_2082/kartor/A 23464-2023 karta.png", "A 23464-2023")</f>
        <v/>
      </c>
      <c r="Y11">
        <f>HYPERLINK("https://klasma.github.io/Logging_2082/kartor_geotiff/A 23464-2023 georefererad karta.tif", "A 23464-2023")</f>
        <v/>
      </c>
      <c r="AA11">
        <f>HYPERLINK("https://klasma.github.io/Logging_2082/klagomål/A 23464-2023 FSC-klagomål.docx", "A 23464-2023")</f>
        <v/>
      </c>
      <c r="AB11">
        <f>HYPERLINK("https://klasma.github.io/Logging_2082/klagomålsmail/A 23464-2023 FSC-klagomål mail.docx", "A 23464-2023")</f>
        <v/>
      </c>
      <c r="AC11">
        <f>HYPERLINK("https://klasma.github.io/Logging_2082/tillsyn/A 23464-2023 tillsynsbegäran.docx", "A 23464-2023")</f>
        <v/>
      </c>
      <c r="AD11">
        <f>HYPERLINK("https://klasma.github.io/Logging_2082/tillsynsmail/A 23464-2023 tillsynsbegäran mail.docx", "A 23464-2023")</f>
        <v/>
      </c>
    </row>
    <row r="12" ht="15" customHeight="1">
      <c r="A12" t="inlineStr">
        <is>
          <t>A 38692-2026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46281</v>
      </c>
      <c r="E12" s="1" t="n">
        <v>46316</v>
      </c>
      <c r="F12" t="inlineStr">
        <is>
          <t>DALARNAS LÄN</t>
        </is>
      </c>
      <c r="G12" t="inlineStr">
        <is>
          <t>SÄTER</t>
        </is>
      </c>
      <c r="H12" t="inlineStr">
        <is>
          <t>Bergvik skog väst AB</t>
        </is>
      </c>
      <c r="I12" t="n">
        <v>15.5</v>
      </c>
      <c r="J12" t="n">
        <v>3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6</v>
      </c>
      <c r="T12" t="n">
        <v>12</v>
      </c>
      <c r="U12" t="n">
        <v>11</v>
      </c>
      <c r="V12" s="2" t="inlineStr">
        <is>
          <t>Knärot
Blåmossa
Bronshjon
Blåsippa
Kransmossa
Spillkråka</t>
        </is>
      </c>
      <c r="W12">
        <f>HYPERLINK("https://klasma.github.io/Logging_2082/artfynd/A 38692-2026 artfynd.xlsx", "A 38692-2026")</f>
        <v/>
      </c>
      <c r="X12">
        <f>HYPERLINK("https://klasma.github.io/Logging_2082/kartor/A 38692-2026 karta.png", "A 38692-2026")</f>
        <v/>
      </c>
      <c r="Y12">
        <f>HYPERLINK("https://klasma.github.io/Logging_2082/kartor_geotiff/A 38692-2026 georefererad karta.tif", "A 38692-2026")</f>
        <v/>
      </c>
      <c r="Z12">
        <f>HYPERLINK("https://klasma.github.io/Logging_2082/knärot/A 38692-2026 karta knärot.png", "A 38692-2026")</f>
        <v/>
      </c>
      <c r="AA12">
        <f>HYPERLINK("https://klasma.github.io/Logging_2082/klagomål/A 38692-2026 FSC-klagomål.docx", "A 38692-2026")</f>
        <v/>
      </c>
      <c r="AB12">
        <f>HYPERLINK("https://klasma.github.io/Logging_2082/klagomålsmail/A 38692-2026 FSC-klagomål mail.docx", "A 38692-2026")</f>
        <v/>
      </c>
      <c r="AC12">
        <f>HYPERLINK("https://klasma.github.io/Logging_2082/tillsyn/A 38692-2026 tillsynsbegäran.docx", "A 38692-2026")</f>
        <v/>
      </c>
      <c r="AD12">
        <f>HYPERLINK("https://klasma.github.io/Logging_2082/tillsynsmail/A 38692-2026 tillsynsbegäran mail.docx", "A 38692-2026")</f>
        <v/>
      </c>
      <c r="AE12">
        <f>HYPERLINK("https://klasma.github.io/Logging_2082/fåglar/A 38692-2026 prioriterade fågelarter.docx", "A 38692-2026")</f>
        <v/>
      </c>
    </row>
    <row r="13" ht="15" customHeight="1">
      <c r="A13" t="inlineStr">
        <is>
          <t>S 2128-2025</t>
        </is>
      </c>
      <c r="B13" t="inlineStr">
        <is>
          <t>samrådsanmälan</t>
        </is>
      </c>
      <c r="C13" t="inlineStr">
        <is>
          <t>Askåterföring</t>
        </is>
      </c>
      <c r="D13" s="1" t="n">
        <v>45846</v>
      </c>
      <c r="E13" s="1" t="n">
        <v>46316</v>
      </c>
      <c r="F13" t="inlineStr">
        <is>
          <t>DALARNAS LÄN</t>
        </is>
      </c>
      <c r="G13" t="inlineStr">
        <is>
          <t>SÄTER</t>
        </is>
      </c>
      <c r="H13" t="inlineStr">
        <is>
          <t>Kommuner</t>
        </is>
      </c>
      <c r="I13" t="n">
        <v>46.8</v>
      </c>
      <c r="J13" t="n">
        <v>1</v>
      </c>
      <c r="K13" t="n">
        <v>2</v>
      </c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1</v>
      </c>
      <c r="S13" t="n">
        <v>6</v>
      </c>
      <c r="T13" t="n">
        <v>7</v>
      </c>
      <c r="U13" t="n">
        <v>5</v>
      </c>
      <c r="V13" s="2" t="inlineStr">
        <is>
          <t>Knärot
Fjällig taggsvamp s.str.
Rynkskinn
Ullticka
Brandticka
Grönpyrola</t>
        </is>
      </c>
      <c r="W13">
        <f>HYPERLINK("https://klasma.github.io/Logging_2082/artfynd/S 2128-2025 artfynd.xlsx", "S 2128-2025")</f>
        <v/>
      </c>
      <c r="X13">
        <f>HYPERLINK("https://klasma.github.io/Logging_2082/kartor/S 2128-2025 karta.png", "S 2128-2025")</f>
        <v/>
      </c>
      <c r="Y13">
        <f>HYPERLINK("https://klasma.github.io/Logging_2082/kartor_geotiff/S 2128-2025 georefererad karta.tif", "S 2128-2025")</f>
        <v/>
      </c>
      <c r="Z13">
        <f>HYPERLINK("https://klasma.github.io/Logging_2082/knärot/S 2128-2025 karta knärot.png", "S 2128-2025")</f>
        <v/>
      </c>
      <c r="AA13">
        <f>HYPERLINK("https://klasma.github.io/Logging_2082/klagomål/S 2128-2025 FSC-klagomål.docx", "S 2128-2025")</f>
        <v/>
      </c>
      <c r="AB13">
        <f>HYPERLINK("https://klasma.github.io/Logging_2082/klagomålsmail/S 2128-2025 FSC-klagomål mail.docx", "S 2128-2025")</f>
        <v/>
      </c>
      <c r="AC13">
        <f>HYPERLINK("https://klasma.github.io/Logging_2082/tillsyn/S 2128-2025 tillsynsbegäran.docx", "S 2128-2025")</f>
        <v/>
      </c>
      <c r="AD13">
        <f>HYPERLINK("https://klasma.github.io/Logging_2082/tillsynsmail/S 2128-2025 tillsynsbegäran mail.docx", "S 2128-2025")</f>
        <v/>
      </c>
    </row>
    <row r="14" ht="15" customHeight="1">
      <c r="A14" t="inlineStr">
        <is>
          <t>A 25699-2022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44732</v>
      </c>
      <c r="E14" s="1" t="n">
        <v>46316</v>
      </c>
      <c r="F14" t="inlineStr">
        <is>
          <t>DALARNAS LÄN</t>
        </is>
      </c>
      <c r="G14" t="inlineStr">
        <is>
          <t>SÄTER</t>
        </is>
      </c>
      <c r="H14" t="inlineStr">
        <is>
          <t>Bergvik skog väst AB</t>
        </is>
      </c>
      <c r="I14" t="n">
        <v>22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5</v>
      </c>
      <c r="U14" t="n">
        <v>0</v>
      </c>
      <c r="V14" s="2" t="inlineStr">
        <is>
          <t>Jungfrulin
Slåtterfibbla
Tvåblad
Blåsippa
Fläcknycklar</t>
        </is>
      </c>
      <c r="W14">
        <f>HYPERLINK("https://klasma.github.io/Logging_2082/artfynd/A 25699-2022 artfynd.xlsx", "A 25699-2022")</f>
        <v/>
      </c>
      <c r="X14">
        <f>HYPERLINK("https://klasma.github.io/Logging_2082/kartor/A 25699-2022 karta.png", "A 25699-2022")</f>
        <v/>
      </c>
      <c r="Y14">
        <f>HYPERLINK("https://klasma.github.io/Logging_2082/kartor_geotiff/A 25699-2022 georefererad karta.tif", "A 25699-2022")</f>
        <v/>
      </c>
      <c r="AA14">
        <f>HYPERLINK("https://klasma.github.io/Logging_2082/klagomål/A 25699-2022 FSC-klagomål.docx", "A 25699-2022")</f>
        <v/>
      </c>
      <c r="AB14">
        <f>HYPERLINK("https://klasma.github.io/Logging_2082/klagomålsmail/A 25699-2022 FSC-klagomål mail.docx", "A 25699-2022")</f>
        <v/>
      </c>
      <c r="AC14">
        <f>HYPERLINK("https://klasma.github.io/Logging_2082/tillsyn/A 25699-2022 tillsynsbegäran.docx", "A 25699-2022")</f>
        <v/>
      </c>
      <c r="AD14">
        <f>HYPERLINK("https://klasma.github.io/Logging_2082/tillsynsmail/A 25699-2022 tillsynsbegäran mail.docx", "A 25699-2022")</f>
        <v/>
      </c>
    </row>
    <row r="15" ht="15" customHeight="1">
      <c r="A15" t="inlineStr">
        <is>
          <t>A 42492-2025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45904</v>
      </c>
      <c r="E15" s="1" t="n">
        <v>46316</v>
      </c>
      <c r="F15" t="inlineStr">
        <is>
          <t>DALARNAS LÄN</t>
        </is>
      </c>
      <c r="G15" t="inlineStr">
        <is>
          <t>SÄTER</t>
        </is>
      </c>
      <c r="H15" t="inlineStr">
        <is>
          <t>Bergvik skog väst AB</t>
        </is>
      </c>
      <c r="I15" t="n">
        <v>14.9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4</v>
      </c>
      <c r="U15" t="n">
        <v>3</v>
      </c>
      <c r="V15" s="2" t="inlineStr">
        <is>
          <t>Rynkskinn
Ullticka
Stuplav
Kungsfågel</t>
        </is>
      </c>
      <c r="W15">
        <f>HYPERLINK("https://klasma.github.io/Logging_2082/artfynd/A 42492-2025 artfynd.xlsx", "A 42492-2025")</f>
        <v/>
      </c>
      <c r="X15">
        <f>HYPERLINK("https://klasma.github.io/Logging_2082/kartor/A 42492-2025 karta.png", "A 42492-2025")</f>
        <v/>
      </c>
      <c r="Y15">
        <f>HYPERLINK("https://klasma.github.io/Logging_2082/kartor_geotiff/A 42492-2025 georefererad karta.tif", "A 42492-2025")</f>
        <v/>
      </c>
      <c r="AA15">
        <f>HYPERLINK("https://klasma.github.io/Logging_2082/klagomål/A 42492-2025 FSC-klagomål.docx", "A 42492-2025")</f>
        <v/>
      </c>
      <c r="AB15">
        <f>HYPERLINK("https://klasma.github.io/Logging_2082/klagomålsmail/A 42492-2025 FSC-klagomål mail.docx", "A 42492-2025")</f>
        <v/>
      </c>
      <c r="AC15">
        <f>HYPERLINK("https://klasma.github.io/Logging_2082/tillsyn/A 42492-2025 tillsynsbegäran.docx", "A 42492-2025")</f>
        <v/>
      </c>
      <c r="AD15">
        <f>HYPERLINK("https://klasma.github.io/Logging_2082/tillsynsmail/A 42492-2025 tillsynsbegäran mail.docx", "A 42492-2025")</f>
        <v/>
      </c>
    </row>
    <row r="16" ht="15" customHeight="1">
      <c r="A16" t="inlineStr">
        <is>
          <t>A 51825-2025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45951</v>
      </c>
      <c r="E16" s="1" t="n">
        <v>46316</v>
      </c>
      <c r="F16" t="inlineStr">
        <is>
          <t>DALARNAS LÄN</t>
        </is>
      </c>
      <c r="G16" t="inlineStr">
        <is>
          <t>SÄTER</t>
        </is>
      </c>
      <c r="H16" t="inlineStr">
        <is>
          <t>Bergvik skog väst AB</t>
        </is>
      </c>
      <c r="I16" t="n">
        <v>12.8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4</v>
      </c>
      <c r="T16" t="n">
        <v>4</v>
      </c>
      <c r="U16" t="n">
        <v>2</v>
      </c>
      <c r="V16" s="2" t="inlineStr">
        <is>
          <t>Dofttaggsvamp
Gultoppig fingersvamp
Mörk husmossa
Tjäder</t>
        </is>
      </c>
      <c r="W16">
        <f>HYPERLINK("https://klasma.github.io/Logging_2082/artfynd/A 51825-2025 artfynd.xlsx", "A 51825-2025")</f>
        <v/>
      </c>
      <c r="X16">
        <f>HYPERLINK("https://klasma.github.io/Logging_2082/kartor/A 51825-2025 karta.png", "A 51825-2025")</f>
        <v/>
      </c>
      <c r="Y16">
        <f>HYPERLINK("https://klasma.github.io/Logging_2082/kartor_geotiff/A 51825-2025 georefererad karta.tif", "A 51825-2025")</f>
        <v/>
      </c>
      <c r="AA16">
        <f>HYPERLINK("https://klasma.github.io/Logging_2082/klagomål/A 51825-2025 FSC-klagomål.docx", "A 51825-2025")</f>
        <v/>
      </c>
      <c r="AB16">
        <f>HYPERLINK("https://klasma.github.io/Logging_2082/klagomålsmail/A 51825-2025 FSC-klagomål mail.docx", "A 51825-2025")</f>
        <v/>
      </c>
      <c r="AC16">
        <f>HYPERLINK("https://klasma.github.io/Logging_2082/tillsyn/A 51825-2025 tillsynsbegäran.docx", "A 51825-2025")</f>
        <v/>
      </c>
      <c r="AD16">
        <f>HYPERLINK("https://klasma.github.io/Logging_2082/tillsynsmail/A 51825-2025 tillsynsbegäran mail.docx", "A 51825-2025")</f>
        <v/>
      </c>
      <c r="AE16">
        <f>HYPERLINK("https://klasma.github.io/Logging_2082/fåglar/A 51825-2025 prioriterade fågelarter.docx", "A 51825-2025")</f>
        <v/>
      </c>
    </row>
    <row r="17" ht="15" customHeight="1">
      <c r="A17" t="inlineStr">
        <is>
          <t>S 2072-2022</t>
        </is>
      </c>
      <c r="B17" t="inlineStr">
        <is>
          <t>samrådsanmälan</t>
        </is>
      </c>
      <c r="C17" t="inlineStr">
        <is>
          <t>Askåterföring</t>
        </is>
      </c>
      <c r="D17" s="1" t="n">
        <v>44672</v>
      </c>
      <c r="E17" s="1" t="n">
        <v>46316</v>
      </c>
      <c r="F17" t="inlineStr">
        <is>
          <t>DALARNAS LÄN</t>
        </is>
      </c>
      <c r="G17" t="inlineStr">
        <is>
          <t>SÄTER</t>
        </is>
      </c>
      <c r="H17" t="inlineStr">
        <is>
          <t>Kommuner</t>
        </is>
      </c>
      <c r="I17" t="n">
        <v>125.6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4</v>
      </c>
      <c r="T17" t="n">
        <v>5</v>
      </c>
      <c r="U17" t="n">
        <v>5</v>
      </c>
      <c r="V17" s="2" t="inlineStr">
        <is>
          <t>Knärot
Säfferot
Grovticka
Fläcknycklar</t>
        </is>
      </c>
      <c r="W17">
        <f>HYPERLINK("https://klasma.github.io/Logging_2082/artfynd/S 2072-2022 artfynd.xlsx", "S 2072-2022")</f>
        <v/>
      </c>
      <c r="X17">
        <f>HYPERLINK("https://klasma.github.io/Logging_2082/kartor/S 2072-2022 karta.png", "S 2072-2022")</f>
        <v/>
      </c>
      <c r="Y17">
        <f>HYPERLINK("https://klasma.github.io/Logging_2082/kartor_geotiff/S 2072-2022 georefererad karta.tif", "S 2072-2022")</f>
        <v/>
      </c>
      <c r="Z17">
        <f>HYPERLINK("https://klasma.github.io/Logging_2082/knärot/S 2072-2022 karta knärot.png", "S 2072-2022")</f>
        <v/>
      </c>
      <c r="AA17">
        <f>HYPERLINK("https://klasma.github.io/Logging_2082/klagomål/S 2072-2022 FSC-klagomål.docx", "S 2072-2022")</f>
        <v/>
      </c>
      <c r="AB17">
        <f>HYPERLINK("https://klasma.github.io/Logging_2082/klagomålsmail/S 2072-2022 FSC-klagomål mail.docx", "S 2072-2022")</f>
        <v/>
      </c>
      <c r="AC17">
        <f>HYPERLINK("https://klasma.github.io/Logging_2082/tillsyn/S 2072-2022 tillsynsbegäran.docx", "S 2072-2022")</f>
        <v/>
      </c>
      <c r="AD17">
        <f>HYPERLINK("https://klasma.github.io/Logging_2082/tillsynsmail/S 2072-2022 tillsynsbegäran mail.docx", "S 2072-2022")</f>
        <v/>
      </c>
    </row>
    <row r="18" ht="15" customHeight="1">
      <c r="A18" t="inlineStr">
        <is>
          <t>A 64610-2023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45281</v>
      </c>
      <c r="E18" s="1" t="n">
        <v>46316</v>
      </c>
      <c r="F18" t="inlineStr">
        <is>
          <t>DALARNAS LÄN</t>
        </is>
      </c>
      <c r="G18" t="inlineStr">
        <is>
          <t>SÄTER</t>
        </is>
      </c>
      <c r="I18" t="n">
        <v>0.9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13</v>
      </c>
      <c r="U18" t="n">
        <v>13</v>
      </c>
      <c r="V18" s="2" t="inlineStr">
        <is>
          <t>Tvåblad
Brudborste
Fläcknycklar</t>
        </is>
      </c>
      <c r="W18">
        <f>HYPERLINK("https://klasma.github.io/Logging_2082/artfynd/A 64610-2023 artfynd.xlsx", "A 64610-2023")</f>
        <v/>
      </c>
      <c r="X18">
        <f>HYPERLINK("https://klasma.github.io/Logging_2082/kartor/A 64610-2023 karta.png", "A 64610-2023")</f>
        <v/>
      </c>
      <c r="Y18">
        <f>HYPERLINK("https://klasma.github.io/Logging_2082/kartor_geotiff/A 64610-2023 georefererad karta.tif", "A 64610-2023")</f>
        <v/>
      </c>
      <c r="AA18">
        <f>HYPERLINK("https://klasma.github.io/Logging_2082/klagomål/A 64610-2023 FSC-klagomål.docx", "A 64610-2023")</f>
        <v/>
      </c>
      <c r="AB18">
        <f>HYPERLINK("https://klasma.github.io/Logging_2082/klagomålsmail/A 64610-2023 FSC-klagomål mail.docx", "A 64610-2023")</f>
        <v/>
      </c>
      <c r="AC18">
        <f>HYPERLINK("https://klasma.github.io/Logging_2082/tillsyn/A 64610-2023 tillsynsbegäran.docx", "A 64610-2023")</f>
        <v/>
      </c>
      <c r="AD18">
        <f>HYPERLINK("https://klasma.github.io/Logging_2082/tillsynsmail/A 64610-2023 tillsynsbegäran mail.docx", "A 64610-2023")</f>
        <v/>
      </c>
    </row>
    <row r="19" ht="15" customHeight="1">
      <c r="A19" t="inlineStr">
        <is>
          <t>A 27374-2022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44742</v>
      </c>
      <c r="E19" s="1" t="n">
        <v>46316</v>
      </c>
      <c r="F19" t="inlineStr">
        <is>
          <t>DALARNAS LÄN</t>
        </is>
      </c>
      <c r="G19" t="inlineStr">
        <is>
          <t>SÄTER</t>
        </is>
      </c>
      <c r="H19" t="inlineStr">
        <is>
          <t>Kommuner</t>
        </is>
      </c>
      <c r="I19" t="n">
        <v>4.3</v>
      </c>
      <c r="J19" t="n">
        <v>2</v>
      </c>
      <c r="K19" t="n">
        <v>1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3</v>
      </c>
      <c r="T19" t="n">
        <v>13</v>
      </c>
      <c r="U19" t="n">
        <v>0</v>
      </c>
      <c r="V19" s="2" t="inlineStr">
        <is>
          <t>Garnlav
Knärot
Nästrot</t>
        </is>
      </c>
      <c r="W19">
        <f>HYPERLINK("https://klasma.github.io/Logging_2082/artfynd/A 27374-2022 artfynd.xlsx", "A 27374-2022")</f>
        <v/>
      </c>
      <c r="X19">
        <f>HYPERLINK("https://klasma.github.io/Logging_2082/kartor/A 27374-2022 karta.png", "A 27374-2022")</f>
        <v/>
      </c>
      <c r="Y19">
        <f>HYPERLINK("https://klasma.github.io/Logging_2082/kartor_geotiff/A 27374-2022 georefererad karta.tif", "A 27374-2022")</f>
        <v/>
      </c>
      <c r="Z19">
        <f>HYPERLINK("https://klasma.github.io/Logging_2082/knärot/A 27374-2022 karta knärot.png", "A 27374-2022")</f>
        <v/>
      </c>
      <c r="AA19">
        <f>HYPERLINK("https://klasma.github.io/Logging_2082/klagomål/A 27374-2022 FSC-klagomål.docx", "A 27374-2022")</f>
        <v/>
      </c>
      <c r="AB19">
        <f>HYPERLINK("https://klasma.github.io/Logging_2082/klagomålsmail/A 27374-2022 FSC-klagomål mail.docx", "A 27374-2022")</f>
        <v/>
      </c>
      <c r="AC19">
        <f>HYPERLINK("https://klasma.github.io/Logging_2082/tillsyn/A 27374-2022 tillsynsbegäran.docx", "A 27374-2022")</f>
        <v/>
      </c>
      <c r="AD19">
        <f>HYPERLINK("https://klasma.github.io/Logging_2082/tillsynsmail/A 27374-2022 tillsynsbegäran mail.docx", "A 27374-2022")</f>
        <v/>
      </c>
    </row>
    <row r="20" ht="15" customHeight="1">
      <c r="A20" t="inlineStr">
        <is>
          <t>A 21382-2025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45781</v>
      </c>
      <c r="E20" s="1" t="n">
        <v>46316</v>
      </c>
      <c r="F20" t="inlineStr">
        <is>
          <t>DALARNAS LÄN</t>
        </is>
      </c>
      <c r="G20" t="inlineStr">
        <is>
          <t>SÄTER</t>
        </is>
      </c>
      <c r="H20" t="inlineStr">
        <is>
          <t>Bergvik skog väst AB</t>
        </is>
      </c>
      <c r="I20" t="n">
        <v>37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3</v>
      </c>
      <c r="U20" t="n">
        <v>0</v>
      </c>
      <c r="V20" s="2" t="inlineStr">
        <is>
          <t>Brudsporre
Revlummer
Äkta lopplummer</t>
        </is>
      </c>
      <c r="W20">
        <f>HYPERLINK("https://klasma.github.io/Logging_2082/artfynd/A 21382-2025 artfynd.xlsx", "A 21382-2025")</f>
        <v/>
      </c>
      <c r="X20">
        <f>HYPERLINK("https://klasma.github.io/Logging_2082/kartor/A 21382-2025 karta.png", "A 21382-2025")</f>
        <v/>
      </c>
      <c r="Y20">
        <f>HYPERLINK("https://klasma.github.io/Logging_2082/kartor_geotiff/A 21382-2025 georefererad karta.tif", "A 21382-2025")</f>
        <v/>
      </c>
      <c r="AA20">
        <f>HYPERLINK("https://klasma.github.io/Logging_2082/klagomål/A 21382-2025 FSC-klagomål.docx", "A 21382-2025")</f>
        <v/>
      </c>
      <c r="AB20">
        <f>HYPERLINK("https://klasma.github.io/Logging_2082/klagomålsmail/A 21382-2025 FSC-klagomål mail.docx", "A 21382-2025")</f>
        <v/>
      </c>
      <c r="AC20">
        <f>HYPERLINK("https://klasma.github.io/Logging_2082/tillsyn/A 21382-2025 tillsynsbegäran.docx", "A 21382-2025")</f>
        <v/>
      </c>
      <c r="AD20">
        <f>HYPERLINK("https://klasma.github.io/Logging_2082/tillsynsmail/A 21382-2025 tillsynsbegäran mail.docx", "A 21382-2025")</f>
        <v/>
      </c>
    </row>
    <row r="21" ht="15" customHeight="1">
      <c r="A21" t="inlineStr">
        <is>
          <t>A 35916-2022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44802</v>
      </c>
      <c r="E21" s="1" t="n">
        <v>46316</v>
      </c>
      <c r="F21" t="inlineStr">
        <is>
          <t>DALARNAS LÄN</t>
        </is>
      </c>
      <c r="G21" t="inlineStr">
        <is>
          <t>SÄTER</t>
        </is>
      </c>
      <c r="H21" t="inlineStr">
        <is>
          <t>Bergvik skog väst AB</t>
        </is>
      </c>
      <c r="I21" t="n">
        <v>2.6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3</v>
      </c>
      <c r="T21" t="n">
        <v>7</v>
      </c>
      <c r="U21" t="n">
        <v>1</v>
      </c>
      <c r="V21" s="2" t="inlineStr">
        <is>
          <t>Slåttergubbe
Slåtterfibbla
Huggorm</t>
        </is>
      </c>
      <c r="W21">
        <f>HYPERLINK("https://klasma.github.io/Logging_2082/artfynd/A 35916-2022 artfynd.xlsx", "A 35916-2022")</f>
        <v/>
      </c>
      <c r="X21">
        <f>HYPERLINK("https://klasma.github.io/Logging_2082/kartor/A 35916-2022 karta.png", "A 35916-2022")</f>
        <v/>
      </c>
      <c r="Y21">
        <f>HYPERLINK("https://klasma.github.io/Logging_2082/kartor_geotiff/A 35916-2022 georefererad karta.tif", "A 35916-2022")</f>
        <v/>
      </c>
      <c r="AA21">
        <f>HYPERLINK("https://klasma.github.io/Logging_2082/klagomål/A 35916-2022 FSC-klagomål.docx", "A 35916-2022")</f>
        <v/>
      </c>
      <c r="AB21">
        <f>HYPERLINK("https://klasma.github.io/Logging_2082/klagomålsmail/A 35916-2022 FSC-klagomål mail.docx", "A 35916-2022")</f>
        <v/>
      </c>
      <c r="AC21">
        <f>HYPERLINK("https://klasma.github.io/Logging_2082/tillsyn/A 35916-2022 tillsynsbegäran.docx", "A 35916-2022")</f>
        <v/>
      </c>
      <c r="AD21">
        <f>HYPERLINK("https://klasma.github.io/Logging_2082/tillsynsmail/A 35916-2022 tillsynsbegäran mail.docx", "A 35916-2022")</f>
        <v/>
      </c>
    </row>
    <row r="22" ht="15" customHeight="1">
      <c r="A22" t="inlineStr">
        <is>
          <t>S 4799-2022</t>
        </is>
      </c>
      <c r="B22" t="inlineStr">
        <is>
          <t>samrådsanmälan</t>
        </is>
      </c>
      <c r="C22" t="inlineStr">
        <is>
          <t>Annan skogsbruksåtgärd</t>
        </is>
      </c>
      <c r="D22" s="1" t="n">
        <v>44803</v>
      </c>
      <c r="E22" s="1" t="n">
        <v>46316</v>
      </c>
      <c r="F22" t="inlineStr">
        <is>
          <t>DALARNAS LÄN</t>
        </is>
      </c>
      <c r="G22" t="inlineStr">
        <is>
          <t>SÄTER</t>
        </is>
      </c>
      <c r="I22" t="n">
        <v>0.7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3</v>
      </c>
      <c r="T22" t="n">
        <v>5</v>
      </c>
      <c r="U22" t="n">
        <v>0</v>
      </c>
      <c r="V22" s="2" t="inlineStr">
        <is>
          <t>Knärot
Dropptaggsvamp
Blåsippa</t>
        </is>
      </c>
      <c r="W22">
        <f>HYPERLINK("https://klasma.github.io/Logging_2082/artfynd/S 4799-2022 artfynd.xlsx", "S 4799-2022")</f>
        <v/>
      </c>
      <c r="X22">
        <f>HYPERLINK("https://klasma.github.io/Logging_2082/kartor/S 4799-2022 karta.png", "S 4799-2022")</f>
        <v/>
      </c>
      <c r="Y22">
        <f>HYPERLINK("https://klasma.github.io/Logging_2082/kartor_geotiff/S 4799-2022 georefererad karta.tif", "S 4799-2022")</f>
        <v/>
      </c>
      <c r="Z22">
        <f>HYPERLINK("https://klasma.github.io/Logging_2082/knärot/S 4799-2022 karta knärot.png", "S 4799-2022")</f>
        <v/>
      </c>
      <c r="AA22">
        <f>HYPERLINK("https://klasma.github.io/Logging_2082/klagomål/S 4799-2022 FSC-klagomål.docx", "S 4799-2022")</f>
        <v/>
      </c>
      <c r="AB22">
        <f>HYPERLINK("https://klasma.github.io/Logging_2082/klagomålsmail/S 4799-2022 FSC-klagomål mail.docx", "S 4799-2022")</f>
        <v/>
      </c>
      <c r="AC22">
        <f>HYPERLINK("https://klasma.github.io/Logging_2082/tillsyn/S 4799-2022 tillsynsbegäran.docx", "S 4799-2022")</f>
        <v/>
      </c>
      <c r="AD22">
        <f>HYPERLINK("https://klasma.github.io/Logging_2082/tillsynsmail/S 4799-2022 tillsynsbegäran mail.docx", "S 4799-2022")</f>
        <v/>
      </c>
    </row>
    <row r="23" ht="15" customHeight="1">
      <c r="A23" t="inlineStr">
        <is>
          <t>A 53127-2022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44876</v>
      </c>
      <c r="E23" s="1" t="n">
        <v>46316</v>
      </c>
      <c r="F23" t="inlineStr">
        <is>
          <t>DALARNAS LÄN</t>
        </is>
      </c>
      <c r="G23" t="inlineStr">
        <is>
          <t>SÄTER</t>
        </is>
      </c>
      <c r="H23" t="inlineStr">
        <is>
          <t>Kyrkan</t>
        </is>
      </c>
      <c r="I23" t="n">
        <v>8.5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2</v>
      </c>
      <c r="U23" t="n">
        <v>2</v>
      </c>
      <c r="V23" s="2" t="inlineStr">
        <is>
          <t>Motaggsvamp
Talltita</t>
        </is>
      </c>
      <c r="W23">
        <f>HYPERLINK("https://klasma.github.io/Logging_2082/artfynd/A 53127-2022 artfynd.xlsx", "A 53127-2022")</f>
        <v/>
      </c>
      <c r="X23">
        <f>HYPERLINK("https://klasma.github.io/Logging_2082/kartor/A 53127-2022 karta.png", "A 53127-2022")</f>
        <v/>
      </c>
      <c r="Y23">
        <f>HYPERLINK("https://klasma.github.io/Logging_2082/kartor_geotiff/A 53127-2022 georefererad karta.tif", "A 53127-2022")</f>
        <v/>
      </c>
      <c r="AA23">
        <f>HYPERLINK("https://klasma.github.io/Logging_2082/klagomål/A 53127-2022 FSC-klagomål.docx", "A 53127-2022")</f>
        <v/>
      </c>
      <c r="AB23">
        <f>HYPERLINK("https://klasma.github.io/Logging_2082/klagomålsmail/A 53127-2022 FSC-klagomål mail.docx", "A 53127-2022")</f>
        <v/>
      </c>
      <c r="AC23">
        <f>HYPERLINK("https://klasma.github.io/Logging_2082/tillsyn/A 53127-2022 tillsynsbegäran.docx", "A 53127-2022")</f>
        <v/>
      </c>
      <c r="AD23">
        <f>HYPERLINK("https://klasma.github.io/Logging_2082/tillsynsmail/A 53127-2022 tillsynsbegäran mail.docx", "A 53127-2022")</f>
        <v/>
      </c>
      <c r="AE23">
        <f>HYPERLINK("https://klasma.github.io/Logging_2082/fåglar/A 53127-2022 prioriterade fågelarter.docx", "A 53127-2022")</f>
        <v/>
      </c>
    </row>
    <row r="24" ht="15" customHeight="1">
      <c r="A24" t="inlineStr">
        <is>
          <t>A 49656-2025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45939</v>
      </c>
      <c r="E24" s="1" t="n">
        <v>46316</v>
      </c>
      <c r="F24" t="inlineStr">
        <is>
          <t>DALARNAS LÄN</t>
        </is>
      </c>
      <c r="G24" t="inlineStr">
        <is>
          <t>SÄTER</t>
        </is>
      </c>
      <c r="I24" t="n">
        <v>0.6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2</v>
      </c>
      <c r="T24" t="n">
        <v>2</v>
      </c>
      <c r="U24" t="n">
        <v>2</v>
      </c>
      <c r="V24" s="2" t="inlineStr">
        <is>
          <t>Knärot
Motaggsvamp</t>
        </is>
      </c>
      <c r="W24">
        <f>HYPERLINK("https://klasma.github.io/Logging_2082/artfynd/A 49656-2025 artfynd.xlsx", "A 49656-2025")</f>
        <v/>
      </c>
      <c r="X24">
        <f>HYPERLINK("https://klasma.github.io/Logging_2082/kartor/A 49656-2025 karta.png", "A 49656-2025")</f>
        <v/>
      </c>
      <c r="Y24">
        <f>HYPERLINK("https://klasma.github.io/Logging_2082/kartor_geotiff/A 49656-2025 georefererad karta.tif", "A 49656-2025")</f>
        <v/>
      </c>
      <c r="Z24">
        <f>HYPERLINK("https://klasma.github.io/Logging_2082/knärot/A 49656-2025 karta knärot.png", "A 49656-2025")</f>
        <v/>
      </c>
      <c r="AA24">
        <f>HYPERLINK("https://klasma.github.io/Logging_2082/klagomål/A 49656-2025 FSC-klagomål.docx", "A 49656-2025")</f>
        <v/>
      </c>
      <c r="AB24">
        <f>HYPERLINK("https://klasma.github.io/Logging_2082/klagomålsmail/A 49656-2025 FSC-klagomål mail.docx", "A 49656-2025")</f>
        <v/>
      </c>
      <c r="AC24">
        <f>HYPERLINK("https://klasma.github.io/Logging_2082/tillsyn/A 49656-2025 tillsynsbegäran.docx", "A 49656-2025")</f>
        <v/>
      </c>
      <c r="AD24">
        <f>HYPERLINK("https://klasma.github.io/Logging_2082/tillsynsmail/A 49656-2025 tillsynsbegäran mail.docx", "A 49656-2025")</f>
        <v/>
      </c>
    </row>
    <row r="25" ht="15" customHeight="1">
      <c r="A25" t="inlineStr">
        <is>
          <t>A 16845-2024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45411</v>
      </c>
      <c r="E25" s="1" t="n">
        <v>46316</v>
      </c>
      <c r="F25" t="inlineStr">
        <is>
          <t>DALARNAS LÄN</t>
        </is>
      </c>
      <c r="G25" t="inlineStr">
        <is>
          <t>SÄTER</t>
        </is>
      </c>
      <c r="I25" t="n">
        <v>1.4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2</v>
      </c>
      <c r="U25" t="n">
        <v>2</v>
      </c>
      <c r="V25" s="2" t="inlineStr">
        <is>
          <t>Järpe
Kungsfågel</t>
        </is>
      </c>
      <c r="W25">
        <f>HYPERLINK("https://klasma.github.io/Logging_2082/artfynd/A 16845-2024 artfynd.xlsx", "A 16845-2024")</f>
        <v/>
      </c>
      <c r="X25">
        <f>HYPERLINK("https://klasma.github.io/Logging_2082/kartor/A 16845-2024 karta.png", "A 16845-2024")</f>
        <v/>
      </c>
      <c r="Y25">
        <f>HYPERLINK("https://klasma.github.io/Logging_2082/kartor_geotiff/A 16845-2024 georefererad karta.tif", "A 16845-2024")</f>
        <v/>
      </c>
      <c r="AA25">
        <f>HYPERLINK("https://klasma.github.io/Logging_2082/klagomål/A 16845-2024 FSC-klagomål.docx", "A 16845-2024")</f>
        <v/>
      </c>
      <c r="AB25">
        <f>HYPERLINK("https://klasma.github.io/Logging_2082/klagomålsmail/A 16845-2024 FSC-klagomål mail.docx", "A 16845-2024")</f>
        <v/>
      </c>
      <c r="AC25">
        <f>HYPERLINK("https://klasma.github.io/Logging_2082/tillsyn/A 16845-2024 tillsynsbegäran.docx", "A 16845-2024")</f>
        <v/>
      </c>
      <c r="AD25">
        <f>HYPERLINK("https://klasma.github.io/Logging_2082/tillsynsmail/A 16845-2024 tillsynsbegäran mail.docx", "A 16845-2024")</f>
        <v/>
      </c>
      <c r="AE25">
        <f>HYPERLINK("https://klasma.github.io/Logging_2082/fåglar/A 16845-2024 prioriterade fågelarter.docx", "A 16845-2024")</f>
        <v/>
      </c>
    </row>
    <row r="26" ht="15" customHeight="1">
      <c r="A26" t="inlineStr">
        <is>
          <t>A 50079-2023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45215</v>
      </c>
      <c r="E26" s="1" t="n">
        <v>46316</v>
      </c>
      <c r="F26" t="inlineStr">
        <is>
          <t>DALARNAS LÄN</t>
        </is>
      </c>
      <c r="G26" t="inlineStr">
        <is>
          <t>SÄTER</t>
        </is>
      </c>
      <c r="I26" t="n">
        <v>3.8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</v>
      </c>
      <c r="T26" t="n">
        <v>8</v>
      </c>
      <c r="U26" t="n">
        <v>1</v>
      </c>
      <c r="V26" s="2" t="inlineStr">
        <is>
          <t>Tallticka
Blåsippa</t>
        </is>
      </c>
      <c r="W26">
        <f>HYPERLINK("https://klasma.github.io/Logging_2082/artfynd/A 50079-2023 artfynd.xlsx", "A 50079-2023")</f>
        <v/>
      </c>
      <c r="X26">
        <f>HYPERLINK("https://klasma.github.io/Logging_2082/kartor/A 50079-2023 karta.png", "A 50079-2023")</f>
        <v/>
      </c>
      <c r="Y26">
        <f>HYPERLINK("https://klasma.github.io/Logging_2082/kartor_geotiff/A 50079-2023 georefererad karta.tif", "A 50079-2023")</f>
        <v/>
      </c>
      <c r="AA26">
        <f>HYPERLINK("https://klasma.github.io/Logging_2082/klagomål/A 50079-2023 FSC-klagomål.docx", "A 50079-2023")</f>
        <v/>
      </c>
      <c r="AB26">
        <f>HYPERLINK("https://klasma.github.io/Logging_2082/klagomålsmail/A 50079-2023 FSC-klagomål mail.docx", "A 50079-2023")</f>
        <v/>
      </c>
      <c r="AC26">
        <f>HYPERLINK("https://klasma.github.io/Logging_2082/tillsyn/A 50079-2023 tillsynsbegäran.docx", "A 50079-2023")</f>
        <v/>
      </c>
      <c r="AD26">
        <f>HYPERLINK("https://klasma.github.io/Logging_2082/tillsynsmail/A 50079-2023 tillsynsbegäran mail.docx", "A 50079-2023")</f>
        <v/>
      </c>
    </row>
    <row r="27" ht="15" customHeight="1">
      <c r="A27" t="inlineStr">
        <is>
          <t>A 570-2024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45299</v>
      </c>
      <c r="E27" s="1" t="n">
        <v>46316</v>
      </c>
      <c r="F27" t="inlineStr">
        <is>
          <t>DALARNAS LÄN</t>
        </is>
      </c>
      <c r="G27" t="inlineStr">
        <is>
          <t>SÄTER</t>
        </is>
      </c>
      <c r="H27" t="inlineStr">
        <is>
          <t>Kommuner</t>
        </is>
      </c>
      <c r="I27" t="n">
        <v>2.8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2</v>
      </c>
      <c r="U27" t="n">
        <v>1</v>
      </c>
      <c r="V27" s="2" t="inlineStr">
        <is>
          <t>Motaggsvamp
Svavelriska</t>
        </is>
      </c>
      <c r="W27">
        <f>HYPERLINK("https://klasma.github.io/Logging_2082/artfynd/A 570-2024 artfynd.xlsx", "A 570-2024")</f>
        <v/>
      </c>
      <c r="X27">
        <f>HYPERLINK("https://klasma.github.io/Logging_2082/kartor/A 570-2024 karta.png", "A 570-2024")</f>
        <v/>
      </c>
      <c r="Y27">
        <f>HYPERLINK("https://klasma.github.io/Logging_2082/kartor_geotiff/A 570-2024 georefererad karta.tif", "A 570-2024")</f>
        <v/>
      </c>
      <c r="AA27">
        <f>HYPERLINK("https://klasma.github.io/Logging_2082/klagomål/A 570-2024 FSC-klagomål.docx", "A 570-2024")</f>
        <v/>
      </c>
      <c r="AB27">
        <f>HYPERLINK("https://klasma.github.io/Logging_2082/klagomålsmail/A 570-2024 FSC-klagomål mail.docx", "A 570-2024")</f>
        <v/>
      </c>
      <c r="AC27">
        <f>HYPERLINK("https://klasma.github.io/Logging_2082/tillsyn/A 570-2024 tillsynsbegäran.docx", "A 570-2024")</f>
        <v/>
      </c>
      <c r="AD27">
        <f>HYPERLINK("https://klasma.github.io/Logging_2082/tillsynsmail/A 570-2024 tillsynsbegäran mail.docx", "A 570-2024")</f>
        <v/>
      </c>
    </row>
    <row r="28" ht="15" customHeight="1">
      <c r="A28" t="inlineStr">
        <is>
          <t>A 193-2022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44564</v>
      </c>
      <c r="E28" s="1" t="n">
        <v>46316</v>
      </c>
      <c r="F28" t="inlineStr">
        <is>
          <t>DALARNAS LÄN</t>
        </is>
      </c>
      <c r="G28" t="inlineStr">
        <is>
          <t>SÄTER</t>
        </is>
      </c>
      <c r="I28" t="n">
        <v>1.9</v>
      </c>
      <c r="J28" t="n">
        <v>1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2</v>
      </c>
      <c r="T28" t="n">
        <v>4</v>
      </c>
      <c r="U28" t="n">
        <v>4</v>
      </c>
      <c r="V28" s="2" t="inlineStr">
        <is>
          <t>Dropptaggsvamp
Talltita</t>
        </is>
      </c>
      <c r="W28">
        <f>HYPERLINK("https://klasma.github.io/Logging_2082/artfynd/A 193-2022 artfynd.xlsx", "A 193-2022")</f>
        <v/>
      </c>
      <c r="X28">
        <f>HYPERLINK("https://klasma.github.io/Logging_2082/kartor/A 193-2022 karta.png", "A 193-2022")</f>
        <v/>
      </c>
      <c r="Y28">
        <f>HYPERLINK("https://klasma.github.io/Logging_2082/kartor_geotiff/A 193-2022 georefererad karta.tif", "A 193-2022")</f>
        <v/>
      </c>
      <c r="AA28">
        <f>HYPERLINK("https://klasma.github.io/Logging_2082/klagomål/A 193-2022 FSC-klagomål.docx", "A 193-2022")</f>
        <v/>
      </c>
      <c r="AB28">
        <f>HYPERLINK("https://klasma.github.io/Logging_2082/klagomålsmail/A 193-2022 FSC-klagomål mail.docx", "A 193-2022")</f>
        <v/>
      </c>
      <c r="AC28">
        <f>HYPERLINK("https://klasma.github.io/Logging_2082/tillsyn/A 193-2022 tillsynsbegäran.docx", "A 193-2022")</f>
        <v/>
      </c>
      <c r="AD28">
        <f>HYPERLINK("https://klasma.github.io/Logging_2082/tillsynsmail/A 193-2022 tillsynsbegäran mail.docx", "A 193-2022")</f>
        <v/>
      </c>
      <c r="AE28">
        <f>HYPERLINK("https://klasma.github.io/Logging_2082/fåglar/A 193-2022 prioriterade fågelarter.docx", "A 193-2022")</f>
        <v/>
      </c>
    </row>
    <row r="29" ht="15" customHeight="1">
      <c r="A29" t="inlineStr">
        <is>
          <t>S 4771-2024</t>
        </is>
      </c>
      <c r="B29" t="inlineStr">
        <is>
          <t>samrådsanmälan</t>
        </is>
      </c>
      <c r="C29" t="inlineStr">
        <is>
          <t>Annan skogsbruksåtgärd</t>
        </is>
      </c>
      <c r="D29" s="1" t="n">
        <v>45610</v>
      </c>
      <c r="E29" s="1" t="n">
        <v>46316</v>
      </c>
      <c r="F29" t="inlineStr">
        <is>
          <t>DALARNAS LÄN</t>
        </is>
      </c>
      <c r="G29" t="inlineStr">
        <is>
          <t>SÄTER</t>
        </is>
      </c>
      <c r="H29" t="inlineStr">
        <is>
          <t>Bergvik skog väst AB</t>
        </is>
      </c>
      <c r="I29" t="n">
        <v>6.3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2</v>
      </c>
      <c r="T29" t="n">
        <v>4</v>
      </c>
      <c r="U29" t="n">
        <v>0</v>
      </c>
      <c r="V29" s="2" t="inlineStr">
        <is>
          <t>Skogsalm
Tibast</t>
        </is>
      </c>
      <c r="W29">
        <f>HYPERLINK("https://klasma.github.io/Logging_2082/artfynd/S 4771-2024 artfynd.xlsx", "S 4771-2024")</f>
        <v/>
      </c>
      <c r="X29">
        <f>HYPERLINK("https://klasma.github.io/Logging_2082/kartor/S 4771-2024 karta.png", "S 4771-2024")</f>
        <v/>
      </c>
      <c r="Y29">
        <f>HYPERLINK("https://klasma.github.io/Logging_2082/kartor_geotiff/S 4771-2024 georefererad karta.tif", "S 4771-2024")</f>
        <v/>
      </c>
      <c r="AA29">
        <f>HYPERLINK("https://klasma.github.io/Logging_2082/klagomål/S 4771-2024 FSC-klagomål.docx", "S 4771-2024")</f>
        <v/>
      </c>
      <c r="AB29">
        <f>HYPERLINK("https://klasma.github.io/Logging_2082/klagomålsmail/S 4771-2024 FSC-klagomål mail.docx", "S 4771-2024")</f>
        <v/>
      </c>
      <c r="AC29">
        <f>HYPERLINK("https://klasma.github.io/Logging_2082/tillsyn/S 4771-2024 tillsynsbegäran.docx", "S 4771-2024")</f>
        <v/>
      </c>
      <c r="AD29">
        <f>HYPERLINK("https://klasma.github.io/Logging_2082/tillsynsmail/S 4771-2024 tillsynsbegäran mail.docx", "S 4771-2024")</f>
        <v/>
      </c>
    </row>
    <row r="30" ht="15" customHeight="1">
      <c r="A30" t="inlineStr">
        <is>
          <t>A 27715-2023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45098</v>
      </c>
      <c r="E30" s="1" t="n">
        <v>46316</v>
      </c>
      <c r="F30" t="inlineStr">
        <is>
          <t>DALARNAS LÄN</t>
        </is>
      </c>
      <c r="G30" t="inlineStr">
        <is>
          <t>SÄTER</t>
        </is>
      </c>
      <c r="I30" t="n">
        <v>1.4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Mattlummer</t>
        </is>
      </c>
      <c r="W30">
        <f>HYPERLINK("https://klasma.github.io/Logging_2082/artfynd/A 27715-2023 artfynd.xlsx", "A 27715-2023")</f>
        <v/>
      </c>
      <c r="X30">
        <f>HYPERLINK("https://klasma.github.io/Logging_2082/kartor/A 27715-2023 karta.png", "A 27715-2023")</f>
        <v/>
      </c>
      <c r="Y30">
        <f>HYPERLINK("https://klasma.github.io/Logging_2082/kartor_geotiff/A 27715-2023 georefererad karta.tif", "A 27715-2023")</f>
        <v/>
      </c>
      <c r="AA30">
        <f>HYPERLINK("https://klasma.github.io/Logging_2082/klagomål/A 27715-2023 FSC-klagomål.docx", "A 27715-2023")</f>
        <v/>
      </c>
      <c r="AB30">
        <f>HYPERLINK("https://klasma.github.io/Logging_2082/klagomålsmail/A 27715-2023 FSC-klagomål mail.docx", "A 27715-2023")</f>
        <v/>
      </c>
      <c r="AC30">
        <f>HYPERLINK("https://klasma.github.io/Logging_2082/tillsyn/A 27715-2023 tillsynsbegäran.docx", "A 27715-2023")</f>
        <v/>
      </c>
      <c r="AD30">
        <f>HYPERLINK("https://klasma.github.io/Logging_2082/tillsynsmail/A 27715-2023 tillsynsbegäran mail.docx", "A 27715-2023")</f>
        <v/>
      </c>
    </row>
    <row r="31" ht="15" customHeight="1">
      <c r="A31" t="inlineStr">
        <is>
          <t>A 44992-2024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45575</v>
      </c>
      <c r="E31" s="1" t="n">
        <v>46316</v>
      </c>
      <c r="F31" t="inlineStr">
        <is>
          <t>DALARNAS LÄN</t>
        </is>
      </c>
      <c r="G31" t="inlineStr">
        <is>
          <t>SÄTER</t>
        </is>
      </c>
      <c r="H31" t="inlineStr">
        <is>
          <t>Bergvik skog väst AB</t>
        </is>
      </c>
      <c r="I31" t="n">
        <v>9.9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Blåsippa</t>
        </is>
      </c>
      <c r="W31">
        <f>HYPERLINK("https://klasma.github.io/Logging_2082/artfynd/A 44992-2024 artfynd.xlsx", "A 44992-2024")</f>
        <v/>
      </c>
      <c r="X31">
        <f>HYPERLINK("https://klasma.github.io/Logging_2082/kartor/A 44992-2024 karta.png", "A 44992-2024")</f>
        <v/>
      </c>
      <c r="Y31">
        <f>HYPERLINK("https://klasma.github.io/Logging_2082/kartor_geotiff/A 44992-2024 georefererad karta.tif", "A 44992-2024")</f>
        <v/>
      </c>
      <c r="AA31">
        <f>HYPERLINK("https://klasma.github.io/Logging_2082/klagomål/A 44992-2024 FSC-klagomål.docx", "A 44992-2024")</f>
        <v/>
      </c>
      <c r="AB31">
        <f>HYPERLINK("https://klasma.github.io/Logging_2082/klagomålsmail/A 44992-2024 FSC-klagomål mail.docx", "A 44992-2024")</f>
        <v/>
      </c>
      <c r="AC31">
        <f>HYPERLINK("https://klasma.github.io/Logging_2082/tillsyn/A 44992-2024 tillsynsbegäran.docx", "A 44992-2024")</f>
        <v/>
      </c>
      <c r="AD31">
        <f>HYPERLINK("https://klasma.github.io/Logging_2082/tillsynsmail/A 44992-2024 tillsynsbegäran mail.docx", "A 44992-2024")</f>
        <v/>
      </c>
    </row>
    <row r="32" ht="15" customHeight="1">
      <c r="A32" t="inlineStr">
        <is>
          <t>A 39406-2024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45551</v>
      </c>
      <c r="E32" s="1" t="n">
        <v>46316</v>
      </c>
      <c r="F32" t="inlineStr">
        <is>
          <t>DALARNAS LÄN</t>
        </is>
      </c>
      <c r="G32" t="inlineStr">
        <is>
          <t>SÄTER</t>
        </is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Sotriska</t>
        </is>
      </c>
      <c r="W32">
        <f>HYPERLINK("https://klasma.github.io/Logging_2082/artfynd/A 39406-2024 artfynd.xlsx", "A 39406-2024")</f>
        <v/>
      </c>
      <c r="X32">
        <f>HYPERLINK("https://klasma.github.io/Logging_2082/kartor/A 39406-2024 karta.png", "A 39406-2024")</f>
        <v/>
      </c>
      <c r="Y32">
        <f>HYPERLINK("https://klasma.github.io/Logging_2082/kartor_geotiff/A 39406-2024 georefererad karta.tif", "A 39406-2024")</f>
        <v/>
      </c>
      <c r="AA32">
        <f>HYPERLINK("https://klasma.github.io/Logging_2082/klagomål/A 39406-2024 FSC-klagomål.docx", "A 39406-2024")</f>
        <v/>
      </c>
      <c r="AB32">
        <f>HYPERLINK("https://klasma.github.io/Logging_2082/klagomålsmail/A 39406-2024 FSC-klagomål mail.docx", "A 39406-2024")</f>
        <v/>
      </c>
      <c r="AC32">
        <f>HYPERLINK("https://klasma.github.io/Logging_2082/tillsyn/A 39406-2024 tillsynsbegäran.docx", "A 39406-2024")</f>
        <v/>
      </c>
      <c r="AD32">
        <f>HYPERLINK("https://klasma.github.io/Logging_2082/tillsynsmail/A 39406-2024 tillsynsbegäran mail.docx", "A 39406-2024")</f>
        <v/>
      </c>
    </row>
    <row r="33" ht="15" customHeight="1">
      <c r="A33" t="inlineStr">
        <is>
          <t>A 47661-2025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45931</v>
      </c>
      <c r="E33" s="1" t="n">
        <v>46316</v>
      </c>
      <c r="F33" t="inlineStr">
        <is>
          <t>DALARNAS LÄN</t>
        </is>
      </c>
      <c r="G33" t="inlineStr">
        <is>
          <t>SÄTER</t>
        </is>
      </c>
      <c r="H33" t="inlineStr">
        <is>
          <t>Bergvik skog väst AB</t>
        </is>
      </c>
      <c r="I33" t="n">
        <v>13.8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Järnsparv</t>
        </is>
      </c>
      <c r="W33">
        <f>HYPERLINK("https://klasma.github.io/Logging_2082/artfynd/A 47661-2025 artfynd.xlsx", "A 47661-2025")</f>
        <v/>
      </c>
      <c r="X33">
        <f>HYPERLINK("https://klasma.github.io/Logging_2082/kartor/A 47661-2025 karta.png", "A 47661-2025")</f>
        <v/>
      </c>
      <c r="Y33">
        <f>HYPERLINK("https://klasma.github.io/Logging_2082/kartor_geotiff/A 47661-2025 georefererad karta.tif", "A 47661-2025")</f>
        <v/>
      </c>
      <c r="AA33">
        <f>HYPERLINK("https://klasma.github.io/Logging_2082/klagomål/A 47661-2025 FSC-klagomål.docx", "A 47661-2025")</f>
        <v/>
      </c>
      <c r="AB33">
        <f>HYPERLINK("https://klasma.github.io/Logging_2082/klagomålsmail/A 47661-2025 FSC-klagomål mail.docx", "A 47661-2025")</f>
        <v/>
      </c>
      <c r="AC33">
        <f>HYPERLINK("https://klasma.github.io/Logging_2082/tillsyn/A 47661-2025 tillsynsbegäran.docx", "A 47661-2025")</f>
        <v/>
      </c>
      <c r="AD33">
        <f>HYPERLINK("https://klasma.github.io/Logging_2082/tillsynsmail/A 47661-2025 tillsynsbegäran mail.docx", "A 47661-2025")</f>
        <v/>
      </c>
      <c r="AE33">
        <f>HYPERLINK("https://klasma.github.io/Logging_2082/fåglar/A 47661-2025 prioriterade fågelarter.docx", "A 47661-2025")</f>
        <v/>
      </c>
    </row>
    <row r="34" ht="15" customHeight="1">
      <c r="A34" t="inlineStr">
        <is>
          <t>A 49653-2025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45939</v>
      </c>
      <c r="E34" s="1" t="n">
        <v>46316</v>
      </c>
      <c r="F34" t="inlineStr">
        <is>
          <t>DALARNAS LÄN</t>
        </is>
      </c>
      <c r="G34" t="inlineStr">
        <is>
          <t>SÄTER</t>
        </is>
      </c>
      <c r="I34" t="n">
        <v>0.8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Ullticka</t>
        </is>
      </c>
      <c r="W34">
        <f>HYPERLINK("https://klasma.github.io/Logging_2082/artfynd/A 49653-2025 artfynd.xlsx", "A 49653-2025")</f>
        <v/>
      </c>
      <c r="X34">
        <f>HYPERLINK("https://klasma.github.io/Logging_2082/kartor/A 49653-2025 karta.png", "A 49653-2025")</f>
        <v/>
      </c>
      <c r="Y34">
        <f>HYPERLINK("https://klasma.github.io/Logging_2082/kartor_geotiff/A 49653-2025 georefererad karta.tif", "A 49653-2025")</f>
        <v/>
      </c>
      <c r="AA34">
        <f>HYPERLINK("https://klasma.github.io/Logging_2082/klagomål/A 49653-2025 FSC-klagomål.docx", "A 49653-2025")</f>
        <v/>
      </c>
      <c r="AB34">
        <f>HYPERLINK("https://klasma.github.io/Logging_2082/klagomålsmail/A 49653-2025 FSC-klagomål mail.docx", "A 49653-2025")</f>
        <v/>
      </c>
      <c r="AC34">
        <f>HYPERLINK("https://klasma.github.io/Logging_2082/tillsyn/A 49653-2025 tillsynsbegäran.docx", "A 49653-2025")</f>
        <v/>
      </c>
      <c r="AD34">
        <f>HYPERLINK("https://klasma.github.io/Logging_2082/tillsynsmail/A 49653-2025 tillsynsbegäran mail.docx", "A 49653-2025")</f>
        <v/>
      </c>
    </row>
    <row r="35" ht="15" customHeight="1">
      <c r="A35" t="inlineStr">
        <is>
          <t>A 11533-2026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46083</v>
      </c>
      <c r="E35" s="1" t="n">
        <v>46316</v>
      </c>
      <c r="F35" t="inlineStr">
        <is>
          <t>DALARNAS LÄN</t>
        </is>
      </c>
      <c r="G35" t="inlineStr">
        <is>
          <t>SÄTER</t>
        </is>
      </c>
      <c r="H35" t="inlineStr">
        <is>
          <t>Kommuner</t>
        </is>
      </c>
      <c r="I35" t="n">
        <v>6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2</v>
      </c>
      <c r="V35" s="2" t="inlineStr">
        <is>
          <t>Fläcknycklar</t>
        </is>
      </c>
      <c r="W35">
        <f>HYPERLINK("https://klasma.github.io/Logging_2082/artfynd/A 11533-2026 artfynd.xlsx", "A 11533-2026")</f>
        <v/>
      </c>
      <c r="X35">
        <f>HYPERLINK("https://klasma.github.io/Logging_2082/kartor/A 11533-2026 karta.png", "A 11533-2026")</f>
        <v/>
      </c>
      <c r="Y35">
        <f>HYPERLINK("https://klasma.github.io/Logging_2082/kartor_geotiff/A 11533-2026 georefererad karta.tif", "A 11533-2026")</f>
        <v/>
      </c>
      <c r="AA35">
        <f>HYPERLINK("https://klasma.github.io/Logging_2082/klagomål/A 11533-2026 FSC-klagomål.docx", "A 11533-2026")</f>
        <v/>
      </c>
      <c r="AB35">
        <f>HYPERLINK("https://klasma.github.io/Logging_2082/klagomålsmail/A 11533-2026 FSC-klagomål mail.docx", "A 11533-2026")</f>
        <v/>
      </c>
      <c r="AC35">
        <f>HYPERLINK("https://klasma.github.io/Logging_2082/tillsyn/A 11533-2026 tillsynsbegäran.docx", "A 11533-2026")</f>
        <v/>
      </c>
      <c r="AD35">
        <f>HYPERLINK("https://klasma.github.io/Logging_2082/tillsynsmail/A 11533-2026 tillsynsbegäran mail.docx", "A 11533-2026")</f>
        <v/>
      </c>
    </row>
    <row r="36" ht="15" customHeight="1">
      <c r="A36" t="inlineStr">
        <is>
          <t>A 36939-2025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45874</v>
      </c>
      <c r="E36" s="1" t="n">
        <v>46316</v>
      </c>
      <c r="F36" t="inlineStr">
        <is>
          <t>DALARNAS LÄN</t>
        </is>
      </c>
      <c r="G36" t="inlineStr">
        <is>
          <t>SÄTER</t>
        </is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Slaguggla</t>
        </is>
      </c>
      <c r="W36">
        <f>HYPERLINK("https://klasma.github.io/Logging_2082/artfynd/A 36939-2025 artfynd.xlsx", "A 36939-2025")</f>
        <v/>
      </c>
      <c r="X36">
        <f>HYPERLINK("https://klasma.github.io/Logging_2082/kartor/A 36939-2025 karta.png", "A 36939-2025")</f>
        <v/>
      </c>
      <c r="Y36">
        <f>HYPERLINK("https://klasma.github.io/Logging_2082/kartor_geotiff/A 36939-2025 georefererad karta.tif", "A 36939-2025")</f>
        <v/>
      </c>
      <c r="AA36">
        <f>HYPERLINK("https://klasma.github.io/Logging_2082/klagomål/A 36939-2025 FSC-klagomål.docx", "A 36939-2025")</f>
        <v/>
      </c>
      <c r="AB36">
        <f>HYPERLINK("https://klasma.github.io/Logging_2082/klagomålsmail/A 36939-2025 FSC-klagomål mail.docx", "A 36939-2025")</f>
        <v/>
      </c>
      <c r="AC36">
        <f>HYPERLINK("https://klasma.github.io/Logging_2082/tillsyn/A 36939-2025 tillsynsbegäran.docx", "A 36939-2025")</f>
        <v/>
      </c>
      <c r="AD36">
        <f>HYPERLINK("https://klasma.github.io/Logging_2082/tillsynsmail/A 36939-2025 tillsynsbegäran mail.docx", "A 36939-2025")</f>
        <v/>
      </c>
      <c r="AE36">
        <f>HYPERLINK("https://klasma.github.io/Logging_2082/fåglar/A 36939-2025 prioriterade fågelarter.docx", "A 36939-2025")</f>
        <v/>
      </c>
    </row>
    <row r="37" ht="15" customHeight="1">
      <c r="A37" t="inlineStr">
        <is>
          <t>A 34938-2025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45849</v>
      </c>
      <c r="E37" s="1" t="n">
        <v>46316</v>
      </c>
      <c r="F37" t="inlineStr">
        <is>
          <t>DALARNAS LÄN</t>
        </is>
      </c>
      <c r="G37" t="inlineStr">
        <is>
          <t>SÄTER</t>
        </is>
      </c>
      <c r="I37" t="n">
        <v>2.3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Ullticka</t>
        </is>
      </c>
      <c r="W37">
        <f>HYPERLINK("https://klasma.github.io/Logging_2082/artfynd/A 34938-2025 artfynd.xlsx", "A 34938-2025")</f>
        <v/>
      </c>
      <c r="X37">
        <f>HYPERLINK("https://klasma.github.io/Logging_2082/kartor/A 34938-2025 karta.png", "A 34938-2025")</f>
        <v/>
      </c>
      <c r="Y37">
        <f>HYPERLINK("https://klasma.github.io/Logging_2082/kartor_geotiff/A 34938-2025 georefererad karta.tif", "A 34938-2025")</f>
        <v/>
      </c>
      <c r="AA37">
        <f>HYPERLINK("https://klasma.github.io/Logging_2082/klagomål/A 34938-2025 FSC-klagomål.docx", "A 34938-2025")</f>
        <v/>
      </c>
      <c r="AB37">
        <f>HYPERLINK("https://klasma.github.io/Logging_2082/klagomålsmail/A 34938-2025 FSC-klagomål mail.docx", "A 34938-2025")</f>
        <v/>
      </c>
      <c r="AC37">
        <f>HYPERLINK("https://klasma.github.io/Logging_2082/tillsyn/A 34938-2025 tillsynsbegäran.docx", "A 34938-2025")</f>
        <v/>
      </c>
      <c r="AD37">
        <f>HYPERLINK("https://klasma.github.io/Logging_2082/tillsynsmail/A 34938-2025 tillsynsbegäran mail.docx", "A 34938-2025")</f>
        <v/>
      </c>
    </row>
    <row r="38" ht="15" customHeight="1">
      <c r="A38" t="inlineStr">
        <is>
          <t>A 35221-2025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45853</v>
      </c>
      <c r="E38" s="1" t="n">
        <v>46316</v>
      </c>
      <c r="F38" t="inlineStr">
        <is>
          <t>DALARNAS LÄN</t>
        </is>
      </c>
      <c r="G38" t="inlineStr">
        <is>
          <t>SÄTER</t>
        </is>
      </c>
      <c r="I38" t="n">
        <v>9.5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Vedskivlav</t>
        </is>
      </c>
      <c r="W38">
        <f>HYPERLINK("https://klasma.github.io/Logging_2082/artfynd/A 35221-2025 artfynd.xlsx", "A 35221-2025")</f>
        <v/>
      </c>
      <c r="X38">
        <f>HYPERLINK("https://klasma.github.io/Logging_2082/kartor/A 35221-2025 karta.png", "A 35221-2025")</f>
        <v/>
      </c>
      <c r="Y38">
        <f>HYPERLINK("https://klasma.github.io/Logging_2082/kartor_geotiff/A 35221-2025 georefererad karta.tif", "A 35221-2025")</f>
        <v/>
      </c>
      <c r="AA38">
        <f>HYPERLINK("https://klasma.github.io/Logging_2082/klagomål/A 35221-2025 FSC-klagomål.docx", "A 35221-2025")</f>
        <v/>
      </c>
      <c r="AB38">
        <f>HYPERLINK("https://klasma.github.io/Logging_2082/klagomålsmail/A 35221-2025 FSC-klagomål mail.docx", "A 35221-2025")</f>
        <v/>
      </c>
      <c r="AC38">
        <f>HYPERLINK("https://klasma.github.io/Logging_2082/tillsyn/A 35221-2025 tillsynsbegäran.docx", "A 35221-2025")</f>
        <v/>
      </c>
      <c r="AD38">
        <f>HYPERLINK("https://klasma.github.io/Logging_2082/tillsynsmail/A 35221-2025 tillsynsbegäran mail.docx", "A 35221-2025")</f>
        <v/>
      </c>
    </row>
    <row r="39" ht="15" customHeight="1">
      <c r="A39" t="inlineStr">
        <is>
          <t>A 61197-2025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46000</v>
      </c>
      <c r="E39" s="1" t="n">
        <v>46316</v>
      </c>
      <c r="F39" t="inlineStr">
        <is>
          <t>DALARNAS LÄN</t>
        </is>
      </c>
      <c r="G39" t="inlineStr">
        <is>
          <t>SÄTER</t>
        </is>
      </c>
      <c r="I39" t="n">
        <v>4.1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s="2" t="inlineStr">
        <is>
          <t>Knärot</t>
        </is>
      </c>
      <c r="W39">
        <f>HYPERLINK("https://klasma.github.io/Logging_2082/artfynd/A 61197-2025 artfynd.xlsx", "A 61197-2025")</f>
        <v/>
      </c>
      <c r="X39">
        <f>HYPERLINK("https://klasma.github.io/Logging_2082/kartor/A 61197-2025 karta.png", "A 61197-2025")</f>
        <v/>
      </c>
      <c r="Y39">
        <f>HYPERLINK("https://klasma.github.io/Logging_2082/kartor_geotiff/A 61197-2025 georefererad karta.tif", "A 61197-2025")</f>
        <v/>
      </c>
      <c r="Z39">
        <f>HYPERLINK("https://klasma.github.io/Logging_2082/knärot/A 61197-2025 karta knärot.png", "A 61197-2025")</f>
        <v/>
      </c>
      <c r="AA39">
        <f>HYPERLINK("https://klasma.github.io/Logging_2082/klagomål/A 61197-2025 FSC-klagomål.docx", "A 61197-2025")</f>
        <v/>
      </c>
      <c r="AB39">
        <f>HYPERLINK("https://klasma.github.io/Logging_2082/klagomålsmail/A 61197-2025 FSC-klagomål mail.docx", "A 61197-2025")</f>
        <v/>
      </c>
      <c r="AC39">
        <f>HYPERLINK("https://klasma.github.io/Logging_2082/tillsyn/A 61197-2025 tillsynsbegäran.docx", "A 61197-2025")</f>
        <v/>
      </c>
      <c r="AD39">
        <f>HYPERLINK("https://klasma.github.io/Logging_2082/tillsynsmail/A 61197-2025 tillsynsbegäran mail.docx", "A 61197-2025")</f>
        <v/>
      </c>
    </row>
    <row r="40" ht="15" customHeight="1">
      <c r="A40" t="inlineStr">
        <is>
          <t>A 21111-2026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46146</v>
      </c>
      <c r="E40" s="1" t="n">
        <v>46316</v>
      </c>
      <c r="F40" t="inlineStr">
        <is>
          <t>DALARNAS LÄN</t>
        </is>
      </c>
      <c r="G40" t="inlineStr">
        <is>
          <t>SÄTER</t>
        </is>
      </c>
      <c r="I40" t="n">
        <v>4.6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2</v>
      </c>
      <c r="U40" t="n">
        <v>0</v>
      </c>
      <c r="V40" s="2" t="inlineStr">
        <is>
          <t>Fjällig taggsvamp s.str.</t>
        </is>
      </c>
      <c r="W40">
        <f>HYPERLINK("https://klasma.github.io/Logging_2082/artfynd/A 21111-2026 artfynd.xlsx", "A 21111-2026")</f>
        <v/>
      </c>
      <c r="X40">
        <f>HYPERLINK("https://klasma.github.io/Logging_2082/kartor/A 21111-2026 karta.png", "A 21111-2026")</f>
        <v/>
      </c>
      <c r="Y40">
        <f>HYPERLINK("https://klasma.github.io/Logging_2082/kartor_geotiff/A 21111-2026 georefererad karta.tif", "A 21111-2026")</f>
        <v/>
      </c>
      <c r="AA40">
        <f>HYPERLINK("https://klasma.github.io/Logging_2082/klagomål/A 21111-2026 FSC-klagomål.docx", "A 21111-2026")</f>
        <v/>
      </c>
      <c r="AB40">
        <f>HYPERLINK("https://klasma.github.io/Logging_2082/klagomålsmail/A 21111-2026 FSC-klagomål mail.docx", "A 21111-2026")</f>
        <v/>
      </c>
      <c r="AC40">
        <f>HYPERLINK("https://klasma.github.io/Logging_2082/tillsyn/A 21111-2026 tillsynsbegäran.docx", "A 21111-2026")</f>
        <v/>
      </c>
      <c r="AD40">
        <f>HYPERLINK("https://klasma.github.io/Logging_2082/tillsynsmail/A 21111-2026 tillsynsbegäran mail.docx", "A 21111-2026")</f>
        <v/>
      </c>
    </row>
    <row r="41" ht="15" customHeight="1">
      <c r="A41" t="inlineStr">
        <is>
          <t>A 21120-2026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46146</v>
      </c>
      <c r="E41" s="1" t="n">
        <v>46316</v>
      </c>
      <c r="F41" t="inlineStr">
        <is>
          <t>DALARNAS LÄN</t>
        </is>
      </c>
      <c r="G41" t="inlineStr">
        <is>
          <t>SÄTER</t>
        </is>
      </c>
      <c r="I41" t="n">
        <v>4.8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s="2" t="inlineStr">
        <is>
          <t>Knärot</t>
        </is>
      </c>
      <c r="W41">
        <f>HYPERLINK("https://klasma.github.io/Logging_2082/artfynd/A 21120-2026 artfynd.xlsx", "A 21120-2026")</f>
        <v/>
      </c>
      <c r="X41">
        <f>HYPERLINK("https://klasma.github.io/Logging_2082/kartor/A 21120-2026 karta.png", "A 21120-2026")</f>
        <v/>
      </c>
      <c r="Y41">
        <f>HYPERLINK("https://klasma.github.io/Logging_2082/kartor_geotiff/A 21120-2026 georefererad karta.tif", "A 21120-2026")</f>
        <v/>
      </c>
      <c r="Z41">
        <f>HYPERLINK("https://klasma.github.io/Logging_2082/knärot/A 21120-2026 karta knärot.png", "A 21120-2026")</f>
        <v/>
      </c>
      <c r="AA41">
        <f>HYPERLINK("https://klasma.github.io/Logging_2082/klagomål/A 21120-2026 FSC-klagomål.docx", "A 21120-2026")</f>
        <v/>
      </c>
      <c r="AB41">
        <f>HYPERLINK("https://klasma.github.io/Logging_2082/klagomålsmail/A 21120-2026 FSC-klagomål mail.docx", "A 21120-2026")</f>
        <v/>
      </c>
      <c r="AC41">
        <f>HYPERLINK("https://klasma.github.io/Logging_2082/tillsyn/A 21120-2026 tillsynsbegäran.docx", "A 21120-2026")</f>
        <v/>
      </c>
      <c r="AD41">
        <f>HYPERLINK("https://klasma.github.io/Logging_2082/tillsynsmail/A 21120-2026 tillsynsbegäran mail.docx", "A 21120-2026")</f>
        <v/>
      </c>
    </row>
    <row r="42" ht="15" customHeight="1">
      <c r="A42" t="inlineStr">
        <is>
          <t>A 9682-2025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45716</v>
      </c>
      <c r="E42" s="1" t="n">
        <v>46316</v>
      </c>
      <c r="F42" t="inlineStr">
        <is>
          <t>DALARNAS LÄN</t>
        </is>
      </c>
      <c r="G42" t="inlineStr">
        <is>
          <t>SÄTER</t>
        </is>
      </c>
      <c r="I42" t="n">
        <v>6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Ögonpyrola</t>
        </is>
      </c>
      <c r="W42">
        <f>HYPERLINK("https://klasma.github.io/Logging_2082/artfynd/A 9682-2025 artfynd.xlsx", "A 9682-2025")</f>
        <v/>
      </c>
      <c r="X42">
        <f>HYPERLINK("https://klasma.github.io/Logging_2082/kartor/A 9682-2025 karta.png", "A 9682-2025")</f>
        <v/>
      </c>
      <c r="Y42">
        <f>HYPERLINK("https://klasma.github.io/Logging_2082/kartor_geotiff/A 9682-2025 georefererad karta.tif", "A 9682-2025")</f>
        <v/>
      </c>
      <c r="AA42">
        <f>HYPERLINK("https://klasma.github.io/Logging_2082/klagomål/A 9682-2025 FSC-klagomål.docx", "A 9682-2025")</f>
        <v/>
      </c>
      <c r="AB42">
        <f>HYPERLINK("https://klasma.github.io/Logging_2082/klagomålsmail/A 9682-2025 FSC-klagomål mail.docx", "A 9682-2025")</f>
        <v/>
      </c>
      <c r="AC42">
        <f>HYPERLINK("https://klasma.github.io/Logging_2082/tillsyn/A 9682-2025 tillsynsbegäran.docx", "A 9682-2025")</f>
        <v/>
      </c>
      <c r="AD42">
        <f>HYPERLINK("https://klasma.github.io/Logging_2082/tillsynsmail/A 9682-2025 tillsynsbegäran mail.docx", "A 9682-2025")</f>
        <v/>
      </c>
    </row>
    <row r="43" ht="15" customHeight="1">
      <c r="A43" t="inlineStr">
        <is>
          <t>A 68448-2021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44529</v>
      </c>
      <c r="E43" s="1" t="n">
        <v>46316</v>
      </c>
      <c r="F43" t="inlineStr">
        <is>
          <t>DALARNAS LÄN</t>
        </is>
      </c>
      <c r="G43" t="inlineStr">
        <is>
          <t>SÄTER</t>
        </is>
      </c>
      <c r="I43" t="n">
        <v>1.4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s="2" t="inlineStr">
        <is>
          <t>Knärot</t>
        </is>
      </c>
      <c r="W43">
        <f>HYPERLINK("https://klasma.github.io/Logging_2082/artfynd/A 68448-2021 artfynd.xlsx", "A 68448-2021")</f>
        <v/>
      </c>
      <c r="X43">
        <f>HYPERLINK("https://klasma.github.io/Logging_2082/kartor/A 68448-2021 karta.png", "A 68448-2021")</f>
        <v/>
      </c>
      <c r="Y43">
        <f>HYPERLINK("https://klasma.github.io/Logging_2082/kartor_geotiff/A 68448-2021 georefererad karta.tif", "A 68448-2021")</f>
        <v/>
      </c>
      <c r="Z43">
        <f>HYPERLINK("https://klasma.github.io/Logging_2082/knärot/A 68448-2021 karta knärot.png", "A 68448-2021")</f>
        <v/>
      </c>
      <c r="AA43">
        <f>HYPERLINK("https://klasma.github.io/Logging_2082/klagomål/A 68448-2021 FSC-klagomål.docx", "A 68448-2021")</f>
        <v/>
      </c>
      <c r="AB43">
        <f>HYPERLINK("https://klasma.github.io/Logging_2082/klagomålsmail/A 68448-2021 FSC-klagomål mail.docx", "A 68448-2021")</f>
        <v/>
      </c>
      <c r="AC43">
        <f>HYPERLINK("https://klasma.github.io/Logging_2082/tillsyn/A 68448-2021 tillsynsbegäran.docx", "A 68448-2021")</f>
        <v/>
      </c>
      <c r="AD43">
        <f>HYPERLINK("https://klasma.github.io/Logging_2082/tillsynsmail/A 68448-2021 tillsynsbegäran mail.docx", "A 68448-2021")</f>
        <v/>
      </c>
    </row>
    <row r="44" ht="15" customHeight="1">
      <c r="A44" t="inlineStr">
        <is>
          <t>A 32383-2022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44781</v>
      </c>
      <c r="E44" s="1" t="n">
        <v>46316</v>
      </c>
      <c r="F44" t="inlineStr">
        <is>
          <t>DALARNAS LÄN</t>
        </is>
      </c>
      <c r="G44" t="inlineStr">
        <is>
          <t>SÄTER</t>
        </is>
      </c>
      <c r="H44" t="inlineStr">
        <is>
          <t>Bergvik skog väst AB</t>
        </is>
      </c>
      <c r="I44" t="n">
        <v>4.1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s="2" t="inlineStr">
        <is>
          <t>Knärot</t>
        </is>
      </c>
      <c r="W44">
        <f>HYPERLINK("https://klasma.github.io/Logging_2082/artfynd/A 32383-2022 artfynd.xlsx", "A 32383-2022")</f>
        <v/>
      </c>
      <c r="X44">
        <f>HYPERLINK("https://klasma.github.io/Logging_2082/kartor/A 32383-2022 karta.png", "A 32383-2022")</f>
        <v/>
      </c>
      <c r="Y44">
        <f>HYPERLINK("https://klasma.github.io/Logging_2082/kartor_geotiff/A 32383-2022 georefererad karta.tif", "A 32383-2022")</f>
        <v/>
      </c>
      <c r="Z44">
        <f>HYPERLINK("https://klasma.github.io/Logging_2082/knärot/A 32383-2022 karta knärot.png", "A 32383-2022")</f>
        <v/>
      </c>
      <c r="AA44">
        <f>HYPERLINK("https://klasma.github.io/Logging_2082/klagomål/A 32383-2022 FSC-klagomål.docx", "A 32383-2022")</f>
        <v/>
      </c>
      <c r="AB44">
        <f>HYPERLINK("https://klasma.github.io/Logging_2082/klagomålsmail/A 32383-2022 FSC-klagomål mail.docx", "A 32383-2022")</f>
        <v/>
      </c>
      <c r="AC44">
        <f>HYPERLINK("https://klasma.github.io/Logging_2082/tillsyn/A 32383-2022 tillsynsbegäran.docx", "A 32383-2022")</f>
        <v/>
      </c>
      <c r="AD44">
        <f>HYPERLINK("https://klasma.github.io/Logging_2082/tillsynsmail/A 32383-2022 tillsynsbegäran mail.docx", "A 32383-2022")</f>
        <v/>
      </c>
    </row>
    <row r="45" ht="15" customHeight="1">
      <c r="A45" t="inlineStr">
        <is>
          <t>A 36969-2026</t>
        </is>
      </c>
      <c r="B45" t="inlineStr">
        <is>
          <t>avverkningsanmälan</t>
        </is>
      </c>
      <c r="C45" t="inlineStr">
        <is>
          <t>Avverkning för att bevara och utveckla /försöksver</t>
        </is>
      </c>
      <c r="D45" s="1" t="n">
        <v>46273</v>
      </c>
      <c r="E45" s="1" t="n">
        <v>46316</v>
      </c>
      <c r="F45" t="inlineStr">
        <is>
          <t>DALARNAS LÄN</t>
        </is>
      </c>
      <c r="G45" t="inlineStr">
        <is>
          <t>SÄTER</t>
        </is>
      </c>
      <c r="H45" t="inlineStr">
        <is>
          <t>Bergvik skog väst AB</t>
        </is>
      </c>
      <c r="I45" t="n">
        <v>1.5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Bronshjon</t>
        </is>
      </c>
      <c r="W45">
        <f>HYPERLINK("https://klasma.github.io/Logging_2082/artfynd/A 36969-2026 artfynd.xlsx", "A 36969-2026")</f>
        <v/>
      </c>
      <c r="X45">
        <f>HYPERLINK("https://klasma.github.io/Logging_2082/kartor/A 36969-2026 karta.png", "A 36969-2026")</f>
        <v/>
      </c>
      <c r="Y45">
        <f>HYPERLINK("https://klasma.github.io/Logging_2082/kartor_geotiff/A 36969-2026 georefererad karta.tif", "A 36969-2026")</f>
        <v/>
      </c>
      <c r="AA45">
        <f>HYPERLINK("https://klasma.github.io/Logging_2082/klagomål/A 36969-2026 FSC-klagomål.docx", "A 36969-2026")</f>
        <v/>
      </c>
      <c r="AB45">
        <f>HYPERLINK("https://klasma.github.io/Logging_2082/klagomålsmail/A 36969-2026 FSC-klagomål mail.docx", "A 36969-2026")</f>
        <v/>
      </c>
      <c r="AC45">
        <f>HYPERLINK("https://klasma.github.io/Logging_2082/tillsyn/A 36969-2026 tillsynsbegäran.docx", "A 36969-2026")</f>
        <v/>
      </c>
      <c r="AD45">
        <f>HYPERLINK("https://klasma.github.io/Logging_2082/tillsynsmail/A 36969-2026 tillsynsbegäran mail.docx", "A 36969-2026")</f>
        <v/>
      </c>
    </row>
    <row r="46" ht="15" customHeight="1">
      <c r="A46" t="inlineStr">
        <is>
          <t>A 33605-2022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44789</v>
      </c>
      <c r="E46" s="1" t="n">
        <v>46316</v>
      </c>
      <c r="F46" t="inlineStr">
        <is>
          <t>DALARNAS LÄN</t>
        </is>
      </c>
      <c r="G46" t="inlineStr">
        <is>
          <t>SÄTER</t>
        </is>
      </c>
      <c r="I46" t="n">
        <v>1.2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s="2" t="inlineStr">
        <is>
          <t>Ullticka</t>
        </is>
      </c>
      <c r="W46">
        <f>HYPERLINK("https://klasma.github.io/Logging_2082/artfynd/A 33605-2022 artfynd.xlsx", "A 33605-2022")</f>
        <v/>
      </c>
      <c r="X46">
        <f>HYPERLINK("https://klasma.github.io/Logging_2082/kartor/A 33605-2022 karta.png", "A 33605-2022")</f>
        <v/>
      </c>
      <c r="Y46">
        <f>HYPERLINK("https://klasma.github.io/Logging_2082/kartor_geotiff/A 33605-2022 georefererad karta.tif", "A 33605-2022")</f>
        <v/>
      </c>
      <c r="AA46">
        <f>HYPERLINK("https://klasma.github.io/Logging_2082/klagomål/A 33605-2022 FSC-klagomål.docx", "A 33605-2022")</f>
        <v/>
      </c>
      <c r="AB46">
        <f>HYPERLINK("https://klasma.github.io/Logging_2082/klagomålsmail/A 33605-2022 FSC-klagomål mail.docx", "A 33605-2022")</f>
        <v/>
      </c>
      <c r="AC46">
        <f>HYPERLINK("https://klasma.github.io/Logging_2082/tillsyn/A 33605-2022 tillsynsbegäran.docx", "A 33605-2022")</f>
        <v/>
      </c>
      <c r="AD46">
        <f>HYPERLINK("https://klasma.github.io/Logging_2082/tillsynsmail/A 33605-2022 tillsynsbegäran mail.docx", "A 33605-2022")</f>
        <v/>
      </c>
    </row>
    <row r="47" ht="15" customHeight="1">
      <c r="A47" t="inlineStr">
        <is>
          <t>A 37896-2026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46279</v>
      </c>
      <c r="E47" s="1" t="n">
        <v>46316</v>
      </c>
      <c r="F47" t="inlineStr">
        <is>
          <t>DALARNAS LÄN</t>
        </is>
      </c>
      <c r="G47" t="inlineStr">
        <is>
          <t>SÄTER</t>
        </is>
      </c>
      <c r="H47" t="inlineStr">
        <is>
          <t>Bergvik skog väst AB</t>
        </is>
      </c>
      <c r="I47" t="n">
        <v>16.9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s="2" t="inlineStr">
        <is>
          <t>Gräddticka</t>
        </is>
      </c>
      <c r="W47">
        <f>HYPERLINK("https://klasma.github.io/Logging_2082/artfynd/A 37896-2026 artfynd.xlsx", "A 37896-2026")</f>
        <v/>
      </c>
      <c r="X47">
        <f>HYPERLINK("https://klasma.github.io/Logging_2082/kartor/A 37896-2026 karta.png", "A 37896-2026")</f>
        <v/>
      </c>
      <c r="Y47">
        <f>HYPERLINK("https://klasma.github.io/Logging_2082/kartor_geotiff/A 37896-2026 georefererad karta.tif", "A 37896-2026")</f>
        <v/>
      </c>
      <c r="AA47">
        <f>HYPERLINK("https://klasma.github.io/Logging_2082/klagomål/A 37896-2026 FSC-klagomål.docx", "A 37896-2026")</f>
        <v/>
      </c>
      <c r="AB47">
        <f>HYPERLINK("https://klasma.github.io/Logging_2082/klagomålsmail/A 37896-2026 FSC-klagomål mail.docx", "A 37896-2026")</f>
        <v/>
      </c>
      <c r="AC47">
        <f>HYPERLINK("https://klasma.github.io/Logging_2082/tillsyn/A 37896-2026 tillsynsbegäran.docx", "A 37896-2026")</f>
        <v/>
      </c>
      <c r="AD47">
        <f>HYPERLINK("https://klasma.github.io/Logging_2082/tillsynsmail/A 37896-2026 tillsynsbegäran mail.docx", "A 37896-2026")</f>
        <v/>
      </c>
    </row>
    <row r="48" ht="15" customHeight="1">
      <c r="A48" t="inlineStr">
        <is>
          <t>A 57427-2022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44896</v>
      </c>
      <c r="E48" s="1" t="n">
        <v>46316</v>
      </c>
      <c r="F48" t="inlineStr">
        <is>
          <t>DALARNAS LÄN</t>
        </is>
      </c>
      <c r="G48" t="inlineStr">
        <is>
          <t>SÄTER</t>
        </is>
      </c>
      <c r="I48" t="n">
        <v>3.3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Dropptaggsvamp</t>
        </is>
      </c>
      <c r="W48">
        <f>HYPERLINK("https://klasma.github.io/Logging_2082/artfynd/A 57427-2022 artfynd.xlsx", "A 57427-2022")</f>
        <v/>
      </c>
      <c r="X48">
        <f>HYPERLINK("https://klasma.github.io/Logging_2082/kartor/A 57427-2022 karta.png", "A 57427-2022")</f>
        <v/>
      </c>
      <c r="Y48">
        <f>HYPERLINK("https://klasma.github.io/Logging_2082/kartor_geotiff/A 57427-2022 georefererad karta.tif", "A 57427-2022")</f>
        <v/>
      </c>
      <c r="AA48">
        <f>HYPERLINK("https://klasma.github.io/Logging_2082/klagomål/A 57427-2022 FSC-klagomål.docx", "A 57427-2022")</f>
        <v/>
      </c>
      <c r="AB48">
        <f>HYPERLINK("https://klasma.github.io/Logging_2082/klagomålsmail/A 57427-2022 FSC-klagomål mail.docx", "A 57427-2022")</f>
        <v/>
      </c>
      <c r="AC48">
        <f>HYPERLINK("https://klasma.github.io/Logging_2082/tillsyn/A 57427-2022 tillsynsbegäran.docx", "A 57427-2022")</f>
        <v/>
      </c>
      <c r="AD48">
        <f>HYPERLINK("https://klasma.github.io/Logging_2082/tillsynsmail/A 57427-2022 tillsynsbegäran mail.docx", "A 57427-2022")</f>
        <v/>
      </c>
    </row>
    <row r="49" ht="15" customHeight="1">
      <c r="A49" t="inlineStr">
        <is>
          <t>A 5232-2022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44594</v>
      </c>
      <c r="E49" s="1" t="n">
        <v>46316</v>
      </c>
      <c r="F49" t="inlineStr">
        <is>
          <t>DALARNAS LÄN</t>
        </is>
      </c>
      <c r="G49" t="inlineStr">
        <is>
          <t>SÄTER</t>
        </is>
      </c>
      <c r="I49" t="n">
        <v>2.5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Tvåblad</t>
        </is>
      </c>
      <c r="W49">
        <f>HYPERLINK("https://klasma.github.io/Logging_2082/artfynd/A 5232-2022 artfynd.xlsx", "A 5232-2022")</f>
        <v/>
      </c>
      <c r="X49">
        <f>HYPERLINK("https://klasma.github.io/Logging_2082/kartor/A 5232-2022 karta.png", "A 5232-2022")</f>
        <v/>
      </c>
      <c r="Y49">
        <f>HYPERLINK("https://klasma.github.io/Logging_2082/kartor_geotiff/A 5232-2022 georefererad karta.tif", "A 5232-2022")</f>
        <v/>
      </c>
      <c r="AA49">
        <f>HYPERLINK("https://klasma.github.io/Logging_2082/klagomål/A 5232-2022 FSC-klagomål.docx", "A 5232-2022")</f>
        <v/>
      </c>
      <c r="AB49">
        <f>HYPERLINK("https://klasma.github.io/Logging_2082/klagomålsmail/A 5232-2022 FSC-klagomål mail.docx", "A 5232-2022")</f>
        <v/>
      </c>
      <c r="AC49">
        <f>HYPERLINK("https://klasma.github.io/Logging_2082/tillsyn/A 5232-2022 tillsynsbegäran.docx", "A 5232-2022")</f>
        <v/>
      </c>
      <c r="AD49">
        <f>HYPERLINK("https://klasma.github.io/Logging_2082/tillsynsmail/A 5232-2022 tillsynsbegäran mail.docx", "A 5232-2022")</f>
        <v/>
      </c>
    </row>
    <row r="50" ht="15" customHeight="1">
      <c r="A50" t="inlineStr">
        <is>
          <t>S 4834-2022</t>
        </is>
      </c>
      <c r="B50" t="inlineStr">
        <is>
          <t>samrådsanmälan</t>
        </is>
      </c>
      <c r="C50" t="inlineStr">
        <is>
          <t>Annan skogsbruksåtgärd</t>
        </is>
      </c>
      <c r="D50" s="1" t="n">
        <v>44804</v>
      </c>
      <c r="E50" s="1" t="n">
        <v>46316</v>
      </c>
      <c r="F50" t="inlineStr">
        <is>
          <t>DALARNAS LÄN</t>
        </is>
      </c>
      <c r="G50" t="inlineStr">
        <is>
          <t>SÄTER</t>
        </is>
      </c>
      <c r="I50" t="n">
        <v>0.5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3</v>
      </c>
      <c r="U50" t="n">
        <v>0</v>
      </c>
      <c r="V50" s="2" t="inlineStr">
        <is>
          <t>Knärot</t>
        </is>
      </c>
      <c r="W50">
        <f>HYPERLINK("https://klasma.github.io/Logging_2082/artfynd/S 4834-2022 artfynd.xlsx", "S 4834-2022")</f>
        <v/>
      </c>
      <c r="X50">
        <f>HYPERLINK("https://klasma.github.io/Logging_2082/kartor/S 4834-2022 karta.png", "S 4834-2022")</f>
        <v/>
      </c>
      <c r="Y50">
        <f>HYPERLINK("https://klasma.github.io/Logging_2082/kartor_geotiff/S 4834-2022 georefererad karta.tif", "S 4834-2022")</f>
        <v/>
      </c>
      <c r="Z50">
        <f>HYPERLINK("https://klasma.github.io/Logging_2082/knärot/S 4834-2022 karta knärot.png", "S 4834-2022")</f>
        <v/>
      </c>
      <c r="AA50">
        <f>HYPERLINK("https://klasma.github.io/Logging_2082/klagomål/S 4834-2022 FSC-klagomål.docx", "S 4834-2022")</f>
        <v/>
      </c>
      <c r="AB50">
        <f>HYPERLINK("https://klasma.github.io/Logging_2082/klagomålsmail/S 4834-2022 FSC-klagomål mail.docx", "S 4834-2022")</f>
        <v/>
      </c>
      <c r="AC50">
        <f>HYPERLINK("https://klasma.github.io/Logging_2082/tillsyn/S 4834-2022 tillsynsbegäran.docx", "S 4834-2022")</f>
        <v/>
      </c>
      <c r="AD50">
        <f>HYPERLINK("https://klasma.github.io/Logging_2082/tillsynsmail/S 4834-2022 tillsynsbegäran mail.docx", "S 4834-2022")</f>
        <v/>
      </c>
    </row>
    <row r="51" ht="15" customHeight="1">
      <c r="A51" t="inlineStr">
        <is>
          <t>S 2622-2023</t>
        </is>
      </c>
      <c r="B51" t="inlineStr">
        <is>
          <t>samrådsanmälan</t>
        </is>
      </c>
      <c r="C51" t="inlineStr">
        <is>
          <t>Askåterföring</t>
        </is>
      </c>
      <c r="D51" s="1" t="n">
        <v>45147</v>
      </c>
      <c r="E51" s="1" t="n">
        <v>46316</v>
      </c>
      <c r="F51" t="inlineStr">
        <is>
          <t>DALARNAS LÄN</t>
        </is>
      </c>
      <c r="G51" t="inlineStr">
        <is>
          <t>SÄTER</t>
        </is>
      </c>
      <c r="H51" t="inlineStr">
        <is>
          <t>Kommuner</t>
        </is>
      </c>
      <c r="I51" t="n">
        <v>46.1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2</v>
      </c>
      <c r="U51" t="n">
        <v>0</v>
      </c>
      <c r="V51" s="2" t="inlineStr">
        <is>
          <t>Knärot</t>
        </is>
      </c>
      <c r="W51">
        <f>HYPERLINK("https://klasma.github.io/Logging_2082/artfynd/S 2622-2023 artfynd.xlsx", "S 2622-2023")</f>
        <v/>
      </c>
      <c r="X51">
        <f>HYPERLINK("https://klasma.github.io/Logging_2082/kartor/S 2622-2023 karta.png", "S 2622-2023")</f>
        <v/>
      </c>
      <c r="Y51">
        <f>HYPERLINK("https://klasma.github.io/Logging_2082/kartor_geotiff/S 2622-2023 georefererad karta.tif", "S 2622-2023")</f>
        <v/>
      </c>
      <c r="Z51">
        <f>HYPERLINK("https://klasma.github.io/Logging_2082/knärot/S 2622-2023 karta knärot.png", "S 2622-2023")</f>
        <v/>
      </c>
      <c r="AA51">
        <f>HYPERLINK("https://klasma.github.io/Logging_2082/klagomål/S 2622-2023 FSC-klagomål.docx", "S 2622-2023")</f>
        <v/>
      </c>
      <c r="AB51">
        <f>HYPERLINK("https://klasma.github.io/Logging_2082/klagomålsmail/S 2622-2023 FSC-klagomål mail.docx", "S 2622-2023")</f>
        <v/>
      </c>
      <c r="AC51">
        <f>HYPERLINK("https://klasma.github.io/Logging_2082/tillsyn/S 2622-2023 tillsynsbegäran.docx", "S 2622-2023")</f>
        <v/>
      </c>
      <c r="AD51">
        <f>HYPERLINK("https://klasma.github.io/Logging_2082/tillsynsmail/S 2622-2023 tillsynsbegäran mail.docx", "S 2622-2023")</f>
        <v/>
      </c>
    </row>
    <row r="52" ht="15" customHeight="1">
      <c r="A52" t="inlineStr">
        <is>
          <t>S 2034-2026</t>
        </is>
      </c>
      <c r="B52" t="inlineStr">
        <is>
          <t>samrådsanmälan</t>
        </is>
      </c>
      <c r="C52" t="inlineStr">
        <is>
          <t>Annan skogsbruksåtgärd</t>
        </is>
      </c>
      <c r="D52" s="1" t="n">
        <v>46211</v>
      </c>
      <c r="E52" s="1" t="n">
        <v>46316</v>
      </c>
      <c r="F52" t="inlineStr">
        <is>
          <t>DALARNAS LÄN</t>
        </is>
      </c>
      <c r="G52" t="inlineStr">
        <is>
          <t>SÄTER</t>
        </is>
      </c>
      <c r="I52" t="n">
        <v>0.4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s="2" t="inlineStr">
        <is>
          <t>Knärot</t>
        </is>
      </c>
      <c r="W52">
        <f>HYPERLINK("https://klasma.github.io/Logging_2082/artfynd/S 2034-2026 artfynd.xlsx", "S 2034-2026")</f>
        <v/>
      </c>
      <c r="X52">
        <f>HYPERLINK("https://klasma.github.io/Logging_2082/kartor/S 2034-2026 karta.png", "S 2034-2026")</f>
        <v/>
      </c>
      <c r="Y52">
        <f>HYPERLINK("https://klasma.github.io/Logging_2082/kartor_geotiff/S 2034-2026 georefererad karta.tif", "S 2034-2026")</f>
        <v/>
      </c>
      <c r="Z52">
        <f>HYPERLINK("https://klasma.github.io/Logging_2082/knärot/S 2034-2026 karta knärot.png", "S 2034-2026")</f>
        <v/>
      </c>
      <c r="AA52">
        <f>HYPERLINK("https://klasma.github.io/Logging_2082/klagomål/S 2034-2026 FSC-klagomål.docx", "S 2034-2026")</f>
        <v/>
      </c>
      <c r="AB52">
        <f>HYPERLINK("https://klasma.github.io/Logging_2082/klagomålsmail/S 2034-2026 FSC-klagomål mail.docx", "S 2034-2026")</f>
        <v/>
      </c>
      <c r="AC52">
        <f>HYPERLINK("https://klasma.github.io/Logging_2082/tillsyn/S 2034-2026 tillsynsbegäran.docx", "S 2034-2026")</f>
        <v/>
      </c>
      <c r="AD52">
        <f>HYPERLINK("https://klasma.github.io/Logging_2082/tillsynsmail/S 2034-2026 tillsynsbegäran mail.docx", "S 2034-2026")</f>
        <v/>
      </c>
    </row>
    <row r="53" ht="15" customHeight="1">
      <c r="A53" t="inlineStr">
        <is>
          <t>A 45935-2022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44846</v>
      </c>
      <c r="E53" s="1" t="n">
        <v>46316</v>
      </c>
      <c r="F53" t="inlineStr">
        <is>
          <t>DALARNAS LÄN</t>
        </is>
      </c>
      <c r="G53" t="inlineStr">
        <is>
          <t>SÄTER</t>
        </is>
      </c>
      <c r="I53" t="n">
        <v>8.5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24204-2022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44725</v>
      </c>
      <c r="E54" s="1" t="n">
        <v>46316</v>
      </c>
      <c r="F54" t="inlineStr">
        <is>
          <t>DALARNAS LÄN</t>
        </is>
      </c>
      <c r="G54" t="inlineStr">
        <is>
          <t>SÄTER</t>
        </is>
      </c>
      <c r="H54" t="inlineStr">
        <is>
          <t>Bergvik skog väst AB</t>
        </is>
      </c>
      <c r="I54" t="n">
        <v>0.6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49883-2022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44864</v>
      </c>
      <c r="E55" s="1" t="n">
        <v>46316</v>
      </c>
      <c r="F55" t="inlineStr">
        <is>
          <t>DALARNAS LÄN</t>
        </is>
      </c>
      <c r="G55" t="inlineStr">
        <is>
          <t>SÄTER</t>
        </is>
      </c>
      <c r="I55" t="n">
        <v>1.2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72987-2021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44549</v>
      </c>
      <c r="E56" s="1" t="n">
        <v>46316</v>
      </c>
      <c r="F56" t="inlineStr">
        <is>
          <t>DALARNAS LÄN</t>
        </is>
      </c>
      <c r="G56" t="inlineStr">
        <is>
          <t>SÄTER</t>
        </is>
      </c>
      <c r="I56" t="n">
        <v>1.2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65388-2021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44515</v>
      </c>
      <c r="E57" s="1" t="n">
        <v>46316</v>
      </c>
      <c r="F57" t="inlineStr">
        <is>
          <t>DALARNAS LÄN</t>
        </is>
      </c>
      <c r="G57" t="inlineStr">
        <is>
          <t>SÄTER</t>
        </is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64615-2021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44511</v>
      </c>
      <c r="E58" s="1" t="n">
        <v>46316</v>
      </c>
      <c r="F58" t="inlineStr">
        <is>
          <t>DALARNAS LÄN</t>
        </is>
      </c>
      <c r="G58" t="inlineStr">
        <is>
          <t>SÄTER</t>
        </is>
      </c>
      <c r="I58" t="n">
        <v>1.1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26172-2022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44735</v>
      </c>
      <c r="E59" s="1" t="n">
        <v>46316</v>
      </c>
      <c r="F59" t="inlineStr">
        <is>
          <t>DALARNAS LÄN</t>
        </is>
      </c>
      <c r="G59" t="inlineStr">
        <is>
          <t>SÄTER</t>
        </is>
      </c>
      <c r="I59" t="n">
        <v>1.6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18757-2022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44688</v>
      </c>
      <c r="E60" s="1" t="n">
        <v>46316</v>
      </c>
      <c r="F60" t="inlineStr">
        <is>
          <t>DALARNAS LÄN</t>
        </is>
      </c>
      <c r="G60" t="inlineStr">
        <is>
          <t>SÄTER</t>
        </is>
      </c>
      <c r="H60" t="inlineStr">
        <is>
          <t>Bergvik skog väst AB</t>
        </is>
      </c>
      <c r="I60" t="n">
        <v>0.7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72518-2021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44546</v>
      </c>
      <c r="E61" s="1" t="n">
        <v>46316</v>
      </c>
      <c r="F61" t="inlineStr">
        <is>
          <t>DALARNAS LÄN</t>
        </is>
      </c>
      <c r="G61" t="inlineStr">
        <is>
          <t>SÄTER</t>
        </is>
      </c>
      <c r="I61" t="n">
        <v>3.4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24253-2022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44725</v>
      </c>
      <c r="E62" s="1" t="n">
        <v>46316</v>
      </c>
      <c r="F62" t="inlineStr">
        <is>
          <t>DALARNAS LÄN</t>
        </is>
      </c>
      <c r="G62" t="inlineStr">
        <is>
          <t>SÄTER</t>
        </is>
      </c>
      <c r="I62" t="n">
        <v>0.8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62389-2021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44503</v>
      </c>
      <c r="E63" s="1" t="n">
        <v>46316</v>
      </c>
      <c r="F63" t="inlineStr">
        <is>
          <t>DALARNAS LÄN</t>
        </is>
      </c>
      <c r="G63" t="inlineStr">
        <is>
          <t>SÄTER</t>
        </is>
      </c>
      <c r="H63" t="inlineStr">
        <is>
          <t>Bergvik skog väst AB</t>
        </is>
      </c>
      <c r="I63" t="n">
        <v>1.6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61400-2021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44500</v>
      </c>
      <c r="E64" s="1" t="n">
        <v>46316</v>
      </c>
      <c r="F64" t="inlineStr">
        <is>
          <t>DALARNAS LÄN</t>
        </is>
      </c>
      <c r="G64" t="inlineStr">
        <is>
          <t>SÄTER</t>
        </is>
      </c>
      <c r="I64" t="n">
        <v>0.6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61934-2021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44502</v>
      </c>
      <c r="E65" s="1" t="n">
        <v>46316</v>
      </c>
      <c r="F65" t="inlineStr">
        <is>
          <t>DALARNAS LÄN</t>
        </is>
      </c>
      <c r="G65" t="inlineStr">
        <is>
          <t>SÄTER</t>
        </is>
      </c>
      <c r="H65" t="inlineStr">
        <is>
          <t>Bergvik skog väst AB</t>
        </is>
      </c>
      <c r="I65" t="n">
        <v>5.2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6466-2022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44601</v>
      </c>
      <c r="E66" s="1" t="n">
        <v>46316</v>
      </c>
      <c r="F66" t="inlineStr">
        <is>
          <t>DALARNAS LÄN</t>
        </is>
      </c>
      <c r="G66" t="inlineStr">
        <is>
          <t>SÄTER</t>
        </is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59393-2021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44491</v>
      </c>
      <c r="E67" s="1" t="n">
        <v>46316</v>
      </c>
      <c r="F67" t="inlineStr">
        <is>
          <t>DALARNAS LÄN</t>
        </is>
      </c>
      <c r="G67" t="inlineStr">
        <is>
          <t>SÄTER</t>
        </is>
      </c>
      <c r="I67" t="n">
        <v>0.7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22905-2022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44715</v>
      </c>
      <c r="E68" s="1" t="n">
        <v>46316</v>
      </c>
      <c r="F68" t="inlineStr">
        <is>
          <t>DALARNAS LÄN</t>
        </is>
      </c>
      <c r="G68" t="inlineStr">
        <is>
          <t>SÄTER</t>
        </is>
      </c>
      <c r="H68" t="inlineStr">
        <is>
          <t>Bergvik skog väst AB</t>
        </is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13900-2022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44650</v>
      </c>
      <c r="E69" s="1" t="n">
        <v>46316</v>
      </c>
      <c r="F69" t="inlineStr">
        <is>
          <t>DALARNAS LÄN</t>
        </is>
      </c>
      <c r="G69" t="inlineStr">
        <is>
          <t>SÄTER</t>
        </is>
      </c>
      <c r="I69" t="n">
        <v>1.8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28427-2022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44748</v>
      </c>
      <c r="E70" s="1" t="n">
        <v>46316</v>
      </c>
      <c r="F70" t="inlineStr">
        <is>
          <t>DALARNAS LÄN</t>
        </is>
      </c>
      <c r="G70" t="inlineStr">
        <is>
          <t>SÄTER</t>
        </is>
      </c>
      <c r="I70" t="n">
        <v>0.6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38243-2022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44812</v>
      </c>
      <c r="E71" s="1" t="n">
        <v>46316</v>
      </c>
      <c r="F71" t="inlineStr">
        <is>
          <t>DALARNAS LÄN</t>
        </is>
      </c>
      <c r="G71" t="inlineStr">
        <is>
          <t>SÄTER</t>
        </is>
      </c>
      <c r="I71" t="n">
        <v>0.7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1276-2022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44572</v>
      </c>
      <c r="E72" s="1" t="n">
        <v>46316</v>
      </c>
      <c r="F72" t="inlineStr">
        <is>
          <t>DALARNAS LÄN</t>
        </is>
      </c>
      <c r="G72" t="inlineStr">
        <is>
          <t>SÄTER</t>
        </is>
      </c>
      <c r="I72" t="n">
        <v>1.2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63152-2023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45273</v>
      </c>
      <c r="E73" s="1" t="n">
        <v>46316</v>
      </c>
      <c r="F73" t="inlineStr">
        <is>
          <t>DALARNAS LÄN</t>
        </is>
      </c>
      <c r="G73" t="inlineStr">
        <is>
          <t>SÄTER</t>
        </is>
      </c>
      <c r="I73" t="n">
        <v>1.1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24223-2022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44725</v>
      </c>
      <c r="E74" s="1" t="n">
        <v>46316</v>
      </c>
      <c r="F74" t="inlineStr">
        <is>
          <t>DALARNAS LÄN</t>
        </is>
      </c>
      <c r="G74" t="inlineStr">
        <is>
          <t>SÄTER</t>
        </is>
      </c>
      <c r="I74" t="n">
        <v>2.6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62368-2023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45268</v>
      </c>
      <c r="E75" s="1" t="n">
        <v>46316</v>
      </c>
      <c r="F75" t="inlineStr">
        <is>
          <t>DALARNAS LÄN</t>
        </is>
      </c>
      <c r="G75" t="inlineStr">
        <is>
          <t>SÄTER</t>
        </is>
      </c>
      <c r="I75" t="n">
        <v>0.9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11416-2022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44630</v>
      </c>
      <c r="E76" s="1" t="n">
        <v>46316</v>
      </c>
      <c r="F76" t="inlineStr">
        <is>
          <t>DALARNAS LÄN</t>
        </is>
      </c>
      <c r="G76" t="inlineStr">
        <is>
          <t>SÄTER</t>
        </is>
      </c>
      <c r="I76" t="n">
        <v>10.1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50501-2022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44866</v>
      </c>
      <c r="E77" s="1" t="n">
        <v>46316</v>
      </c>
      <c r="F77" t="inlineStr">
        <is>
          <t>DALARNAS LÄN</t>
        </is>
      </c>
      <c r="G77" t="inlineStr">
        <is>
          <t>SÄTER</t>
        </is>
      </c>
      <c r="I77" t="n">
        <v>1.5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51328-2024</t>
        </is>
      </c>
      <c r="B78" t="inlineStr">
        <is>
          <t>avverkningsanmälan</t>
        </is>
      </c>
      <c r="C78" t="inlineStr">
        <is>
          <t>Avverkning för annat ändamål</t>
        </is>
      </c>
      <c r="D78" s="1" t="n">
        <v>45604</v>
      </c>
      <c r="E78" s="1" t="n">
        <v>46316</v>
      </c>
      <c r="F78" t="inlineStr">
        <is>
          <t>DALARNAS LÄN</t>
        </is>
      </c>
      <c r="G78" t="inlineStr">
        <is>
          <t>SÄTER</t>
        </is>
      </c>
      <c r="I78" t="n">
        <v>0.4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51339-2024</t>
        </is>
      </c>
      <c r="B79" t="inlineStr">
        <is>
          <t>avverkningsanmälan</t>
        </is>
      </c>
      <c r="C79" t="inlineStr">
        <is>
          <t>Avverkning för annat ändamål</t>
        </is>
      </c>
      <c r="D79" s="1" t="n">
        <v>45604</v>
      </c>
      <c r="E79" s="1" t="n">
        <v>46316</v>
      </c>
      <c r="F79" t="inlineStr">
        <is>
          <t>DALARNAS LÄN</t>
        </is>
      </c>
      <c r="G79" t="inlineStr">
        <is>
          <t>SÄTER</t>
        </is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2929-2022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44581</v>
      </c>
      <c r="E80" s="1" t="n">
        <v>46316</v>
      </c>
      <c r="F80" t="inlineStr">
        <is>
          <t>DALARNAS LÄN</t>
        </is>
      </c>
      <c r="G80" t="inlineStr">
        <is>
          <t>SÄTER</t>
        </is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29833-2023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45107</v>
      </c>
      <c r="E81" s="1" t="n">
        <v>46316</v>
      </c>
      <c r="F81" t="inlineStr">
        <is>
          <t>DALARNAS LÄN</t>
        </is>
      </c>
      <c r="G81" t="inlineStr">
        <is>
          <t>SÄTER</t>
        </is>
      </c>
      <c r="I81" t="n">
        <v>1.7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41961-2024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45561</v>
      </c>
      <c r="E82" s="1" t="n">
        <v>46316</v>
      </c>
      <c r="F82" t="inlineStr">
        <is>
          <t>DALARNAS LÄN</t>
        </is>
      </c>
      <c r="G82" t="inlineStr">
        <is>
          <t>SÄTER</t>
        </is>
      </c>
      <c r="H82" t="inlineStr">
        <is>
          <t>Bergvik skog väst AB</t>
        </is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498-2025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45664</v>
      </c>
      <c r="E83" s="1" t="n">
        <v>46316</v>
      </c>
      <c r="F83" t="inlineStr">
        <is>
          <t>DALARNAS LÄN</t>
        </is>
      </c>
      <c r="G83" t="inlineStr">
        <is>
          <t>SÄTER</t>
        </is>
      </c>
      <c r="I83" t="n">
        <v>4.5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  <c r="Z83">
        <f>HYPERLINK("https://klasma.github.io/Logging_2082/knärot/A 498-2025 karta knärot.png", "A 498-2025")</f>
        <v/>
      </c>
      <c r="AA83">
        <f>HYPERLINK("https://klasma.github.io/Logging_2082/klagomål/A 498-2025 FSC-klagomål.docx", "A 498-2025")</f>
        <v/>
      </c>
      <c r="AB83">
        <f>HYPERLINK("https://klasma.github.io/Logging_2082/klagomålsmail/A 498-2025 FSC-klagomål mail.docx", "A 498-2025")</f>
        <v/>
      </c>
      <c r="AC83">
        <f>HYPERLINK("https://klasma.github.io/Logging_2082/tillsyn/A 498-2025 tillsynsbegäran.docx", "A 498-2025")</f>
        <v/>
      </c>
      <c r="AD83">
        <f>HYPERLINK("https://klasma.github.io/Logging_2082/tillsynsmail/A 498-2025 tillsynsbegäran mail.docx", "A 498-2025")</f>
        <v/>
      </c>
    </row>
    <row r="84" ht="15" customHeight="1">
      <c r="A84" t="inlineStr">
        <is>
          <t>A 64565-2023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45281</v>
      </c>
      <c r="E84" s="1" t="n">
        <v>46316</v>
      </c>
      <c r="F84" t="inlineStr">
        <is>
          <t>DALARNAS LÄN</t>
        </is>
      </c>
      <c r="G84" t="inlineStr">
        <is>
          <t>SÄTER</t>
        </is>
      </c>
      <c r="I84" t="n">
        <v>1.2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8697-2023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44978</v>
      </c>
      <c r="E85" s="1" t="n">
        <v>46316</v>
      </c>
      <c r="F85" t="inlineStr">
        <is>
          <t>DALARNAS LÄN</t>
        </is>
      </c>
      <c r="G85" t="inlineStr">
        <is>
          <t>SÄTER</t>
        </is>
      </c>
      <c r="I85" t="n">
        <v>2.5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58864-2024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45636</v>
      </c>
      <c r="E86" s="1" t="n">
        <v>46316</v>
      </c>
      <c r="F86" t="inlineStr">
        <is>
          <t>DALARNAS LÄN</t>
        </is>
      </c>
      <c r="G86" t="inlineStr">
        <is>
          <t>SÄTER</t>
        </is>
      </c>
      <c r="I86" t="n">
        <v>10.9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6640-2025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45700</v>
      </c>
      <c r="E87" s="1" t="n">
        <v>46316</v>
      </c>
      <c r="F87" t="inlineStr">
        <is>
          <t>DALARNAS LÄN</t>
        </is>
      </c>
      <c r="G87" t="inlineStr">
        <is>
          <t>SÄTER</t>
        </is>
      </c>
      <c r="I87" t="n">
        <v>1.6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22970-2025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45790</v>
      </c>
      <c r="E88" s="1" t="n">
        <v>46316</v>
      </c>
      <c r="F88" t="inlineStr">
        <is>
          <t>DALARNAS LÄN</t>
        </is>
      </c>
      <c r="G88" t="inlineStr">
        <is>
          <t>SÄTER</t>
        </is>
      </c>
      <c r="H88" t="inlineStr">
        <is>
          <t>Bergvik skog väst AB</t>
        </is>
      </c>
      <c r="I88" t="n">
        <v>1.5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4407-2023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44956</v>
      </c>
      <c r="E89" s="1" t="n">
        <v>46316</v>
      </c>
      <c r="F89" t="inlineStr">
        <is>
          <t>DALARNAS LÄN</t>
        </is>
      </c>
      <c r="G89" t="inlineStr">
        <is>
          <t>SÄTER</t>
        </is>
      </c>
      <c r="I89" t="n">
        <v>1.5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10404-2024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45365</v>
      </c>
      <c r="E90" s="1" t="n">
        <v>46316</v>
      </c>
      <c r="F90" t="inlineStr">
        <is>
          <t>DALARNAS LÄN</t>
        </is>
      </c>
      <c r="G90" t="inlineStr">
        <is>
          <t>SÄTER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1123-2025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45666</v>
      </c>
      <c r="E91" s="1" t="n">
        <v>46316</v>
      </c>
      <c r="F91" t="inlineStr">
        <is>
          <t>DALARNAS LÄN</t>
        </is>
      </c>
      <c r="G91" t="inlineStr">
        <is>
          <t>SÄTER</t>
        </is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33482-2023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45118</v>
      </c>
      <c r="E92" s="1" t="n">
        <v>46316</v>
      </c>
      <c r="F92" t="inlineStr">
        <is>
          <t>DALARNAS LÄN</t>
        </is>
      </c>
      <c r="G92" t="inlineStr">
        <is>
          <t>SÄTER</t>
        </is>
      </c>
      <c r="H92" t="inlineStr">
        <is>
          <t>Bergvik skog väst AB</t>
        </is>
      </c>
      <c r="I92" t="n">
        <v>1.4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21911-2024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45443</v>
      </c>
      <c r="E93" s="1" t="n">
        <v>46316</v>
      </c>
      <c r="F93" t="inlineStr">
        <is>
          <t>DALARNAS LÄN</t>
        </is>
      </c>
      <c r="G93" t="inlineStr">
        <is>
          <t>SÄTER</t>
        </is>
      </c>
      <c r="I93" t="n">
        <v>1.4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62470-2022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44924</v>
      </c>
      <c r="E94" s="1" t="n">
        <v>46316</v>
      </c>
      <c r="F94" t="inlineStr">
        <is>
          <t>DALARNAS LÄN</t>
        </is>
      </c>
      <c r="G94" t="inlineStr">
        <is>
          <t>SÄTER</t>
        </is>
      </c>
      <c r="H94" t="inlineStr">
        <is>
          <t>Kommuner</t>
        </is>
      </c>
      <c r="I94" t="n">
        <v>5.4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25294-2024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45462</v>
      </c>
      <c r="E95" s="1" t="n">
        <v>46316</v>
      </c>
      <c r="F95" t="inlineStr">
        <is>
          <t>DALARNAS LÄN</t>
        </is>
      </c>
      <c r="G95" t="inlineStr">
        <is>
          <t>SÄTER</t>
        </is>
      </c>
      <c r="I95" t="n">
        <v>3.5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12285-2024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45377</v>
      </c>
      <c r="E96" s="1" t="n">
        <v>46316</v>
      </c>
      <c r="F96" t="inlineStr">
        <is>
          <t>DALARNAS LÄN</t>
        </is>
      </c>
      <c r="G96" t="inlineStr">
        <is>
          <t>SÄTER</t>
        </is>
      </c>
      <c r="I96" t="n">
        <v>1.7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25793-2025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45804</v>
      </c>
      <c r="E97" s="1" t="n">
        <v>46316</v>
      </c>
      <c r="F97" t="inlineStr">
        <is>
          <t>DALARNAS LÄN</t>
        </is>
      </c>
      <c r="G97" t="inlineStr">
        <is>
          <t>SÄTER</t>
        </is>
      </c>
      <c r="I97" t="n">
        <v>1.9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57430-2022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44896</v>
      </c>
      <c r="E98" s="1" t="n">
        <v>46316</v>
      </c>
      <c r="F98" t="inlineStr">
        <is>
          <t>DALARNAS LÄN</t>
        </is>
      </c>
      <c r="G98" t="inlineStr">
        <is>
          <t>SÄTER</t>
        </is>
      </c>
      <c r="I98" t="n">
        <v>1.5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63684-2025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46014</v>
      </c>
      <c r="E99" s="1" t="n">
        <v>46316</v>
      </c>
      <c r="F99" t="inlineStr">
        <is>
          <t>DALARNAS LÄN</t>
        </is>
      </c>
      <c r="G99" t="inlineStr">
        <is>
          <t>SÄTER</t>
        </is>
      </c>
      <c r="I99" t="n">
        <v>2.4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26057-2025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45804</v>
      </c>
      <c r="E100" s="1" t="n">
        <v>46316</v>
      </c>
      <c r="F100" t="inlineStr">
        <is>
          <t>DALARNAS LÄN</t>
        </is>
      </c>
      <c r="G100" t="inlineStr">
        <is>
          <t>SÄTER</t>
        </is>
      </c>
      <c r="I100" t="n">
        <v>0.7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27006-2025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45811</v>
      </c>
      <c r="E101" s="1" t="n">
        <v>46316</v>
      </c>
      <c r="F101" t="inlineStr">
        <is>
          <t>DALARNAS LÄN</t>
        </is>
      </c>
      <c r="G101" t="inlineStr">
        <is>
          <t>SÄTER</t>
        </is>
      </c>
      <c r="I101" t="n">
        <v>1.7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49586-2025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45939</v>
      </c>
      <c r="E102" s="1" t="n">
        <v>46316</v>
      </c>
      <c r="F102" t="inlineStr">
        <is>
          <t>DALARNAS LÄN</t>
        </is>
      </c>
      <c r="G102" t="inlineStr">
        <is>
          <t>SÄTER</t>
        </is>
      </c>
      <c r="I102" t="n">
        <v>1.6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27057-2025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45811</v>
      </c>
      <c r="E103" s="1" t="n">
        <v>46316</v>
      </c>
      <c r="F103" t="inlineStr">
        <is>
          <t>DALARNAS LÄN</t>
        </is>
      </c>
      <c r="G103" t="inlineStr">
        <is>
          <t>SÄTER</t>
        </is>
      </c>
      <c r="I103" t="n">
        <v>5.1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220-2026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46026</v>
      </c>
      <c r="E104" s="1" t="n">
        <v>46316</v>
      </c>
      <c r="F104" t="inlineStr">
        <is>
          <t>DALARNAS LÄN</t>
        </is>
      </c>
      <c r="G104" t="inlineStr">
        <is>
          <t>SÄTER</t>
        </is>
      </c>
      <c r="I104" t="n">
        <v>2.8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264-2026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46027</v>
      </c>
      <c r="E105" s="1" t="n">
        <v>46316</v>
      </c>
      <c r="F105" t="inlineStr">
        <is>
          <t>DALARNAS LÄN</t>
        </is>
      </c>
      <c r="G105" t="inlineStr">
        <is>
          <t>SÄTER</t>
        </is>
      </c>
      <c r="I105" t="n">
        <v>12.1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39780-2024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45552</v>
      </c>
      <c r="E106" s="1" t="n">
        <v>46316</v>
      </c>
      <c r="F106" t="inlineStr">
        <is>
          <t>DALARNAS LÄN</t>
        </is>
      </c>
      <c r="G106" t="inlineStr">
        <is>
          <t>SÄTER</t>
        </is>
      </c>
      <c r="I106" t="n">
        <v>3.5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32886-2022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44784</v>
      </c>
      <c r="E107" s="1" t="n">
        <v>46316</v>
      </c>
      <c r="F107" t="inlineStr">
        <is>
          <t>DALARNAS LÄN</t>
        </is>
      </c>
      <c r="G107" t="inlineStr">
        <is>
          <t>SÄTER</t>
        </is>
      </c>
      <c r="I107" t="n">
        <v>10.9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987-2026</t>
        </is>
      </c>
      <c r="B108" t="inlineStr">
        <is>
          <t>avverkningsanmälan</t>
        </is>
      </c>
      <c r="C108" t="inlineStr">
        <is>
          <t>Avverkning för annat ändamål</t>
        </is>
      </c>
      <c r="D108" s="1" t="n">
        <v>46030</v>
      </c>
      <c r="E108" s="1" t="n">
        <v>46316</v>
      </c>
      <c r="F108" t="inlineStr">
        <is>
          <t>DALARNAS LÄN</t>
        </is>
      </c>
      <c r="G108" t="inlineStr">
        <is>
          <t>SÄTER</t>
        </is>
      </c>
      <c r="H108" t="inlineStr">
        <is>
          <t>Bergvik skog väst AB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19747-2025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45771</v>
      </c>
      <c r="E109" s="1" t="n">
        <v>46316</v>
      </c>
      <c r="F109" t="inlineStr">
        <is>
          <t>DALARNAS LÄN</t>
        </is>
      </c>
      <c r="G109" t="inlineStr">
        <is>
          <t>SÄTER</t>
        </is>
      </c>
      <c r="I109" t="n">
        <v>7.2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1343-2026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46031</v>
      </c>
      <c r="E110" s="1" t="n">
        <v>46316</v>
      </c>
      <c r="F110" t="inlineStr">
        <is>
          <t>DALARNAS LÄN</t>
        </is>
      </c>
      <c r="G110" t="inlineStr">
        <is>
          <t>SÄTER</t>
        </is>
      </c>
      <c r="I110" t="n">
        <v>1.3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1326-2026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46031</v>
      </c>
      <c r="E111" s="1" t="n">
        <v>46316</v>
      </c>
      <c r="F111" t="inlineStr">
        <is>
          <t>DALARNAS LÄN</t>
        </is>
      </c>
      <c r="G111" t="inlineStr">
        <is>
          <t>SÄTER</t>
        </is>
      </c>
      <c r="I111" t="n">
        <v>4.8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2047-2026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46031</v>
      </c>
      <c r="E112" s="1" t="n">
        <v>46316</v>
      </c>
      <c r="F112" t="inlineStr">
        <is>
          <t>DALARNAS LÄN</t>
        </is>
      </c>
      <c r="G112" t="inlineStr">
        <is>
          <t>SÄTER</t>
        </is>
      </c>
      <c r="H112" t="inlineStr">
        <is>
          <t>Kommuner</t>
        </is>
      </c>
      <c r="I112" t="n">
        <v>4.1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1711-2026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46034</v>
      </c>
      <c r="E113" s="1" t="n">
        <v>46316</v>
      </c>
      <c r="F113" t="inlineStr">
        <is>
          <t>DALARNAS LÄN</t>
        </is>
      </c>
      <c r="G113" t="inlineStr">
        <is>
          <t>SÄTER</t>
        </is>
      </c>
      <c r="I113" t="n">
        <v>3.8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42691-2025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45905</v>
      </c>
      <c r="E114" s="1" t="n">
        <v>46316</v>
      </c>
      <c r="F114" t="inlineStr">
        <is>
          <t>DALARNAS LÄN</t>
        </is>
      </c>
      <c r="G114" t="inlineStr">
        <is>
          <t>SÄTER</t>
        </is>
      </c>
      <c r="H114" t="inlineStr">
        <is>
          <t>Bergvik skog väst AB</t>
        </is>
      </c>
      <c r="I114" t="n">
        <v>1.8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42674-2025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45905</v>
      </c>
      <c r="E115" s="1" t="n">
        <v>46316</v>
      </c>
      <c r="F115" t="inlineStr">
        <is>
          <t>DALARNAS LÄN</t>
        </is>
      </c>
      <c r="G115" t="inlineStr">
        <is>
          <t>SÄTER</t>
        </is>
      </c>
      <c r="H115" t="inlineStr">
        <is>
          <t>Bergvik skog väst AB</t>
        </is>
      </c>
      <c r="I115" t="n">
        <v>5.2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46577-2023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45198</v>
      </c>
      <c r="E116" s="1" t="n">
        <v>46316</v>
      </c>
      <c r="F116" t="inlineStr">
        <is>
          <t>DALARNAS LÄN</t>
        </is>
      </c>
      <c r="G116" t="inlineStr">
        <is>
          <t>SÄTER</t>
        </is>
      </c>
      <c r="I116" t="n">
        <v>2.1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2098-2026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46036</v>
      </c>
      <c r="E117" s="1" t="n">
        <v>46316</v>
      </c>
      <c r="F117" t="inlineStr">
        <is>
          <t>DALARNAS LÄN</t>
        </is>
      </c>
      <c r="G117" t="inlineStr">
        <is>
          <t>SÄTER</t>
        </is>
      </c>
      <c r="I117" t="n">
        <v>4.7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2087-2026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46036</v>
      </c>
      <c r="E118" s="1" t="n">
        <v>46316</v>
      </c>
      <c r="F118" t="inlineStr">
        <is>
          <t>DALARNAS LÄN</t>
        </is>
      </c>
      <c r="G118" t="inlineStr">
        <is>
          <t>SÄTER</t>
        </is>
      </c>
      <c r="I118" t="n">
        <v>1.4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2169-2026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46036</v>
      </c>
      <c r="E119" s="1" t="n">
        <v>46316</v>
      </c>
      <c r="F119" t="inlineStr">
        <is>
          <t>DALARNAS LÄN</t>
        </is>
      </c>
      <c r="G119" t="inlineStr">
        <is>
          <t>SÄTER</t>
        </is>
      </c>
      <c r="I119" t="n">
        <v>10.9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28852-2025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45820</v>
      </c>
      <c r="E120" s="1" t="n">
        <v>46316</v>
      </c>
      <c r="F120" t="inlineStr">
        <is>
          <t>DALARNAS LÄN</t>
        </is>
      </c>
      <c r="G120" t="inlineStr">
        <is>
          <t>SÄTER</t>
        </is>
      </c>
      <c r="I120" t="n">
        <v>1.3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2298-2026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46036</v>
      </c>
      <c r="E121" s="1" t="n">
        <v>46316</v>
      </c>
      <c r="F121" t="inlineStr">
        <is>
          <t>DALARNAS LÄN</t>
        </is>
      </c>
      <c r="G121" t="inlineStr">
        <is>
          <t>SÄTER</t>
        </is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2507-2026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46037</v>
      </c>
      <c r="E122" s="1" t="n">
        <v>46316</v>
      </c>
      <c r="F122" t="inlineStr">
        <is>
          <t>DALARNAS LÄN</t>
        </is>
      </c>
      <c r="G122" t="inlineStr">
        <is>
          <t>SÄTER</t>
        </is>
      </c>
      <c r="I122" t="n">
        <v>3.7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18888-2022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44690</v>
      </c>
      <c r="E123" s="1" t="n">
        <v>46316</v>
      </c>
      <c r="F123" t="inlineStr">
        <is>
          <t>DALARNAS LÄN</t>
        </is>
      </c>
      <c r="G123" t="inlineStr">
        <is>
          <t>SÄTER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43553-2025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45911</v>
      </c>
      <c r="E124" s="1" t="n">
        <v>46316</v>
      </c>
      <c r="F124" t="inlineStr">
        <is>
          <t>DALARNAS LÄN</t>
        </is>
      </c>
      <c r="G124" t="inlineStr">
        <is>
          <t>SÄTER</t>
        </is>
      </c>
      <c r="H124" t="inlineStr">
        <is>
          <t>Bergvik skog väst AB</t>
        </is>
      </c>
      <c r="I124" t="n">
        <v>1.4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3423-2026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46042</v>
      </c>
      <c r="E125" s="1" t="n">
        <v>46316</v>
      </c>
      <c r="F125" t="inlineStr">
        <is>
          <t>DALARNAS LÄN</t>
        </is>
      </c>
      <c r="G125" t="inlineStr">
        <is>
          <t>SÄTER</t>
        </is>
      </c>
      <c r="I125" t="n">
        <v>10.6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4346-2026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46045</v>
      </c>
      <c r="E126" s="1" t="n">
        <v>46316</v>
      </c>
      <c r="F126" t="inlineStr">
        <is>
          <t>DALARNAS LÄN</t>
        </is>
      </c>
      <c r="G126" t="inlineStr">
        <is>
          <t>SÄTER</t>
        </is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4345-2026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46045</v>
      </c>
      <c r="E127" s="1" t="n">
        <v>46316</v>
      </c>
      <c r="F127" t="inlineStr">
        <is>
          <t>DALARNAS LÄN</t>
        </is>
      </c>
      <c r="G127" t="inlineStr">
        <is>
          <t>SÄTER</t>
        </is>
      </c>
      <c r="I127" t="n">
        <v>0.9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5723-2026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46051</v>
      </c>
      <c r="E128" s="1" t="n">
        <v>46316</v>
      </c>
      <c r="F128" t="inlineStr">
        <is>
          <t>DALARNAS LÄN</t>
        </is>
      </c>
      <c r="G128" t="inlineStr">
        <is>
          <t>SÄTER</t>
        </is>
      </c>
      <c r="I128" t="n">
        <v>1.5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56225-2023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45240</v>
      </c>
      <c r="E129" s="1" t="n">
        <v>46316</v>
      </c>
      <c r="F129" t="inlineStr">
        <is>
          <t>DALARNAS LÄN</t>
        </is>
      </c>
      <c r="G129" t="inlineStr">
        <is>
          <t>SÄTER</t>
        </is>
      </c>
      <c r="I129" t="n">
        <v>4.8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55428-2025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45971</v>
      </c>
      <c r="E130" s="1" t="n">
        <v>46316</v>
      </c>
      <c r="F130" t="inlineStr">
        <is>
          <t>DALARNAS LÄN</t>
        </is>
      </c>
      <c r="G130" t="inlineStr">
        <is>
          <t>SÄTER</t>
        </is>
      </c>
      <c r="H130" t="inlineStr">
        <is>
          <t>Bergvik skog väst AB</t>
        </is>
      </c>
      <c r="I130" t="n">
        <v>5.5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46494-2025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45925</v>
      </c>
      <c r="E131" s="1" t="n">
        <v>46316</v>
      </c>
      <c r="F131" t="inlineStr">
        <is>
          <t>DALARNAS LÄN</t>
        </is>
      </c>
      <c r="G131" t="inlineStr">
        <is>
          <t>SÄTER</t>
        </is>
      </c>
      <c r="H131" t="inlineStr">
        <is>
          <t>Bergvik skog väst AB</t>
        </is>
      </c>
      <c r="I131" t="n">
        <v>15.2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6845-2026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46057</v>
      </c>
      <c r="E132" s="1" t="n">
        <v>46316</v>
      </c>
      <c r="F132" t="inlineStr">
        <is>
          <t>DALARNAS LÄN</t>
        </is>
      </c>
      <c r="G132" t="inlineStr">
        <is>
          <t>SÄTER</t>
        </is>
      </c>
      <c r="I132" t="n">
        <v>2.2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46495-2025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45925</v>
      </c>
      <c r="E133" s="1" t="n">
        <v>46316</v>
      </c>
      <c r="F133" t="inlineStr">
        <is>
          <t>DALARNAS LÄN</t>
        </is>
      </c>
      <c r="G133" t="inlineStr">
        <is>
          <t>SÄTER</t>
        </is>
      </c>
      <c r="H133" t="inlineStr">
        <is>
          <t>Bergvik skog väst AB</t>
        </is>
      </c>
      <c r="I133" t="n">
        <v>41.4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6856-2026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46057</v>
      </c>
      <c r="E134" s="1" t="n">
        <v>46316</v>
      </c>
      <c r="F134" t="inlineStr">
        <is>
          <t>DALARNAS LÄN</t>
        </is>
      </c>
      <c r="G134" t="inlineStr">
        <is>
          <t>SÄTER</t>
        </is>
      </c>
      <c r="I134" t="n">
        <v>3.6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46891-2025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45929</v>
      </c>
      <c r="E135" s="1" t="n">
        <v>46316</v>
      </c>
      <c r="F135" t="inlineStr">
        <is>
          <t>DALARNAS LÄN</t>
        </is>
      </c>
      <c r="G135" t="inlineStr">
        <is>
          <t>SÄTER</t>
        </is>
      </c>
      <c r="I135" t="n">
        <v>2.8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3342-2022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44585</v>
      </c>
      <c r="E136" s="1" t="n">
        <v>46316</v>
      </c>
      <c r="F136" t="inlineStr">
        <is>
          <t>DALARNAS LÄN</t>
        </is>
      </c>
      <c r="G136" t="inlineStr">
        <is>
          <t>SÄTER</t>
        </is>
      </c>
      <c r="I136" t="n">
        <v>1.8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29522-2025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45825</v>
      </c>
      <c r="E137" s="1" t="n">
        <v>46316</v>
      </c>
      <c r="F137" t="inlineStr">
        <is>
          <t>DALARNAS LÄN</t>
        </is>
      </c>
      <c r="G137" t="inlineStr">
        <is>
          <t>SÄTER</t>
        </is>
      </c>
      <c r="I137" t="n">
        <v>0.4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47280-2025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45930</v>
      </c>
      <c r="E138" s="1" t="n">
        <v>46316</v>
      </c>
      <c r="F138" t="inlineStr">
        <is>
          <t>DALARNAS LÄN</t>
        </is>
      </c>
      <c r="G138" t="inlineStr">
        <is>
          <t>SÄTER</t>
        </is>
      </c>
      <c r="H138" t="inlineStr">
        <is>
          <t>Bergvik skog väst AB</t>
        </is>
      </c>
      <c r="I138" t="n">
        <v>4.5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8435-2026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46065</v>
      </c>
      <c r="E139" s="1" t="n">
        <v>46316</v>
      </c>
      <c r="F139" t="inlineStr">
        <is>
          <t>DALARNAS LÄN</t>
        </is>
      </c>
      <c r="G139" t="inlineStr">
        <is>
          <t>SÄTER</t>
        </is>
      </c>
      <c r="I139" t="n">
        <v>9.9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64788-2023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45282</v>
      </c>
      <c r="E140" s="1" t="n">
        <v>46316</v>
      </c>
      <c r="F140" t="inlineStr">
        <is>
          <t>DALARNAS LÄN</t>
        </is>
      </c>
      <c r="G140" t="inlineStr">
        <is>
          <t>SÄTER</t>
        </is>
      </c>
      <c r="I140" t="n">
        <v>0.5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8355-2026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46064</v>
      </c>
      <c r="E141" s="1" t="n">
        <v>46316</v>
      </c>
      <c r="F141" t="inlineStr">
        <is>
          <t>DALARNAS LÄN</t>
        </is>
      </c>
      <c r="G141" t="inlineStr">
        <is>
          <t>SÄTER</t>
        </is>
      </c>
      <c r="I141" t="n">
        <v>1.9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23804-2024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45455</v>
      </c>
      <c r="E142" s="1" t="n">
        <v>46316</v>
      </c>
      <c r="F142" t="inlineStr">
        <is>
          <t>DALARNAS LÄN</t>
        </is>
      </c>
      <c r="G142" t="inlineStr">
        <is>
          <t>SÄTER</t>
        </is>
      </c>
      <c r="I142" t="n">
        <v>1.5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48507-2025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45936</v>
      </c>
      <c r="E143" s="1" t="n">
        <v>46316</v>
      </c>
      <c r="F143" t="inlineStr">
        <is>
          <t>DALARNAS LÄN</t>
        </is>
      </c>
      <c r="G143" t="inlineStr">
        <is>
          <t>SÄTER</t>
        </is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48862-2025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45937</v>
      </c>
      <c r="E144" s="1" t="n">
        <v>46316</v>
      </c>
      <c r="F144" t="inlineStr">
        <is>
          <t>DALARNAS LÄN</t>
        </is>
      </c>
      <c r="G144" t="inlineStr">
        <is>
          <t>SÄTER</t>
        </is>
      </c>
      <c r="I144" t="n">
        <v>5.8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10173-2026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46076</v>
      </c>
      <c r="E145" s="1" t="n">
        <v>46316</v>
      </c>
      <c r="F145" t="inlineStr">
        <is>
          <t>DALARNAS LÄN</t>
        </is>
      </c>
      <c r="G145" t="inlineStr">
        <is>
          <t>SÄTER</t>
        </is>
      </c>
      <c r="I145" t="n">
        <v>1.6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49599-2025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45939</v>
      </c>
      <c r="E146" s="1" t="n">
        <v>46316</v>
      </c>
      <c r="F146" t="inlineStr">
        <is>
          <t>DALARNAS LÄN</t>
        </is>
      </c>
      <c r="G146" t="inlineStr">
        <is>
          <t>SÄTER</t>
        </is>
      </c>
      <c r="I146" t="n">
        <v>0.6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10214-2026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46076</v>
      </c>
      <c r="E147" s="1" t="n">
        <v>46316</v>
      </c>
      <c r="F147" t="inlineStr">
        <is>
          <t>DALARNAS LÄN</t>
        </is>
      </c>
      <c r="G147" t="inlineStr">
        <is>
          <t>SÄTER</t>
        </is>
      </c>
      <c r="I147" t="n">
        <v>7.1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10146-2026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46076</v>
      </c>
      <c r="E148" s="1" t="n">
        <v>46316</v>
      </c>
      <c r="F148" t="inlineStr">
        <is>
          <t>DALARNAS LÄN</t>
        </is>
      </c>
      <c r="G148" t="inlineStr">
        <is>
          <t>SÄTER</t>
        </is>
      </c>
      <c r="I148" t="n">
        <v>0.8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14168-2025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45740</v>
      </c>
      <c r="E149" s="1" t="n">
        <v>46316</v>
      </c>
      <c r="F149" t="inlineStr">
        <is>
          <t>DALARNAS LÄN</t>
        </is>
      </c>
      <c r="G149" t="inlineStr">
        <is>
          <t>SÄTER</t>
        </is>
      </c>
      <c r="I149" t="n">
        <v>0.5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10552-2026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46077</v>
      </c>
      <c r="E150" s="1" t="n">
        <v>46316</v>
      </c>
      <c r="F150" t="inlineStr">
        <is>
          <t>DALARNAS LÄN</t>
        </is>
      </c>
      <c r="G150" t="inlineStr">
        <is>
          <t>SÄTER</t>
        </is>
      </c>
      <c r="I150" t="n">
        <v>3.7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11405-2026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46083</v>
      </c>
      <c r="E151" s="1" t="n">
        <v>46316</v>
      </c>
      <c r="F151" t="inlineStr">
        <is>
          <t>DALARNAS LÄN</t>
        </is>
      </c>
      <c r="G151" t="inlineStr">
        <is>
          <t>SÄTER</t>
        </is>
      </c>
      <c r="H151" t="inlineStr">
        <is>
          <t>Bergvik skog väst AB</t>
        </is>
      </c>
      <c r="I151" t="n">
        <v>0.5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50649-2025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45945</v>
      </c>
      <c r="E152" s="1" t="n">
        <v>46316</v>
      </c>
      <c r="F152" t="inlineStr">
        <is>
          <t>DALARNAS LÄN</t>
        </is>
      </c>
      <c r="G152" t="inlineStr">
        <is>
          <t>SÄTER</t>
        </is>
      </c>
      <c r="H152" t="inlineStr">
        <is>
          <t>Bergvik skog väst AB</t>
        </is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24617-2022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44727</v>
      </c>
      <c r="E153" s="1" t="n">
        <v>46316</v>
      </c>
      <c r="F153" t="inlineStr">
        <is>
          <t>DALARNAS LÄN</t>
        </is>
      </c>
      <c r="G153" t="inlineStr">
        <is>
          <t>SÄTER</t>
        </is>
      </c>
      <c r="I153" t="n">
        <v>0.8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50533-2025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45945</v>
      </c>
      <c r="E154" s="1" t="n">
        <v>46316</v>
      </c>
      <c r="F154" t="inlineStr">
        <is>
          <t>DALARNAS LÄN</t>
        </is>
      </c>
      <c r="G154" t="inlineStr">
        <is>
          <t>SÄTER</t>
        </is>
      </c>
      <c r="H154" t="inlineStr">
        <is>
          <t>Bergvik skog väst AB</t>
        </is>
      </c>
      <c r="I154" t="n">
        <v>8.6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12322-2026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46087</v>
      </c>
      <c r="E155" s="1" t="n">
        <v>46316</v>
      </c>
      <c r="F155" t="inlineStr">
        <is>
          <t>DALARNAS LÄN</t>
        </is>
      </c>
      <c r="G155" t="inlineStr">
        <is>
          <t>SÄTER</t>
        </is>
      </c>
      <c r="H155" t="inlineStr">
        <is>
          <t>Bergvik skog väst AB</t>
        </is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54141-2023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45232</v>
      </c>
      <c r="E156" s="1" t="n">
        <v>46316</v>
      </c>
      <c r="F156" t="inlineStr">
        <is>
          <t>DALARNAS LÄN</t>
        </is>
      </c>
      <c r="G156" t="inlineStr">
        <is>
          <t>SÄTER</t>
        </is>
      </c>
      <c r="I156" t="n">
        <v>0.7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12957-2026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46092</v>
      </c>
      <c r="E157" s="1" t="n">
        <v>46316</v>
      </c>
      <c r="F157" t="inlineStr">
        <is>
          <t>DALARNAS LÄN</t>
        </is>
      </c>
      <c r="G157" t="inlineStr">
        <is>
          <t>SÄTER</t>
        </is>
      </c>
      <c r="I157" t="n">
        <v>9.800000000000001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51826-2025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45951</v>
      </c>
      <c r="E158" s="1" t="n">
        <v>46316</v>
      </c>
      <c r="F158" t="inlineStr">
        <is>
          <t>DALARNAS LÄN</t>
        </is>
      </c>
      <c r="G158" t="inlineStr">
        <is>
          <t>SÄTER</t>
        </is>
      </c>
      <c r="H158" t="inlineStr">
        <is>
          <t>Bergvik skog väst AB</t>
        </is>
      </c>
      <c r="I158" t="n">
        <v>15.1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51824-2025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45951</v>
      </c>
      <c r="E159" s="1" t="n">
        <v>46316</v>
      </c>
      <c r="F159" t="inlineStr">
        <is>
          <t>DALARNAS LÄN</t>
        </is>
      </c>
      <c r="G159" t="inlineStr">
        <is>
          <t>SÄTER</t>
        </is>
      </c>
      <c r="H159" t="inlineStr">
        <is>
          <t>Bergvik skog väst AB</t>
        </is>
      </c>
      <c r="I159" t="n">
        <v>3.7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13265-2026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46093</v>
      </c>
      <c r="E160" s="1" t="n">
        <v>46316</v>
      </c>
      <c r="F160" t="inlineStr">
        <is>
          <t>DALARNAS LÄN</t>
        </is>
      </c>
      <c r="G160" t="inlineStr">
        <is>
          <t>SÄTER</t>
        </is>
      </c>
      <c r="I160" t="n">
        <v>2.7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13532-2026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46094</v>
      </c>
      <c r="E161" s="1" t="n">
        <v>46316</v>
      </c>
      <c r="F161" t="inlineStr">
        <is>
          <t>DALARNAS LÄN</t>
        </is>
      </c>
      <c r="G161" t="inlineStr">
        <is>
          <t>SÄTER</t>
        </is>
      </c>
      <c r="I161" t="n">
        <v>1.7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13526-2026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46094</v>
      </c>
      <c r="E162" s="1" t="n">
        <v>46316</v>
      </c>
      <c r="F162" t="inlineStr">
        <is>
          <t>DALARNAS LÄN</t>
        </is>
      </c>
      <c r="G162" t="inlineStr">
        <is>
          <t>SÄTER</t>
        </is>
      </c>
      <c r="I162" t="n">
        <v>1.2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20337-2024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45435</v>
      </c>
      <c r="E163" s="1" t="n">
        <v>46316</v>
      </c>
      <c r="F163" t="inlineStr">
        <is>
          <t>DALARNAS LÄN</t>
        </is>
      </c>
      <c r="G163" t="inlineStr">
        <is>
          <t>SÄTER</t>
        </is>
      </c>
      <c r="I163" t="n">
        <v>1.3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13888-2026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46098</v>
      </c>
      <c r="E164" s="1" t="n">
        <v>46316</v>
      </c>
      <c r="F164" t="inlineStr">
        <is>
          <t>DALARNAS LÄN</t>
        </is>
      </c>
      <c r="G164" t="inlineStr">
        <is>
          <t>SÄTER</t>
        </is>
      </c>
      <c r="I164" t="n">
        <v>0.9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13899-2026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46098</v>
      </c>
      <c r="E165" s="1" t="n">
        <v>46316</v>
      </c>
      <c r="F165" t="inlineStr">
        <is>
          <t>DALARNAS LÄN</t>
        </is>
      </c>
      <c r="G165" t="inlineStr">
        <is>
          <t>SÄTER</t>
        </is>
      </c>
      <c r="I165" t="n">
        <v>1.7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8117-2022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44609</v>
      </c>
      <c r="E166" s="1" t="n">
        <v>46316</v>
      </c>
      <c r="F166" t="inlineStr">
        <is>
          <t>DALARNAS LÄN</t>
        </is>
      </c>
      <c r="G166" t="inlineStr">
        <is>
          <t>SÄTER</t>
        </is>
      </c>
      <c r="I166" t="n">
        <v>6.2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52422-2025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45954</v>
      </c>
      <c r="E167" s="1" t="n">
        <v>46316</v>
      </c>
      <c r="F167" t="inlineStr">
        <is>
          <t>DALARNAS LÄN</t>
        </is>
      </c>
      <c r="G167" t="inlineStr">
        <is>
          <t>SÄTER</t>
        </is>
      </c>
      <c r="I167" t="n">
        <v>4.5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53540-2025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45960</v>
      </c>
      <c r="E168" s="1" t="n">
        <v>46316</v>
      </c>
      <c r="F168" t="inlineStr">
        <is>
          <t>DALARNAS LÄN</t>
        </is>
      </c>
      <c r="G168" t="inlineStr">
        <is>
          <t>SÄTER</t>
        </is>
      </c>
      <c r="I168" t="n">
        <v>0.7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53878-2025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45961</v>
      </c>
      <c r="E169" s="1" t="n">
        <v>46316</v>
      </c>
      <c r="F169" t="inlineStr">
        <is>
          <t>DALARNAS LÄN</t>
        </is>
      </c>
      <c r="G169" t="inlineStr">
        <is>
          <t>SÄTER</t>
        </is>
      </c>
      <c r="I169" t="n">
        <v>3.3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53559-2025</t>
        </is>
      </c>
      <c r="B170" t="inlineStr">
        <is>
          <t>avverkningsanmälan</t>
        </is>
      </c>
      <c r="C170" t="inlineStr">
        <is>
          <t>Avverkning för annat ändamål</t>
        </is>
      </c>
      <c r="D170" s="1" t="n">
        <v>45960</v>
      </c>
      <c r="E170" s="1" t="n">
        <v>46316</v>
      </c>
      <c r="F170" t="inlineStr">
        <is>
          <t>DALARNAS LÄN</t>
        </is>
      </c>
      <c r="G170" t="inlineStr">
        <is>
          <t>SÄTER</t>
        </is>
      </c>
      <c r="I170" t="n">
        <v>0.5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54246-2025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45964</v>
      </c>
      <c r="E171" s="1" t="n">
        <v>46316</v>
      </c>
      <c r="F171" t="inlineStr">
        <is>
          <t>DALARNAS LÄN</t>
        </is>
      </c>
      <c r="G171" t="inlineStr">
        <is>
          <t>SÄTER</t>
        </is>
      </c>
      <c r="H171" t="inlineStr">
        <is>
          <t>Bergvik skog väst AB</t>
        </is>
      </c>
      <c r="I171" t="n">
        <v>7.1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16698-2026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46113</v>
      </c>
      <c r="E172" s="1" t="n">
        <v>46316</v>
      </c>
      <c r="F172" t="inlineStr">
        <is>
          <t>DALARNAS LÄN</t>
        </is>
      </c>
      <c r="G172" t="inlineStr">
        <is>
          <t>SÄTER</t>
        </is>
      </c>
      <c r="I172" t="n">
        <v>2.4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55621-2025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45971</v>
      </c>
      <c r="E173" s="1" t="n">
        <v>46316</v>
      </c>
      <c r="F173" t="inlineStr">
        <is>
          <t>DALARNAS LÄN</t>
        </is>
      </c>
      <c r="G173" t="inlineStr">
        <is>
          <t>SÄTER</t>
        </is>
      </c>
      <c r="H173" t="inlineStr">
        <is>
          <t>Bergvik skog väst AB</t>
        </is>
      </c>
      <c r="I173" t="n">
        <v>0.8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17253-2026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46119</v>
      </c>
      <c r="E174" s="1" t="n">
        <v>46316</v>
      </c>
      <c r="F174" t="inlineStr">
        <is>
          <t>DALARNAS LÄN</t>
        </is>
      </c>
      <c r="G174" t="inlineStr">
        <is>
          <t>SÄTER</t>
        </is>
      </c>
      <c r="H174" t="inlineStr">
        <is>
          <t>Kommuner</t>
        </is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10222-2026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46076</v>
      </c>
      <c r="E175" s="1" t="n">
        <v>46316</v>
      </c>
      <c r="F175" t="inlineStr">
        <is>
          <t>DALARNAS LÄN</t>
        </is>
      </c>
      <c r="G175" t="inlineStr">
        <is>
          <t>SÄTER</t>
        </is>
      </c>
      <c r="I175" t="n">
        <v>15.2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29846-2023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45107</v>
      </c>
      <c r="E176" s="1" t="n">
        <v>46316</v>
      </c>
      <c r="F176" t="inlineStr">
        <is>
          <t>DALARNAS LÄN</t>
        </is>
      </c>
      <c r="G176" t="inlineStr">
        <is>
          <t>SÄTER</t>
        </is>
      </c>
      <c r="I176" t="n">
        <v>0.8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12942-2026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46092</v>
      </c>
      <c r="E177" s="1" t="n">
        <v>46316</v>
      </c>
      <c r="F177" t="inlineStr">
        <is>
          <t>DALARNAS LÄN</t>
        </is>
      </c>
      <c r="G177" t="inlineStr">
        <is>
          <t>SÄTER</t>
        </is>
      </c>
      <c r="I177" t="n">
        <v>2.3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1305-2022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44572</v>
      </c>
      <c r="E178" s="1" t="n">
        <v>46316</v>
      </c>
      <c r="F178" t="inlineStr">
        <is>
          <t>DALARNAS LÄN</t>
        </is>
      </c>
      <c r="G178" t="inlineStr">
        <is>
          <t>SÄTER</t>
        </is>
      </c>
      <c r="I178" t="n">
        <v>6.6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12938-2026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46092</v>
      </c>
      <c r="E179" s="1" t="n">
        <v>46316</v>
      </c>
      <c r="F179" t="inlineStr">
        <is>
          <t>DALARNAS LÄN</t>
        </is>
      </c>
      <c r="G179" t="inlineStr">
        <is>
          <t>SÄTER</t>
        </is>
      </c>
      <c r="I179" t="n">
        <v>1.6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55650-2024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45622</v>
      </c>
      <c r="E180" s="1" t="n">
        <v>46316</v>
      </c>
      <c r="F180" t="inlineStr">
        <is>
          <t>DALARNAS LÄN</t>
        </is>
      </c>
      <c r="G180" t="inlineStr">
        <is>
          <t>SÄTER</t>
        </is>
      </c>
      <c r="I180" t="n">
        <v>0.7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50187-2024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45599</v>
      </c>
      <c r="E181" s="1" t="n">
        <v>46316</v>
      </c>
      <c r="F181" t="inlineStr">
        <is>
          <t>DALARNAS LÄN</t>
        </is>
      </c>
      <c r="G181" t="inlineStr">
        <is>
          <t>SÄTER</t>
        </is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58325-2025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45985</v>
      </c>
      <c r="E182" s="1" t="n">
        <v>46316</v>
      </c>
      <c r="F182" t="inlineStr">
        <is>
          <t>DALARNAS LÄN</t>
        </is>
      </c>
      <c r="G182" t="inlineStr">
        <is>
          <t>SÄTER</t>
        </is>
      </c>
      <c r="H182" t="inlineStr">
        <is>
          <t>Bergvik skog väst AB</t>
        </is>
      </c>
      <c r="I182" t="n">
        <v>2.6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20057-2026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46136</v>
      </c>
      <c r="E183" s="1" t="n">
        <v>46316</v>
      </c>
      <c r="F183" t="inlineStr">
        <is>
          <t>DALARNAS LÄN</t>
        </is>
      </c>
      <c r="G183" t="inlineStr">
        <is>
          <t>SÄTER</t>
        </is>
      </c>
      <c r="I183" t="n">
        <v>2.1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53706-2025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45960</v>
      </c>
      <c r="E184" s="1" t="n">
        <v>46316</v>
      </c>
      <c r="F184" t="inlineStr">
        <is>
          <t>DALARNAS LÄN</t>
        </is>
      </c>
      <c r="G184" t="inlineStr">
        <is>
          <t>SÄTER</t>
        </is>
      </c>
      <c r="I184" t="n">
        <v>1.2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41954-2024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45561</v>
      </c>
      <c r="E185" s="1" t="n">
        <v>46316</v>
      </c>
      <c r="F185" t="inlineStr">
        <is>
          <t>DALARNAS LÄN</t>
        </is>
      </c>
      <c r="G185" t="inlineStr">
        <is>
          <t>SÄTER</t>
        </is>
      </c>
      <c r="H185" t="inlineStr">
        <is>
          <t>Bergvik skog väst AB</t>
        </is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51474-2024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45604</v>
      </c>
      <c r="E186" s="1" t="n">
        <v>46316</v>
      </c>
      <c r="F186" t="inlineStr">
        <is>
          <t>DALARNAS LÄN</t>
        </is>
      </c>
      <c r="G186" t="inlineStr">
        <is>
          <t>SÄTER</t>
        </is>
      </c>
      <c r="I186" t="n">
        <v>0.8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59854-2025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45992</v>
      </c>
      <c r="E187" s="1" t="n">
        <v>46316</v>
      </c>
      <c r="F187" t="inlineStr">
        <is>
          <t>DALARNAS LÄN</t>
        </is>
      </c>
      <c r="G187" t="inlineStr">
        <is>
          <t>SÄTER</t>
        </is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61332-2023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45264</v>
      </c>
      <c r="E188" s="1" t="n">
        <v>46316</v>
      </c>
      <c r="F188" t="inlineStr">
        <is>
          <t>DALARNAS LÄN</t>
        </is>
      </c>
      <c r="G188" t="inlineStr">
        <is>
          <t>SÄTER</t>
        </is>
      </c>
      <c r="I188" t="n">
        <v>2.4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59974-2025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45993</v>
      </c>
      <c r="E189" s="1" t="n">
        <v>46316</v>
      </c>
      <c r="F189" t="inlineStr">
        <is>
          <t>DALARNAS LÄN</t>
        </is>
      </c>
      <c r="G189" t="inlineStr">
        <is>
          <t>SÄTER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59390-2024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45638</v>
      </c>
      <c r="E190" s="1" t="n">
        <v>46316</v>
      </c>
      <c r="F190" t="inlineStr">
        <is>
          <t>DALARNAS LÄN</t>
        </is>
      </c>
      <c r="G190" t="inlineStr">
        <is>
          <t>SÄTER</t>
        </is>
      </c>
      <c r="I190" t="n">
        <v>0.4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35163-2023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45145</v>
      </c>
      <c r="E191" s="1" t="n">
        <v>46316</v>
      </c>
      <c r="F191" t="inlineStr">
        <is>
          <t>DALARNAS LÄN</t>
        </is>
      </c>
      <c r="G191" t="inlineStr">
        <is>
          <t>SÄTER</t>
        </is>
      </c>
      <c r="I191" t="n">
        <v>0.8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44724-2024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45574</v>
      </c>
      <c r="E192" s="1" t="n">
        <v>46316</v>
      </c>
      <c r="F192" t="inlineStr">
        <is>
          <t>DALARNAS LÄN</t>
        </is>
      </c>
      <c r="G192" t="inlineStr">
        <is>
          <t>SÄTER</t>
        </is>
      </c>
      <c r="H192" t="inlineStr">
        <is>
          <t>Bergvik skog väst AB</t>
        </is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34196-2023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45138</v>
      </c>
      <c r="E193" s="1" t="n">
        <v>46316</v>
      </c>
      <c r="F193" t="inlineStr">
        <is>
          <t>DALARNAS LÄN</t>
        </is>
      </c>
      <c r="G193" t="inlineStr">
        <is>
          <t>SÄTER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27018-2025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45811</v>
      </c>
      <c r="E194" s="1" t="n">
        <v>46316</v>
      </c>
      <c r="F194" t="inlineStr">
        <is>
          <t>DALARNAS LÄN</t>
        </is>
      </c>
      <c r="G194" t="inlineStr">
        <is>
          <t>SÄTER</t>
        </is>
      </c>
      <c r="I194" t="n">
        <v>1.2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21696-2023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45063</v>
      </c>
      <c r="E195" s="1" t="n">
        <v>46316</v>
      </c>
      <c r="F195" t="inlineStr">
        <is>
          <t>DALARNAS LÄN</t>
        </is>
      </c>
      <c r="G195" t="inlineStr">
        <is>
          <t>SÄTER</t>
        </is>
      </c>
      <c r="H195" t="inlineStr">
        <is>
          <t>Kommuner</t>
        </is>
      </c>
      <c r="I195" t="n">
        <v>4.5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35410-2025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45855</v>
      </c>
      <c r="E196" s="1" t="n">
        <v>46316</v>
      </c>
      <c r="F196" t="inlineStr">
        <is>
          <t>DALARNAS LÄN</t>
        </is>
      </c>
      <c r="G196" t="inlineStr">
        <is>
          <t>SÄTER</t>
        </is>
      </c>
      <c r="I196" t="n">
        <v>0.9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5646-2023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44960</v>
      </c>
      <c r="E197" s="1" t="n">
        <v>46316</v>
      </c>
      <c r="F197" t="inlineStr">
        <is>
          <t>DALARNAS LÄN</t>
        </is>
      </c>
      <c r="G197" t="inlineStr">
        <is>
          <t>SÄTER</t>
        </is>
      </c>
      <c r="I197" t="n">
        <v>0.8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44719-2024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45574</v>
      </c>
      <c r="E198" s="1" t="n">
        <v>46316</v>
      </c>
      <c r="F198" t="inlineStr">
        <is>
          <t>DALARNAS LÄN</t>
        </is>
      </c>
      <c r="G198" t="inlineStr">
        <is>
          <t>SÄTER</t>
        </is>
      </c>
      <c r="H198" t="inlineStr">
        <is>
          <t>Bergvik skog väst AB</t>
        </is>
      </c>
      <c r="I198" t="n">
        <v>10.8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35409-2025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45855</v>
      </c>
      <c r="E199" s="1" t="n">
        <v>46316</v>
      </c>
      <c r="F199" t="inlineStr">
        <is>
          <t>DALARNAS LÄN</t>
        </is>
      </c>
      <c r="G199" t="inlineStr">
        <is>
          <t>SÄTER</t>
        </is>
      </c>
      <c r="I199" t="n">
        <v>1.9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61228-2025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46000</v>
      </c>
      <c r="E200" s="1" t="n">
        <v>46316</v>
      </c>
      <c r="F200" t="inlineStr">
        <is>
          <t>DALARNAS LÄN</t>
        </is>
      </c>
      <c r="G200" t="inlineStr">
        <is>
          <t>SÄTER</t>
        </is>
      </c>
      <c r="I200" t="n">
        <v>3.3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44803-2023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45190</v>
      </c>
      <c r="E201" s="1" t="n">
        <v>46316</v>
      </c>
      <c r="F201" t="inlineStr">
        <is>
          <t>DALARNAS LÄN</t>
        </is>
      </c>
      <c r="G201" t="inlineStr">
        <is>
          <t>SÄTER</t>
        </is>
      </c>
      <c r="I201" t="n">
        <v>1.4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63654-2025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46014</v>
      </c>
      <c r="E202" s="1" t="n">
        <v>46316</v>
      </c>
      <c r="F202" t="inlineStr">
        <is>
          <t>DALARNAS LÄN</t>
        </is>
      </c>
      <c r="G202" t="inlineStr">
        <is>
          <t>SÄTER</t>
        </is>
      </c>
      <c r="I202" t="n">
        <v>4.1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3751-2026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46043</v>
      </c>
      <c r="E203" s="1" t="n">
        <v>46316</v>
      </c>
      <c r="F203" t="inlineStr">
        <is>
          <t>DALARNAS LÄN</t>
        </is>
      </c>
      <c r="G203" t="inlineStr">
        <is>
          <t>SÄTER</t>
        </is>
      </c>
      <c r="I203" t="n">
        <v>1.5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40671-2023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45170</v>
      </c>
      <c r="E204" s="1" t="n">
        <v>46316</v>
      </c>
      <c r="F204" t="inlineStr">
        <is>
          <t>DALARNAS LÄN</t>
        </is>
      </c>
      <c r="G204" t="inlineStr">
        <is>
          <t>SÄTER</t>
        </is>
      </c>
      <c r="I204" t="n">
        <v>2.1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43125-2024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45567</v>
      </c>
      <c r="E205" s="1" t="n">
        <v>46316</v>
      </c>
      <c r="F205" t="inlineStr">
        <is>
          <t>DALARNAS LÄN</t>
        </is>
      </c>
      <c r="G205" t="inlineStr">
        <is>
          <t>SÄTER</t>
        </is>
      </c>
      <c r="I205" t="n">
        <v>2.8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42806-2024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45566</v>
      </c>
      <c r="E206" s="1" t="n">
        <v>46316</v>
      </c>
      <c r="F206" t="inlineStr">
        <is>
          <t>DALARNAS LÄN</t>
        </is>
      </c>
      <c r="G206" t="inlineStr">
        <is>
          <t>SÄTER</t>
        </is>
      </c>
      <c r="I206" t="n">
        <v>1.1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20056-2026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46136</v>
      </c>
      <c r="E207" s="1" t="n">
        <v>46316</v>
      </c>
      <c r="F207" t="inlineStr">
        <is>
          <t>DALARNAS LÄN</t>
        </is>
      </c>
      <c r="G207" t="inlineStr">
        <is>
          <t>SÄTER</t>
        </is>
      </c>
      <c r="I207" t="n">
        <v>1.7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36549-2025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45870</v>
      </c>
      <c r="E208" s="1" t="n">
        <v>46316</v>
      </c>
      <c r="F208" t="inlineStr">
        <is>
          <t>DALARNAS LÄN</t>
        </is>
      </c>
      <c r="G208" t="inlineStr">
        <is>
          <t>SÄTER</t>
        </is>
      </c>
      <c r="I208" t="n">
        <v>1.4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41959-2024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45561</v>
      </c>
      <c r="E209" s="1" t="n">
        <v>46316</v>
      </c>
      <c r="F209" t="inlineStr">
        <is>
          <t>DALARNAS LÄN</t>
        </is>
      </c>
      <c r="G209" t="inlineStr">
        <is>
          <t>SÄTER</t>
        </is>
      </c>
      <c r="H209" t="inlineStr">
        <is>
          <t>Bergvik skog väst AB</t>
        </is>
      </c>
      <c r="I209" t="n">
        <v>2.1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41951-2024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45561</v>
      </c>
      <c r="E210" s="1" t="n">
        <v>46316</v>
      </c>
      <c r="F210" t="inlineStr">
        <is>
          <t>DALARNAS LÄN</t>
        </is>
      </c>
      <c r="G210" t="inlineStr">
        <is>
          <t>SÄTER</t>
        </is>
      </c>
      <c r="H210" t="inlineStr">
        <is>
          <t>Bergvik skog väst AB</t>
        </is>
      </c>
      <c r="I210" t="n">
        <v>10.8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10101-2026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46073</v>
      </c>
      <c r="E211" s="1" t="n">
        <v>46316</v>
      </c>
      <c r="F211" t="inlineStr">
        <is>
          <t>DALARNAS LÄN</t>
        </is>
      </c>
      <c r="G211" t="inlineStr">
        <is>
          <t>SÄTER</t>
        </is>
      </c>
      <c r="I211" t="n">
        <v>1.5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10406-2024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45365</v>
      </c>
      <c r="E212" s="1" t="n">
        <v>46316</v>
      </c>
      <c r="F212" t="inlineStr">
        <is>
          <t>DALARNAS LÄN</t>
        </is>
      </c>
      <c r="G212" t="inlineStr">
        <is>
          <t>SÄTER</t>
        </is>
      </c>
      <c r="I212" t="n">
        <v>0.7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37075-2025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45875</v>
      </c>
      <c r="E213" s="1" t="n">
        <v>46316</v>
      </c>
      <c r="F213" t="inlineStr">
        <is>
          <t>DALARNAS LÄN</t>
        </is>
      </c>
      <c r="G213" t="inlineStr">
        <is>
          <t>SÄTER</t>
        </is>
      </c>
      <c r="I213" t="n">
        <v>0.6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9408-2026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46071</v>
      </c>
      <c r="E214" s="1" t="n">
        <v>46316</v>
      </c>
      <c r="F214" t="inlineStr">
        <is>
          <t>DALARNAS LÄN</t>
        </is>
      </c>
      <c r="G214" t="inlineStr">
        <is>
          <t>SÄTER</t>
        </is>
      </c>
      <c r="I214" t="n">
        <v>2.3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16901-2024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45411</v>
      </c>
      <c r="E215" s="1" t="n">
        <v>46316</v>
      </c>
      <c r="F215" t="inlineStr">
        <is>
          <t>DALARNAS LÄN</t>
        </is>
      </c>
      <c r="G215" t="inlineStr">
        <is>
          <t>SÄTER</t>
        </is>
      </c>
      <c r="I215" t="n">
        <v>1.1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20490-2026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46140</v>
      </c>
      <c r="E216" s="1" t="n">
        <v>46316</v>
      </c>
      <c r="F216" t="inlineStr">
        <is>
          <t>DALARNAS LÄN</t>
        </is>
      </c>
      <c r="G216" t="inlineStr">
        <is>
          <t>SÄTER</t>
        </is>
      </c>
      <c r="I216" t="n">
        <v>1.7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14019-2026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46098</v>
      </c>
      <c r="E217" s="1" t="n">
        <v>46316</v>
      </c>
      <c r="F217" t="inlineStr">
        <is>
          <t>DALARNAS LÄN</t>
        </is>
      </c>
      <c r="G217" t="inlineStr">
        <is>
          <t>SÄTER</t>
        </is>
      </c>
      <c r="I217" t="n">
        <v>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1594-2025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45670</v>
      </c>
      <c r="E218" s="1" t="n">
        <v>46316</v>
      </c>
      <c r="F218" t="inlineStr">
        <is>
          <t>DALARNAS LÄN</t>
        </is>
      </c>
      <c r="G218" t="inlineStr">
        <is>
          <t>SÄTER</t>
        </is>
      </c>
      <c r="I218" t="n">
        <v>0.7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11733-2026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46084</v>
      </c>
      <c r="E219" s="1" t="n">
        <v>46316</v>
      </c>
      <c r="F219" t="inlineStr">
        <is>
          <t>DALARNAS LÄN</t>
        </is>
      </c>
      <c r="G219" t="inlineStr">
        <is>
          <t>SÄTER</t>
        </is>
      </c>
      <c r="H219" t="inlineStr">
        <is>
          <t>Kommuner</t>
        </is>
      </c>
      <c r="I219" t="n">
        <v>5.1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12330-2026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46087</v>
      </c>
      <c r="E220" s="1" t="n">
        <v>46316</v>
      </c>
      <c r="F220" t="inlineStr">
        <is>
          <t>DALARNAS LÄN</t>
        </is>
      </c>
      <c r="G220" t="inlineStr">
        <is>
          <t>SÄTER</t>
        </is>
      </c>
      <c r="I220" t="n">
        <v>1.8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7562-2023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44972</v>
      </c>
      <c r="E221" s="1" t="n">
        <v>46316</v>
      </c>
      <c r="F221" t="inlineStr">
        <is>
          <t>DALARNAS LÄN</t>
        </is>
      </c>
      <c r="G221" t="inlineStr">
        <is>
          <t>SÄTER</t>
        </is>
      </c>
      <c r="I221" t="n">
        <v>2.8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27910-2023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45098</v>
      </c>
      <c r="E222" s="1" t="n">
        <v>46316</v>
      </c>
      <c r="F222" t="inlineStr">
        <is>
          <t>DALARNAS LÄN</t>
        </is>
      </c>
      <c r="G222" t="inlineStr">
        <is>
          <t>SÄTER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1517-2026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46034</v>
      </c>
      <c r="E223" s="1" t="n">
        <v>46316</v>
      </c>
      <c r="F223" t="inlineStr">
        <is>
          <t>DALARNAS LÄN</t>
        </is>
      </c>
      <c r="G223" t="inlineStr">
        <is>
          <t>SÄTER</t>
        </is>
      </c>
      <c r="I223" t="n">
        <v>8.1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43610-2025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45911</v>
      </c>
      <c r="E224" s="1" t="n">
        <v>46316</v>
      </c>
      <c r="F224" t="inlineStr">
        <is>
          <t>DALARNAS LÄN</t>
        </is>
      </c>
      <c r="G224" t="inlineStr">
        <is>
          <t>SÄTER</t>
        </is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26940-2025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45811</v>
      </c>
      <c r="E225" s="1" t="n">
        <v>46316</v>
      </c>
      <c r="F225" t="inlineStr">
        <is>
          <t>DALARNAS LÄN</t>
        </is>
      </c>
      <c r="G225" t="inlineStr">
        <is>
          <t>SÄTER</t>
        </is>
      </c>
      <c r="I225" t="n">
        <v>2.3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8991-2026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46069</v>
      </c>
      <c r="E226" s="1" t="n">
        <v>46316</v>
      </c>
      <c r="F226" t="inlineStr">
        <is>
          <t>DALARNAS LÄN</t>
        </is>
      </c>
      <c r="G226" t="inlineStr">
        <is>
          <t>SÄTER</t>
        </is>
      </c>
      <c r="I226" t="n">
        <v>4.4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43770-2024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45569</v>
      </c>
      <c r="E227" s="1" t="n">
        <v>46316</v>
      </c>
      <c r="F227" t="inlineStr">
        <is>
          <t>DALARNAS LÄN</t>
        </is>
      </c>
      <c r="G227" t="inlineStr">
        <is>
          <t>SÄTER</t>
        </is>
      </c>
      <c r="I227" t="n">
        <v>13.2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25690-2022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44732</v>
      </c>
      <c r="E228" s="1" t="n">
        <v>46316</v>
      </c>
      <c r="F228" t="inlineStr">
        <is>
          <t>DALARNAS LÄN</t>
        </is>
      </c>
      <c r="G228" t="inlineStr">
        <is>
          <t>SÄTER</t>
        </is>
      </c>
      <c r="H228" t="inlineStr">
        <is>
          <t>Bergvik skog väst AB</t>
        </is>
      </c>
      <c r="I228" t="n">
        <v>2.8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38264-2025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45883</v>
      </c>
      <c r="E229" s="1" t="n">
        <v>46316</v>
      </c>
      <c r="F229" t="inlineStr">
        <is>
          <t>DALARNAS LÄN</t>
        </is>
      </c>
      <c r="G229" t="inlineStr">
        <is>
          <t>SÄTER</t>
        </is>
      </c>
      <c r="I229" t="n">
        <v>10.8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6318-2026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46051</v>
      </c>
      <c r="E230" s="1" t="n">
        <v>46316</v>
      </c>
      <c r="F230" t="inlineStr">
        <is>
          <t>DALARNAS LÄN</t>
        </is>
      </c>
      <c r="G230" t="inlineStr">
        <is>
          <t>SÄTER</t>
        </is>
      </c>
      <c r="H230" t="inlineStr">
        <is>
          <t>Kommuner</t>
        </is>
      </c>
      <c r="I230" t="n">
        <v>42.6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9586-2023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44982</v>
      </c>
      <c r="E231" s="1" t="n">
        <v>46316</v>
      </c>
      <c r="F231" t="inlineStr">
        <is>
          <t>DALARNAS LÄN</t>
        </is>
      </c>
      <c r="G231" t="inlineStr">
        <is>
          <t>SÄTER</t>
        </is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54440-2022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44882</v>
      </c>
      <c r="E232" s="1" t="n">
        <v>46316</v>
      </c>
      <c r="F232" t="inlineStr">
        <is>
          <t>DALARNAS LÄN</t>
        </is>
      </c>
      <c r="G232" t="inlineStr">
        <is>
          <t>SÄTER</t>
        </is>
      </c>
      <c r="H232" t="inlineStr">
        <is>
          <t>Bergvik skog väst AB</t>
        </is>
      </c>
      <c r="I232" t="n">
        <v>0.9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54826-2023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45236</v>
      </c>
      <c r="E233" s="1" t="n">
        <v>46316</v>
      </c>
      <c r="F233" t="inlineStr">
        <is>
          <t>DALARNAS LÄN</t>
        </is>
      </c>
      <c r="G233" t="inlineStr">
        <is>
          <t>SÄTER</t>
        </is>
      </c>
      <c r="I233" t="n">
        <v>1.4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45225-2022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44840</v>
      </c>
      <c r="E234" s="1" t="n">
        <v>46316</v>
      </c>
      <c r="F234" t="inlineStr">
        <is>
          <t>DALARNAS LÄN</t>
        </is>
      </c>
      <c r="G234" t="inlineStr">
        <is>
          <t>SÄTER</t>
        </is>
      </c>
      <c r="H234" t="inlineStr">
        <is>
          <t>Bergvik skog väst AB</t>
        </is>
      </c>
      <c r="I234" t="n">
        <v>10.2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57416-2022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44896</v>
      </c>
      <c r="E235" s="1" t="n">
        <v>46316</v>
      </c>
      <c r="F235" t="inlineStr">
        <is>
          <t>DALARNAS LÄN</t>
        </is>
      </c>
      <c r="G235" t="inlineStr">
        <is>
          <t>SÄTER</t>
        </is>
      </c>
      <c r="I235" t="n">
        <v>0.8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  <c r="Z235">
        <f>HYPERLINK("https://klasma.github.io/Logging_2082/knärot/A 57416-2022 karta knärot.png", "A 57416-2022")</f>
        <v/>
      </c>
      <c r="AA235">
        <f>HYPERLINK("https://klasma.github.io/Logging_2082/klagomål/A 57416-2022 FSC-klagomål.docx", "A 57416-2022")</f>
        <v/>
      </c>
      <c r="AB235">
        <f>HYPERLINK("https://klasma.github.io/Logging_2082/klagomålsmail/A 57416-2022 FSC-klagomål mail.docx", "A 57416-2022")</f>
        <v/>
      </c>
      <c r="AC235">
        <f>HYPERLINK("https://klasma.github.io/Logging_2082/tillsyn/A 57416-2022 tillsynsbegäran.docx", "A 57416-2022")</f>
        <v/>
      </c>
      <c r="AD235">
        <f>HYPERLINK("https://klasma.github.io/Logging_2082/tillsynsmail/A 57416-2022 tillsynsbegäran mail.docx", "A 57416-2022")</f>
        <v/>
      </c>
    </row>
    <row r="236" ht="15" customHeight="1">
      <c r="A236" t="inlineStr">
        <is>
          <t>A 12646-2026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46091</v>
      </c>
      <c r="E236" s="1" t="n">
        <v>46316</v>
      </c>
      <c r="F236" t="inlineStr">
        <is>
          <t>DALARNAS LÄN</t>
        </is>
      </c>
      <c r="G236" t="inlineStr">
        <is>
          <t>SÄTER</t>
        </is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4050-2026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46044</v>
      </c>
      <c r="E237" s="1" t="n">
        <v>46316</v>
      </c>
      <c r="F237" t="inlineStr">
        <is>
          <t>DALARNAS LÄN</t>
        </is>
      </c>
      <c r="G237" t="inlineStr">
        <is>
          <t>SÄTER</t>
        </is>
      </c>
      <c r="I237" t="n">
        <v>1.1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22148-2026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46153</v>
      </c>
      <c r="E238" s="1" t="n">
        <v>46316</v>
      </c>
      <c r="F238" t="inlineStr">
        <is>
          <t>DALARNAS LÄN</t>
        </is>
      </c>
      <c r="G238" t="inlineStr">
        <is>
          <t>SÄTER</t>
        </is>
      </c>
      <c r="I238" t="n">
        <v>1.7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22028-2026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46153</v>
      </c>
      <c r="E239" s="1" t="n">
        <v>46316</v>
      </c>
      <c r="F239" t="inlineStr">
        <is>
          <t>DALARNAS LÄN</t>
        </is>
      </c>
      <c r="G239" t="inlineStr">
        <is>
          <t>SÄTER</t>
        </is>
      </c>
      <c r="I239" t="n">
        <v>10.1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22261-2026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46154</v>
      </c>
      <c r="E240" s="1" t="n">
        <v>46316</v>
      </c>
      <c r="F240" t="inlineStr">
        <is>
          <t>DALARNAS LÄN</t>
        </is>
      </c>
      <c r="G240" t="inlineStr">
        <is>
          <t>SÄTER</t>
        </is>
      </c>
      <c r="I240" t="n">
        <v>9.6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21859-2022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44711</v>
      </c>
      <c r="E241" s="1" t="n">
        <v>46316</v>
      </c>
      <c r="F241" t="inlineStr">
        <is>
          <t>DALARNAS LÄN</t>
        </is>
      </c>
      <c r="G241" t="inlineStr">
        <is>
          <t>SÄTER</t>
        </is>
      </c>
      <c r="H241" t="inlineStr">
        <is>
          <t>Bergvik skog väst AB</t>
        </is>
      </c>
      <c r="I241" t="n">
        <v>1.2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13510-2023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45006</v>
      </c>
      <c r="E242" s="1" t="n">
        <v>46316</v>
      </c>
      <c r="F242" t="inlineStr">
        <is>
          <t>DALARNAS LÄN</t>
        </is>
      </c>
      <c r="G242" t="inlineStr">
        <is>
          <t>SÄTER</t>
        </is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42225-2022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44830</v>
      </c>
      <c r="E243" s="1" t="n">
        <v>46316</v>
      </c>
      <c r="F243" t="inlineStr">
        <is>
          <t>DALARNAS LÄN</t>
        </is>
      </c>
      <c r="G243" t="inlineStr">
        <is>
          <t>SÄTER</t>
        </is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12265-2026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46087</v>
      </c>
      <c r="E244" s="1" t="n">
        <v>46316</v>
      </c>
      <c r="F244" t="inlineStr">
        <is>
          <t>DALARNAS LÄN</t>
        </is>
      </c>
      <c r="G244" t="inlineStr">
        <is>
          <t>SÄTER</t>
        </is>
      </c>
      <c r="H244" t="inlineStr">
        <is>
          <t>Kommuner</t>
        </is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23547-2026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46163</v>
      </c>
      <c r="E245" s="1" t="n">
        <v>46316</v>
      </c>
      <c r="F245" t="inlineStr">
        <is>
          <t>DALARNAS LÄN</t>
        </is>
      </c>
      <c r="G245" t="inlineStr">
        <is>
          <t>SÄTER</t>
        </is>
      </c>
      <c r="I245" t="n">
        <v>1.6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973-2023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44935</v>
      </c>
      <c r="E246" s="1" t="n">
        <v>46316</v>
      </c>
      <c r="F246" t="inlineStr">
        <is>
          <t>DALARNAS LÄN</t>
        </is>
      </c>
      <c r="G246" t="inlineStr">
        <is>
          <t>SÄTER</t>
        </is>
      </c>
      <c r="I246" t="n">
        <v>3.7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23735-2026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46163</v>
      </c>
      <c r="E247" s="1" t="n">
        <v>46316</v>
      </c>
      <c r="F247" t="inlineStr">
        <is>
          <t>DALARNAS LÄN</t>
        </is>
      </c>
      <c r="G247" t="inlineStr">
        <is>
          <t>SÄTER</t>
        </is>
      </c>
      <c r="H247" t="inlineStr">
        <is>
          <t>Bergvik skog väst AB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23736-2026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46163</v>
      </c>
      <c r="E248" s="1" t="n">
        <v>46316</v>
      </c>
      <c r="F248" t="inlineStr">
        <is>
          <t>DALARNAS LÄN</t>
        </is>
      </c>
      <c r="G248" t="inlineStr">
        <is>
          <t>SÄTER</t>
        </is>
      </c>
      <c r="H248" t="inlineStr">
        <is>
          <t>Bergvik skog väst AB</t>
        </is>
      </c>
      <c r="I248" t="n">
        <v>2.2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23736-2026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46163</v>
      </c>
      <c r="E249" s="1" t="n">
        <v>46316</v>
      </c>
      <c r="F249" t="inlineStr">
        <is>
          <t>DALARNAS LÄN</t>
        </is>
      </c>
      <c r="G249" t="inlineStr">
        <is>
          <t>SÄTER</t>
        </is>
      </c>
      <c r="H249" t="inlineStr">
        <is>
          <t>Bergvik skog väst AB</t>
        </is>
      </c>
      <c r="I249" t="n">
        <v>0.5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23679-2026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46164</v>
      </c>
      <c r="E250" s="1" t="n">
        <v>46316</v>
      </c>
      <c r="F250" t="inlineStr">
        <is>
          <t>DALARNAS LÄN</t>
        </is>
      </c>
      <c r="G250" t="inlineStr">
        <is>
          <t>SÄTER</t>
        </is>
      </c>
      <c r="I250" t="n">
        <v>10.1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24376-2026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46167</v>
      </c>
      <c r="E251" s="1" t="n">
        <v>46316</v>
      </c>
      <c r="F251" t="inlineStr">
        <is>
          <t>DALARNAS LÄN</t>
        </is>
      </c>
      <c r="G251" t="inlineStr">
        <is>
          <t>SÄTER</t>
        </is>
      </c>
      <c r="I251" t="n">
        <v>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11164-2023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44992</v>
      </c>
      <c r="E252" s="1" t="n">
        <v>46316</v>
      </c>
      <c r="F252" t="inlineStr">
        <is>
          <t>DALARNAS LÄN</t>
        </is>
      </c>
      <c r="G252" t="inlineStr">
        <is>
          <t>SÄTER</t>
        </is>
      </c>
      <c r="I252" t="n">
        <v>7.6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51405-2022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44869</v>
      </c>
      <c r="E253" s="1" t="n">
        <v>46316</v>
      </c>
      <c r="F253" t="inlineStr">
        <is>
          <t>DALARNAS LÄN</t>
        </is>
      </c>
      <c r="G253" t="inlineStr">
        <is>
          <t>SÄTER</t>
        </is>
      </c>
      <c r="I253" t="n">
        <v>1.5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50366-2023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45216</v>
      </c>
      <c r="E254" s="1" t="n">
        <v>46316</v>
      </c>
      <c r="F254" t="inlineStr">
        <is>
          <t>DALARNAS LÄN</t>
        </is>
      </c>
      <c r="G254" t="inlineStr">
        <is>
          <t>SÄTER</t>
        </is>
      </c>
      <c r="I254" t="n">
        <v>0.7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3637-2024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45321</v>
      </c>
      <c r="E255" s="1" t="n">
        <v>46316</v>
      </c>
      <c r="F255" t="inlineStr">
        <is>
          <t>DALARNAS LÄN</t>
        </is>
      </c>
      <c r="G255" t="inlineStr">
        <is>
          <t>SÄTER</t>
        </is>
      </c>
      <c r="I255" t="n">
        <v>0.9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56831-2024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45628</v>
      </c>
      <c r="E256" s="1" t="n">
        <v>46316</v>
      </c>
      <c r="F256" t="inlineStr">
        <is>
          <t>DALARNAS LÄN</t>
        </is>
      </c>
      <c r="G256" t="inlineStr">
        <is>
          <t>SÄTER</t>
        </is>
      </c>
      <c r="I256" t="n">
        <v>2.5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41643-2023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45175</v>
      </c>
      <c r="E257" s="1" t="n">
        <v>46316</v>
      </c>
      <c r="F257" t="inlineStr">
        <is>
          <t>DALARNAS LÄN</t>
        </is>
      </c>
      <c r="G257" t="inlineStr">
        <is>
          <t>SÄTER</t>
        </is>
      </c>
      <c r="I257" t="n">
        <v>1.1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51320-2024</t>
        </is>
      </c>
      <c r="B258" t="inlineStr">
        <is>
          <t>avverkningsanmälan</t>
        </is>
      </c>
      <c r="C258" t="inlineStr">
        <is>
          <t>Avverkning för annat ändamål</t>
        </is>
      </c>
      <c r="D258" s="1" t="n">
        <v>45604</v>
      </c>
      <c r="E258" s="1" t="n">
        <v>46316</v>
      </c>
      <c r="F258" t="inlineStr">
        <is>
          <t>DALARNAS LÄN</t>
        </is>
      </c>
      <c r="G258" t="inlineStr">
        <is>
          <t>SÄTER</t>
        </is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51324-2024</t>
        </is>
      </c>
      <c r="B259" t="inlineStr">
        <is>
          <t>avverkningsanmälan</t>
        </is>
      </c>
      <c r="C259" t="inlineStr">
        <is>
          <t>Avverkning för annat ändamål</t>
        </is>
      </c>
      <c r="D259" s="1" t="n">
        <v>45604</v>
      </c>
      <c r="E259" s="1" t="n">
        <v>46316</v>
      </c>
      <c r="F259" t="inlineStr">
        <is>
          <t>DALARNAS LÄN</t>
        </is>
      </c>
      <c r="G259" t="inlineStr">
        <is>
          <t>SÄTER</t>
        </is>
      </c>
      <c r="I259" t="n">
        <v>0.3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52161-2025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45953</v>
      </c>
      <c r="E260" s="1" t="n">
        <v>46316</v>
      </c>
      <c r="F260" t="inlineStr">
        <is>
          <t>DALARNAS LÄN</t>
        </is>
      </c>
      <c r="G260" t="inlineStr">
        <is>
          <t>SÄTER</t>
        </is>
      </c>
      <c r="I260" t="n">
        <v>1.6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63377-2025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46010</v>
      </c>
      <c r="E261" s="1" t="n">
        <v>46316</v>
      </c>
      <c r="F261" t="inlineStr">
        <is>
          <t>DALARNAS LÄN</t>
        </is>
      </c>
      <c r="G261" t="inlineStr">
        <is>
          <t>SÄTER</t>
        </is>
      </c>
      <c r="H261" t="inlineStr">
        <is>
          <t>Övriga statliga verk och myndigheter</t>
        </is>
      </c>
      <c r="I261" t="n">
        <v>0.8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29635-2024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45484</v>
      </c>
      <c r="E262" s="1" t="n">
        <v>46316</v>
      </c>
      <c r="F262" t="inlineStr">
        <is>
          <t>DALARNAS LÄN</t>
        </is>
      </c>
      <c r="G262" t="inlineStr">
        <is>
          <t>SÄTER</t>
        </is>
      </c>
      <c r="I262" t="n">
        <v>1.1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10285-2026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46076</v>
      </c>
      <c r="E263" s="1" t="n">
        <v>46316</v>
      </c>
      <c r="F263" t="inlineStr">
        <is>
          <t>DALARNAS LÄN</t>
        </is>
      </c>
      <c r="G263" t="inlineStr">
        <is>
          <t>SÄTER</t>
        </is>
      </c>
      <c r="I263" t="n">
        <v>2.3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59386-2024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45638</v>
      </c>
      <c r="E264" s="1" t="n">
        <v>46316</v>
      </c>
      <c r="F264" t="inlineStr">
        <is>
          <t>DALARNAS LÄN</t>
        </is>
      </c>
      <c r="G264" t="inlineStr">
        <is>
          <t>SÄTER</t>
        </is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51323-2024</t>
        </is>
      </c>
      <c r="B265" t="inlineStr">
        <is>
          <t>avverkningsanmälan</t>
        </is>
      </c>
      <c r="C265" t="inlineStr">
        <is>
          <t>Avverkning för annat ändamål</t>
        </is>
      </c>
      <c r="D265" s="1" t="n">
        <v>45604</v>
      </c>
      <c r="E265" s="1" t="n">
        <v>46316</v>
      </c>
      <c r="F265" t="inlineStr">
        <is>
          <t>DALARNAS LÄN</t>
        </is>
      </c>
      <c r="G265" t="inlineStr">
        <is>
          <t>SÄTER</t>
        </is>
      </c>
      <c r="I265" t="n">
        <v>0.2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34990-2024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45527</v>
      </c>
      <c r="E266" s="1" t="n">
        <v>46316</v>
      </c>
      <c r="F266" t="inlineStr">
        <is>
          <t>DALARNAS LÄN</t>
        </is>
      </c>
      <c r="G266" t="inlineStr">
        <is>
          <t>SÄTER</t>
        </is>
      </c>
      <c r="I266" t="n">
        <v>0.9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34991-2024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45527</v>
      </c>
      <c r="E267" s="1" t="n">
        <v>46316</v>
      </c>
      <c r="F267" t="inlineStr">
        <is>
          <t>DALARNAS LÄN</t>
        </is>
      </c>
      <c r="G267" t="inlineStr">
        <is>
          <t>SÄTER</t>
        </is>
      </c>
      <c r="I267" t="n">
        <v>0.4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51468-2024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45604</v>
      </c>
      <c r="E268" s="1" t="n">
        <v>46316</v>
      </c>
      <c r="F268" t="inlineStr">
        <is>
          <t>DALARNAS LÄN</t>
        </is>
      </c>
      <c r="G268" t="inlineStr">
        <is>
          <t>SÄTER</t>
        </is>
      </c>
      <c r="I268" t="n">
        <v>1.2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35005-2024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45527</v>
      </c>
      <c r="E269" s="1" t="n">
        <v>46316</v>
      </c>
      <c r="F269" t="inlineStr">
        <is>
          <t>DALARNAS LÄN</t>
        </is>
      </c>
      <c r="G269" t="inlineStr">
        <is>
          <t>SÄTER</t>
        </is>
      </c>
      <c r="I269" t="n">
        <v>1.8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6767-2024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45342</v>
      </c>
      <c r="E270" s="1" t="n">
        <v>46316</v>
      </c>
      <c r="F270" t="inlineStr">
        <is>
          <t>DALARNAS LÄN</t>
        </is>
      </c>
      <c r="G270" t="inlineStr">
        <is>
          <t>SÄTER</t>
        </is>
      </c>
      <c r="I270" t="n">
        <v>1.3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44729-2024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45574</v>
      </c>
      <c r="E271" s="1" t="n">
        <v>46316</v>
      </c>
      <c r="F271" t="inlineStr">
        <is>
          <t>DALARNAS LÄN</t>
        </is>
      </c>
      <c r="G271" t="inlineStr">
        <is>
          <t>SÄTER</t>
        </is>
      </c>
      <c r="H271" t="inlineStr">
        <is>
          <t>Bergvik skog väst AB</t>
        </is>
      </c>
      <c r="I271" t="n">
        <v>0.4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61743-2023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45265</v>
      </c>
      <c r="E272" s="1" t="n">
        <v>46316</v>
      </c>
      <c r="F272" t="inlineStr">
        <is>
          <t>DALARNAS LÄN</t>
        </is>
      </c>
      <c r="G272" t="inlineStr">
        <is>
          <t>SÄTER</t>
        </is>
      </c>
      <c r="I272" t="n">
        <v>0.6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36847-2023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45154</v>
      </c>
      <c r="E273" s="1" t="n">
        <v>46316</v>
      </c>
      <c r="F273" t="inlineStr">
        <is>
          <t>DALARNAS LÄN</t>
        </is>
      </c>
      <c r="G273" t="inlineStr">
        <is>
          <t>SÄTER</t>
        </is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28613-2026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46190</v>
      </c>
      <c r="E274" s="1" t="n">
        <v>46316</v>
      </c>
      <c r="F274" t="inlineStr">
        <is>
          <t>DALARNAS LÄN</t>
        </is>
      </c>
      <c r="G274" t="inlineStr">
        <is>
          <t>SÄTER</t>
        </is>
      </c>
      <c r="H274" t="inlineStr">
        <is>
          <t>Bergvik skog väst AB</t>
        </is>
      </c>
      <c r="I274" t="n">
        <v>7.5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62533-2023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45268</v>
      </c>
      <c r="E275" s="1" t="n">
        <v>46316</v>
      </c>
      <c r="F275" t="inlineStr">
        <is>
          <t>DALARNAS LÄN</t>
        </is>
      </c>
      <c r="G275" t="inlineStr">
        <is>
          <t>SÄTER</t>
        </is>
      </c>
      <c r="I275" t="n">
        <v>1.1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5196-2024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45330</v>
      </c>
      <c r="E276" s="1" t="n">
        <v>46316</v>
      </c>
      <c r="F276" t="inlineStr">
        <is>
          <t>DALARNAS LÄN</t>
        </is>
      </c>
      <c r="G276" t="inlineStr">
        <is>
          <t>SÄTER</t>
        </is>
      </c>
      <c r="I276" t="n">
        <v>2.4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16836-2024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45411</v>
      </c>
      <c r="E277" s="1" t="n">
        <v>46316</v>
      </c>
      <c r="F277" t="inlineStr">
        <is>
          <t>DALARNAS LÄN</t>
        </is>
      </c>
      <c r="G277" t="inlineStr">
        <is>
          <t>SÄTER</t>
        </is>
      </c>
      <c r="I277" t="n">
        <v>0.6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16843-2024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45411</v>
      </c>
      <c r="E278" s="1" t="n">
        <v>46316</v>
      </c>
      <c r="F278" t="inlineStr">
        <is>
          <t>DALARNAS LÄN</t>
        </is>
      </c>
      <c r="G278" t="inlineStr">
        <is>
          <t>SÄTER</t>
        </is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27771-2026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46191</v>
      </c>
      <c r="E279" s="1" t="n">
        <v>46316</v>
      </c>
      <c r="F279" t="inlineStr">
        <is>
          <t>DALARNAS LÄN</t>
        </is>
      </c>
      <c r="G279" t="inlineStr">
        <is>
          <t>SÄTER</t>
        </is>
      </c>
      <c r="I279" t="n">
        <v>1.3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12965-2026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46092</v>
      </c>
      <c r="E280" s="1" t="n">
        <v>46316</v>
      </c>
      <c r="F280" t="inlineStr">
        <is>
          <t>DALARNAS LÄN</t>
        </is>
      </c>
      <c r="G280" t="inlineStr">
        <is>
          <t>SÄTER</t>
        </is>
      </c>
      <c r="I280" t="n">
        <v>2.1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45476-2024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45576</v>
      </c>
      <c r="E281" s="1" t="n">
        <v>46316</v>
      </c>
      <c r="F281" t="inlineStr">
        <is>
          <t>DALARNAS LÄN</t>
        </is>
      </c>
      <c r="G281" t="inlineStr">
        <is>
          <t>SÄTER</t>
        </is>
      </c>
      <c r="I281" t="n">
        <v>1.2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16832-2024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45411</v>
      </c>
      <c r="E282" s="1" t="n">
        <v>46316</v>
      </c>
      <c r="F282" t="inlineStr">
        <is>
          <t>DALARNAS LÄN</t>
        </is>
      </c>
      <c r="G282" t="inlineStr">
        <is>
          <t>SÄTER</t>
        </is>
      </c>
      <c r="I282" t="n">
        <v>0.9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16840-2024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45411</v>
      </c>
      <c r="E283" s="1" t="n">
        <v>46316</v>
      </c>
      <c r="F283" t="inlineStr">
        <is>
          <t>DALARNAS LÄN</t>
        </is>
      </c>
      <c r="G283" t="inlineStr">
        <is>
          <t>SÄTER</t>
        </is>
      </c>
      <c r="I283" t="n">
        <v>4.6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14931-2024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45398</v>
      </c>
      <c r="E284" s="1" t="n">
        <v>46316</v>
      </c>
      <c r="F284" t="inlineStr">
        <is>
          <t>DALARNAS LÄN</t>
        </is>
      </c>
      <c r="G284" t="inlineStr">
        <is>
          <t>SÄTER</t>
        </is>
      </c>
      <c r="I284" t="n">
        <v>1.6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7188-2023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44965</v>
      </c>
      <c r="E285" s="1" t="n">
        <v>46316</v>
      </c>
      <c r="F285" t="inlineStr">
        <is>
          <t>DALARNAS LÄN</t>
        </is>
      </c>
      <c r="G285" t="inlineStr">
        <is>
          <t>SÄTER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56823-2024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45628</v>
      </c>
      <c r="E286" s="1" t="n">
        <v>46316</v>
      </c>
      <c r="F286" t="inlineStr">
        <is>
          <t>DALARNAS LÄN</t>
        </is>
      </c>
      <c r="G286" t="inlineStr">
        <is>
          <t>SÄTER</t>
        </is>
      </c>
      <c r="I286" t="n">
        <v>1.3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34652-2024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45526</v>
      </c>
      <c r="E287" s="1" t="n">
        <v>46316</v>
      </c>
      <c r="F287" t="inlineStr">
        <is>
          <t>DALARNAS LÄN</t>
        </is>
      </c>
      <c r="G287" t="inlineStr">
        <is>
          <t>SÄTER</t>
        </is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61344-2023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45264</v>
      </c>
      <c r="E288" s="1" t="n">
        <v>46316</v>
      </c>
      <c r="F288" t="inlineStr">
        <is>
          <t>DALARNAS LÄN</t>
        </is>
      </c>
      <c r="G288" t="inlineStr">
        <is>
          <t>SÄTER</t>
        </is>
      </c>
      <c r="I288" t="n">
        <v>0.8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18974-2024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45427</v>
      </c>
      <c r="E289" s="1" t="n">
        <v>46316</v>
      </c>
      <c r="F289" t="inlineStr">
        <is>
          <t>DALARNAS LÄN</t>
        </is>
      </c>
      <c r="G289" t="inlineStr">
        <is>
          <t>SÄTER</t>
        </is>
      </c>
      <c r="I289" t="n">
        <v>0.8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21697-2023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45063</v>
      </c>
      <c r="E290" s="1" t="n">
        <v>46316</v>
      </c>
      <c r="F290" t="inlineStr">
        <is>
          <t>DALARNAS LÄN</t>
        </is>
      </c>
      <c r="G290" t="inlineStr">
        <is>
          <t>SÄTER</t>
        </is>
      </c>
      <c r="H290" t="inlineStr">
        <is>
          <t>Kommuner</t>
        </is>
      </c>
      <c r="I290" t="n">
        <v>1.9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8810-2026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46066</v>
      </c>
      <c r="E291" s="1" t="n">
        <v>46316</v>
      </c>
      <c r="F291" t="inlineStr">
        <is>
          <t>DALARNAS LÄN</t>
        </is>
      </c>
      <c r="G291" t="inlineStr">
        <is>
          <t>SÄTER</t>
        </is>
      </c>
      <c r="I291" t="n">
        <v>2.5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30706-2026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46211</v>
      </c>
      <c r="E292" s="1" t="n">
        <v>46316</v>
      </c>
      <c r="F292" t="inlineStr">
        <is>
          <t>DALARNAS LÄN</t>
        </is>
      </c>
      <c r="G292" t="inlineStr">
        <is>
          <t>SÄTER</t>
        </is>
      </c>
      <c r="I292" t="n">
        <v>2.4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25033-2026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46174</v>
      </c>
      <c r="E293" s="1" t="n">
        <v>46316</v>
      </c>
      <c r="F293" t="inlineStr">
        <is>
          <t>DALARNAS LÄN</t>
        </is>
      </c>
      <c r="G293" t="inlineStr">
        <is>
          <t>SÄTER</t>
        </is>
      </c>
      <c r="H293" t="inlineStr">
        <is>
          <t>Bergvik skog väst AB</t>
        </is>
      </c>
      <c r="I293" t="n">
        <v>3.5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30256-2023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45110</v>
      </c>
      <c r="E294" s="1" t="n">
        <v>46316</v>
      </c>
      <c r="F294" t="inlineStr">
        <is>
          <t>DALARNAS LÄN</t>
        </is>
      </c>
      <c r="G294" t="inlineStr">
        <is>
          <t>SÄTER</t>
        </is>
      </c>
      <c r="I294" t="n">
        <v>1.7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37429-2026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46275</v>
      </c>
      <c r="E295" s="1" t="n">
        <v>46316</v>
      </c>
      <c r="F295" t="inlineStr">
        <is>
          <t>DALARNAS LÄN</t>
        </is>
      </c>
      <c r="G295" t="inlineStr">
        <is>
          <t>SÄTER</t>
        </is>
      </c>
      <c r="I295" t="n">
        <v>4.1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23810-2024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45455</v>
      </c>
      <c r="E296" s="1" t="n">
        <v>46316</v>
      </c>
      <c r="F296" t="inlineStr">
        <is>
          <t>DALARNAS LÄN</t>
        </is>
      </c>
      <c r="G296" t="inlineStr">
        <is>
          <t>SÄTER</t>
        </is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32122-2026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46234</v>
      </c>
      <c r="E297" s="1" t="n">
        <v>46316</v>
      </c>
      <c r="F297" t="inlineStr">
        <is>
          <t>DALARNAS LÄN</t>
        </is>
      </c>
      <c r="G297" t="inlineStr">
        <is>
          <t>SÄTER</t>
        </is>
      </c>
      <c r="I297" t="n">
        <v>0.7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37502-2026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46275</v>
      </c>
      <c r="E298" s="1" t="n">
        <v>46316</v>
      </c>
      <c r="F298" t="inlineStr">
        <is>
          <t>DALARNAS LÄN</t>
        </is>
      </c>
      <c r="G298" t="inlineStr">
        <is>
          <t>SÄTER</t>
        </is>
      </c>
      <c r="I298" t="n">
        <v>0.9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19773-2024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45432</v>
      </c>
      <c r="E299" s="1" t="n">
        <v>46316</v>
      </c>
      <c r="F299" t="inlineStr">
        <is>
          <t>DALARNAS LÄN</t>
        </is>
      </c>
      <c r="G299" t="inlineStr">
        <is>
          <t>SÄTER</t>
        </is>
      </c>
      <c r="I299" t="n">
        <v>0.6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10540-2024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45366</v>
      </c>
      <c r="E300" s="1" t="n">
        <v>46316</v>
      </c>
      <c r="F300" t="inlineStr">
        <is>
          <t>DALARNAS LÄN</t>
        </is>
      </c>
      <c r="G300" t="inlineStr">
        <is>
          <t>SÄTER</t>
        </is>
      </c>
      <c r="I300" t="n">
        <v>0.5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38684-2026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46283</v>
      </c>
      <c r="E301" s="1" t="n">
        <v>46316</v>
      </c>
      <c r="F301" t="inlineStr">
        <is>
          <t>DALARNAS LÄN</t>
        </is>
      </c>
      <c r="G301" t="inlineStr">
        <is>
          <t>SÄTER</t>
        </is>
      </c>
      <c r="H301" t="inlineStr">
        <is>
          <t>Bergvik skog väst AB</t>
        </is>
      </c>
      <c r="I301" t="n">
        <v>0.6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38240-2022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44812</v>
      </c>
      <c r="E302" s="1" t="n">
        <v>46316</v>
      </c>
      <c r="F302" t="inlineStr">
        <is>
          <t>DALARNAS LÄN</t>
        </is>
      </c>
      <c r="G302" t="inlineStr">
        <is>
          <t>SÄTER</t>
        </is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19162-2022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44691</v>
      </c>
      <c r="E303" s="1" t="n">
        <v>46316</v>
      </c>
      <c r="F303" t="inlineStr">
        <is>
          <t>DALARNAS LÄN</t>
        </is>
      </c>
      <c r="G303" t="inlineStr">
        <is>
          <t>SÄTER</t>
        </is>
      </c>
      <c r="I303" t="n">
        <v>1.7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26503-2022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44739</v>
      </c>
      <c r="E304" s="1" t="n">
        <v>46316</v>
      </c>
      <c r="F304" t="inlineStr">
        <is>
          <t>DALARNAS LÄN</t>
        </is>
      </c>
      <c r="G304" t="inlineStr">
        <is>
          <t>SÄTER</t>
        </is>
      </c>
      <c r="I304" t="n">
        <v>1.4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59707-2022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44908</v>
      </c>
      <c r="E305" s="1" t="n">
        <v>46316</v>
      </c>
      <c r="F305" t="inlineStr">
        <is>
          <t>DALARNAS LÄN</t>
        </is>
      </c>
      <c r="G305" t="inlineStr">
        <is>
          <t>SÄTER</t>
        </is>
      </c>
      <c r="I305" t="n">
        <v>4.6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13339-2023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45005</v>
      </c>
      <c r="E306" s="1" t="n">
        <v>46316</v>
      </c>
      <c r="F306" t="inlineStr">
        <is>
          <t>DALARNAS LÄN</t>
        </is>
      </c>
      <c r="G306" t="inlineStr">
        <is>
          <t>SÄTER</t>
        </is>
      </c>
      <c r="I306" t="n">
        <v>8.6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69744-2021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44532</v>
      </c>
      <c r="E307" s="1" t="n">
        <v>46316</v>
      </c>
      <c r="F307" t="inlineStr">
        <is>
          <t>DALARNAS LÄN</t>
        </is>
      </c>
      <c r="G307" t="inlineStr">
        <is>
          <t>SÄTER</t>
        </is>
      </c>
      <c r="H307" t="inlineStr">
        <is>
          <t>Bergvik skog väst AB</t>
        </is>
      </c>
      <c r="I307" t="n">
        <v>1.2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26456-2024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45469</v>
      </c>
      <c r="E308" s="1" t="n">
        <v>46316</v>
      </c>
      <c r="F308" t="inlineStr">
        <is>
          <t>DALARNAS LÄN</t>
        </is>
      </c>
      <c r="G308" t="inlineStr">
        <is>
          <t>SÄTER</t>
        </is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847-2025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45665</v>
      </c>
      <c r="E309" s="1" t="n">
        <v>46316</v>
      </c>
      <c r="F309" t="inlineStr">
        <is>
          <t>DALARNAS LÄN</t>
        </is>
      </c>
      <c r="G309" t="inlineStr">
        <is>
          <t>SÄTER</t>
        </is>
      </c>
      <c r="I309" t="n">
        <v>1.2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5543-2022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44595</v>
      </c>
      <c r="E310" s="1" t="n">
        <v>46316</v>
      </c>
      <c r="F310" t="inlineStr">
        <is>
          <t>DALARNAS LÄN</t>
        </is>
      </c>
      <c r="G310" t="inlineStr">
        <is>
          <t>SÄTER</t>
        </is>
      </c>
      <c r="I310" t="n">
        <v>2.3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39890-2026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46290</v>
      </c>
      <c r="E311" s="1" t="n">
        <v>46316</v>
      </c>
      <c r="F311" t="inlineStr">
        <is>
          <t>DALARNAS LÄN</t>
        </is>
      </c>
      <c r="G311" t="inlineStr">
        <is>
          <t>SÄTER</t>
        </is>
      </c>
      <c r="H311" t="inlineStr">
        <is>
          <t>Bergvik skog väst AB</t>
        </is>
      </c>
      <c r="I311" t="n">
        <v>9.199999999999999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60655-2024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45644</v>
      </c>
      <c r="E312" s="1" t="n">
        <v>46316</v>
      </c>
      <c r="F312" t="inlineStr">
        <is>
          <t>DALARNAS LÄN</t>
        </is>
      </c>
      <c r="G312" t="inlineStr">
        <is>
          <t>SÄTER</t>
        </is>
      </c>
      <c r="I312" t="n">
        <v>1.7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59445-2024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45638</v>
      </c>
      <c r="E313" s="1" t="n">
        <v>46316</v>
      </c>
      <c r="F313" t="inlineStr">
        <is>
          <t>DALARNAS LÄN</t>
        </is>
      </c>
      <c r="G313" t="inlineStr">
        <is>
          <t>SÄTER</t>
        </is>
      </c>
      <c r="I313" t="n">
        <v>0.7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39714-2026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46290</v>
      </c>
      <c r="E314" s="1" t="n">
        <v>46316</v>
      </c>
      <c r="F314" t="inlineStr">
        <is>
          <t>DALARNAS LÄN</t>
        </is>
      </c>
      <c r="G314" t="inlineStr">
        <is>
          <t>SÄTER</t>
        </is>
      </c>
      <c r="H314" t="inlineStr">
        <is>
          <t>Bergvik skog väst AB</t>
        </is>
      </c>
      <c r="I314" t="n">
        <v>0.7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10150-2025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45719</v>
      </c>
      <c r="E315" s="1" t="n">
        <v>46316</v>
      </c>
      <c r="F315" t="inlineStr">
        <is>
          <t>DALARNAS LÄN</t>
        </is>
      </c>
      <c r="G315" t="inlineStr">
        <is>
          <t>SÄTER</t>
        </is>
      </c>
      <c r="H315" t="inlineStr">
        <is>
          <t>Bergvik skog väst AB</t>
        </is>
      </c>
      <c r="I315" t="n">
        <v>0.7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39883-2026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46290</v>
      </c>
      <c r="E316" s="1" t="n">
        <v>46316</v>
      </c>
      <c r="F316" t="inlineStr">
        <is>
          <t>DALARNAS LÄN</t>
        </is>
      </c>
      <c r="G316" t="inlineStr">
        <is>
          <t>SÄTER</t>
        </is>
      </c>
      <c r="H316" t="inlineStr">
        <is>
          <t>Bergvik skog väst AB</t>
        </is>
      </c>
      <c r="I316" t="n">
        <v>2.5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38700-2023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45163</v>
      </c>
      <c r="E317" s="1" t="n">
        <v>46316</v>
      </c>
      <c r="F317" t="inlineStr">
        <is>
          <t>DALARNAS LÄN</t>
        </is>
      </c>
      <c r="G317" t="inlineStr">
        <is>
          <t>SÄTER</t>
        </is>
      </c>
      <c r="I317" t="n">
        <v>2.5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40059-2026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46293</v>
      </c>
      <c r="E318" s="1" t="n">
        <v>46316</v>
      </c>
      <c r="F318" t="inlineStr">
        <is>
          <t>DALARNAS LÄN</t>
        </is>
      </c>
      <c r="G318" t="inlineStr">
        <is>
          <t>SÄTER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28281-2026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46196</v>
      </c>
      <c r="E319" s="1" t="n">
        <v>46316</v>
      </c>
      <c r="F319" t="inlineStr">
        <is>
          <t>DALARNAS LÄN</t>
        </is>
      </c>
      <c r="G319" t="inlineStr">
        <is>
          <t>SÄTER</t>
        </is>
      </c>
      <c r="H319" t="inlineStr">
        <is>
          <t>Sveaskog</t>
        </is>
      </c>
      <c r="I319" t="n">
        <v>19.8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39487-2022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44817</v>
      </c>
      <c r="E320" s="1" t="n">
        <v>46316</v>
      </c>
      <c r="F320" t="inlineStr">
        <is>
          <t>DALARNAS LÄN</t>
        </is>
      </c>
      <c r="G320" t="inlineStr">
        <is>
          <t>SÄTER</t>
        </is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5698-2024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45334</v>
      </c>
      <c r="E321" s="1" t="n">
        <v>46316</v>
      </c>
      <c r="F321" t="inlineStr">
        <is>
          <t>DALARNAS LÄN</t>
        </is>
      </c>
      <c r="G321" t="inlineStr">
        <is>
          <t>SÄTER</t>
        </is>
      </c>
      <c r="H321" t="inlineStr">
        <is>
          <t>Kommuner</t>
        </is>
      </c>
      <c r="I321" t="n">
        <v>3.2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38521-2024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45546</v>
      </c>
      <c r="E322" s="1" t="n">
        <v>46316</v>
      </c>
      <c r="F322" t="inlineStr">
        <is>
          <t>DALARNAS LÄN</t>
        </is>
      </c>
      <c r="G322" t="inlineStr">
        <is>
          <t>SÄTER</t>
        </is>
      </c>
      <c r="I322" t="n">
        <v>3.8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55497-2024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45622</v>
      </c>
      <c r="E323" s="1" t="n">
        <v>46316</v>
      </c>
      <c r="F323" t="inlineStr">
        <is>
          <t>DALARNAS LÄN</t>
        </is>
      </c>
      <c r="G323" t="inlineStr">
        <is>
          <t>SÄTER</t>
        </is>
      </c>
      <c r="I323" t="n">
        <v>0.6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32904-2022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44784</v>
      </c>
      <c r="E324" s="1" t="n">
        <v>46316</v>
      </c>
      <c r="F324" t="inlineStr">
        <is>
          <t>DALARNAS LÄN</t>
        </is>
      </c>
      <c r="G324" t="inlineStr">
        <is>
          <t>SÄTER</t>
        </is>
      </c>
      <c r="H324" t="inlineStr">
        <is>
          <t>Bergvik skog väst AB</t>
        </is>
      </c>
      <c r="I324" t="n">
        <v>0.6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34357-2026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46254</v>
      </c>
      <c r="E325" s="1" t="n">
        <v>46316</v>
      </c>
      <c r="F325" t="inlineStr">
        <is>
          <t>DALARNAS LÄN</t>
        </is>
      </c>
      <c r="G325" t="inlineStr">
        <is>
          <t>SÄTER</t>
        </is>
      </c>
      <c r="I325" t="n">
        <v>0.7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57824-2023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45247</v>
      </c>
      <c r="E326" s="1" t="n">
        <v>46316</v>
      </c>
      <c r="F326" t="inlineStr">
        <is>
          <t>DALARNAS LÄN</t>
        </is>
      </c>
      <c r="G326" t="inlineStr">
        <is>
          <t>SÄTER</t>
        </is>
      </c>
      <c r="I326" t="n">
        <v>2.9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47044-2023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45201</v>
      </c>
      <c r="E327" s="1" t="n">
        <v>46316</v>
      </c>
      <c r="F327" t="inlineStr">
        <is>
          <t>DALARNAS LÄN</t>
        </is>
      </c>
      <c r="G327" t="inlineStr">
        <is>
          <t>SÄTER</t>
        </is>
      </c>
      <c r="I327" t="n">
        <v>2.2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23737-2026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46163</v>
      </c>
      <c r="E328" s="1" t="n">
        <v>46316</v>
      </c>
      <c r="F328" t="inlineStr">
        <is>
          <t>DALARNAS LÄN</t>
        </is>
      </c>
      <c r="G328" t="inlineStr">
        <is>
          <t>SÄTER</t>
        </is>
      </c>
      <c r="H328" t="inlineStr">
        <is>
          <t>Bergvik skog väst AB</t>
        </is>
      </c>
      <c r="I328" t="n">
        <v>6.7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35564-2026</t>
        </is>
      </c>
      <c r="B329" t="inlineStr">
        <is>
          <t>avverkningsanmälan</t>
        </is>
      </c>
      <c r="C329" t="inlineStr">
        <is>
          <t>Avverkning för annat ändamål</t>
        </is>
      </c>
      <c r="D329" s="1" t="n">
        <v>46262</v>
      </c>
      <c r="E329" s="1" t="n">
        <v>46316</v>
      </c>
      <c r="F329" t="inlineStr">
        <is>
          <t>DALARNAS LÄN</t>
        </is>
      </c>
      <c r="G329" t="inlineStr">
        <is>
          <t>SÄTER</t>
        </is>
      </c>
      <c r="I329" t="n">
        <v>0.7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30515-2026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46204</v>
      </c>
      <c r="E330" s="1" t="n">
        <v>46316</v>
      </c>
      <c r="F330" t="inlineStr">
        <is>
          <t>DALARNAS LÄN</t>
        </is>
      </c>
      <c r="G330" t="inlineStr">
        <is>
          <t>SÄTER</t>
        </is>
      </c>
      <c r="I330" t="n">
        <v>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51333-2024</t>
        </is>
      </c>
      <c r="B331" t="inlineStr">
        <is>
          <t>avverkningsanmälan</t>
        </is>
      </c>
      <c r="C331" t="inlineStr">
        <is>
          <t>Avverkning för annat ändamål</t>
        </is>
      </c>
      <c r="D331" s="1" t="n">
        <v>45604</v>
      </c>
      <c r="E331" s="1" t="n">
        <v>46316</v>
      </c>
      <c r="F331" t="inlineStr">
        <is>
          <t>DALARNAS LÄN</t>
        </is>
      </c>
      <c r="G331" t="inlineStr">
        <is>
          <t>SÄTER</t>
        </is>
      </c>
      <c r="I331" t="n">
        <v>0.3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37440-2022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44809</v>
      </c>
      <c r="E332" s="1" t="n">
        <v>46316</v>
      </c>
      <c r="F332" t="inlineStr">
        <is>
          <t>DALARNAS LÄN</t>
        </is>
      </c>
      <c r="G332" t="inlineStr">
        <is>
          <t>SÄTER</t>
        </is>
      </c>
      <c r="I332" t="n">
        <v>0.8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19979-2025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45771</v>
      </c>
      <c r="E333" s="1" t="n">
        <v>46316</v>
      </c>
      <c r="F333" t="inlineStr">
        <is>
          <t>DALARNAS LÄN</t>
        </is>
      </c>
      <c r="G333" t="inlineStr">
        <is>
          <t>SÄTER</t>
        </is>
      </c>
      <c r="I333" t="n">
        <v>1.2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35385-2026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46261</v>
      </c>
      <c r="E334" s="1" t="n">
        <v>46316</v>
      </c>
      <c r="F334" t="inlineStr">
        <is>
          <t>DALARNAS LÄN</t>
        </is>
      </c>
      <c r="G334" t="inlineStr">
        <is>
          <t>SÄTER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41208-2026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46300</v>
      </c>
      <c r="E335" s="1" t="n">
        <v>46316</v>
      </c>
      <c r="F335" t="inlineStr">
        <is>
          <t>DALARNAS LÄN</t>
        </is>
      </c>
      <c r="G335" t="inlineStr">
        <is>
          <t>SÄTER</t>
        </is>
      </c>
      <c r="I335" t="n">
        <v>1.7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32892-2022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44784</v>
      </c>
      <c r="E336" s="1" t="n">
        <v>46316</v>
      </c>
      <c r="F336" t="inlineStr">
        <is>
          <t>DALARNAS LÄN</t>
        </is>
      </c>
      <c r="G336" t="inlineStr">
        <is>
          <t>SÄTER</t>
        </is>
      </c>
      <c r="I336" t="n">
        <v>6.8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34497-2023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45140</v>
      </c>
      <c r="E337" s="1" t="n">
        <v>46316</v>
      </c>
      <c r="F337" t="inlineStr">
        <is>
          <t>DALARNAS LÄN</t>
        </is>
      </c>
      <c r="G337" t="inlineStr">
        <is>
          <t>SÄTER</t>
        </is>
      </c>
      <c r="I337" t="n">
        <v>1.5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23262-2024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45453</v>
      </c>
      <c r="E338" s="1" t="n">
        <v>46316</v>
      </c>
      <c r="F338" t="inlineStr">
        <is>
          <t>DALARNAS LÄN</t>
        </is>
      </c>
      <c r="G338" t="inlineStr">
        <is>
          <t>SÄTER</t>
        </is>
      </c>
      <c r="I338" t="n">
        <v>0.9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37923-2022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44811</v>
      </c>
      <c r="E339" s="1" t="n">
        <v>46316</v>
      </c>
      <c r="F339" t="inlineStr">
        <is>
          <t>DALARNAS LÄN</t>
        </is>
      </c>
      <c r="G339" t="inlineStr">
        <is>
          <t>SÄTER</t>
        </is>
      </c>
      <c r="I339" t="n">
        <v>0.9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16834-2024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45411</v>
      </c>
      <c r="E340" s="1" t="n">
        <v>46316</v>
      </c>
      <c r="F340" t="inlineStr">
        <is>
          <t>DALARNAS LÄN</t>
        </is>
      </c>
      <c r="G340" t="inlineStr">
        <is>
          <t>SÄTER</t>
        </is>
      </c>
      <c r="I340" t="n">
        <v>3.3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39998-2026</t>
        </is>
      </c>
      <c r="B341" t="inlineStr">
        <is>
          <t>avverkningsanmälan</t>
        </is>
      </c>
      <c r="C341" t="inlineStr">
        <is>
          <t>Avverkning för annat ändamål</t>
        </is>
      </c>
      <c r="D341" s="1" t="n">
        <v>46293</v>
      </c>
      <c r="E341" s="1" t="n">
        <v>46316</v>
      </c>
      <c r="F341" t="inlineStr">
        <is>
          <t>DALARNAS LÄN</t>
        </is>
      </c>
      <c r="G341" t="inlineStr">
        <is>
          <t>SÄTER</t>
        </is>
      </c>
      <c r="I341" t="n">
        <v>1.1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34993-2024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45527</v>
      </c>
      <c r="E342" s="1" t="n">
        <v>46316</v>
      </c>
      <c r="F342" t="inlineStr">
        <is>
          <t>DALARNAS LÄN</t>
        </is>
      </c>
      <c r="G342" t="inlineStr">
        <is>
          <t>SÄTER</t>
        </is>
      </c>
      <c r="I342" t="n">
        <v>0.9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21766-2024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45442</v>
      </c>
      <c r="E343" s="1" t="n">
        <v>46316</v>
      </c>
      <c r="F343" t="inlineStr">
        <is>
          <t>DALARNAS LÄN</t>
        </is>
      </c>
      <c r="G343" t="inlineStr">
        <is>
          <t>SÄTER</t>
        </is>
      </c>
      <c r="I343" t="n">
        <v>0.7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43239-2026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46314</v>
      </c>
      <c r="E344" s="1" t="n">
        <v>46316</v>
      </c>
      <c r="F344" t="inlineStr">
        <is>
          <t>DALARNAS LÄN</t>
        </is>
      </c>
      <c r="G344" t="inlineStr">
        <is>
          <t>SÄTER</t>
        </is>
      </c>
      <c r="I344" t="n">
        <v>2.2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12957-2022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44643</v>
      </c>
      <c r="E345" s="1" t="n">
        <v>46316</v>
      </c>
      <c r="F345" t="inlineStr">
        <is>
          <t>DALARNAS LÄN</t>
        </is>
      </c>
      <c r="G345" t="inlineStr">
        <is>
          <t>SÄTER</t>
        </is>
      </c>
      <c r="I345" t="n">
        <v>8.1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56827-2024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45628</v>
      </c>
      <c r="E346" s="1" t="n">
        <v>46316</v>
      </c>
      <c r="F346" t="inlineStr">
        <is>
          <t>DALARNAS LÄN</t>
        </is>
      </c>
      <c r="G346" t="inlineStr">
        <is>
          <t>SÄTER</t>
        </is>
      </c>
      <c r="I346" t="n">
        <v>1.7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54312-2023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45232</v>
      </c>
      <c r="E347" s="1" t="n">
        <v>46316</v>
      </c>
      <c r="F347" t="inlineStr">
        <is>
          <t>DALARNAS LÄN</t>
        </is>
      </c>
      <c r="G347" t="inlineStr">
        <is>
          <t>SÄTER</t>
        </is>
      </c>
      <c r="I347" t="n">
        <v>2.7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4216-2023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44953</v>
      </c>
      <c r="E348" s="1" t="n">
        <v>46316</v>
      </c>
      <c r="F348" t="inlineStr">
        <is>
          <t>DALARNAS LÄN</t>
        </is>
      </c>
      <c r="G348" t="inlineStr">
        <is>
          <t>SÄTER</t>
        </is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5981-2023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44964</v>
      </c>
      <c r="E349" s="1" t="n">
        <v>46316</v>
      </c>
      <c r="F349" t="inlineStr">
        <is>
          <t>DALARNAS LÄN</t>
        </is>
      </c>
      <c r="G349" t="inlineStr">
        <is>
          <t>SÄTER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33872-2024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45520</v>
      </c>
      <c r="E350" s="1" t="n">
        <v>46316</v>
      </c>
      <c r="F350" t="inlineStr">
        <is>
          <t>DALARNAS LÄN</t>
        </is>
      </c>
      <c r="G350" t="inlineStr">
        <is>
          <t>SÄTER</t>
        </is>
      </c>
      <c r="I350" t="n">
        <v>1.1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42998-2023</t>
        </is>
      </c>
      <c r="B351" t="inlineStr">
        <is>
          <t>avverkningsanmälan</t>
        </is>
      </c>
      <c r="C351" t="inlineStr">
        <is>
          <t>Avverkning för annat ändamål</t>
        </is>
      </c>
      <c r="D351" s="1" t="n">
        <v>45182</v>
      </c>
      <c r="E351" s="1" t="n">
        <v>46316</v>
      </c>
      <c r="F351" t="inlineStr">
        <is>
          <t>DALARNAS LÄN</t>
        </is>
      </c>
      <c r="G351" t="inlineStr">
        <is>
          <t>SÄTER</t>
        </is>
      </c>
      <c r="I351" t="n">
        <v>2.1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51847-2024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45604</v>
      </c>
      <c r="E352" s="1" t="n">
        <v>46316</v>
      </c>
      <c r="F352" t="inlineStr">
        <is>
          <t>DALARNAS LÄN</t>
        </is>
      </c>
      <c r="G352" t="inlineStr">
        <is>
          <t>SÄTER</t>
        </is>
      </c>
      <c r="H352" t="inlineStr">
        <is>
          <t>Bergvik skog väst AB</t>
        </is>
      </c>
      <c r="I352" t="n">
        <v>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54310-2023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45232</v>
      </c>
      <c r="E353" s="1" t="n">
        <v>46316</v>
      </c>
      <c r="F353" t="inlineStr">
        <is>
          <t>DALARNAS LÄN</t>
        </is>
      </c>
      <c r="G353" t="inlineStr">
        <is>
          <t>SÄTER</t>
        </is>
      </c>
      <c r="I353" t="n">
        <v>1.9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33473-2022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44788</v>
      </c>
      <c r="E354" s="1" t="n">
        <v>46316</v>
      </c>
      <c r="F354" t="inlineStr">
        <is>
          <t>DALARNAS LÄN</t>
        </is>
      </c>
      <c r="G354" t="inlineStr">
        <is>
          <t>SÄTER</t>
        </is>
      </c>
      <c r="I354" t="n">
        <v>1.8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28549-2022</t>
        </is>
      </c>
      <c r="B355" t="inlineStr">
        <is>
          <t>avverkningsanmälan</t>
        </is>
      </c>
      <c r="C355" t="inlineStr">
        <is>
          <t>Avverkning för annat ändamål</t>
        </is>
      </c>
      <c r="D355" s="1" t="n">
        <v>44748</v>
      </c>
      <c r="E355" s="1" t="n">
        <v>46316</v>
      </c>
      <c r="F355" t="inlineStr">
        <is>
          <t>DALARNAS LÄN</t>
        </is>
      </c>
      <c r="G355" t="inlineStr">
        <is>
          <t>SÄTER</t>
        </is>
      </c>
      <c r="H355" t="inlineStr">
        <is>
          <t>Bergvik skog väst AB</t>
        </is>
      </c>
      <c r="I355" t="n">
        <v>2.1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41471-2023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45171</v>
      </c>
      <c r="E356" s="1" t="n">
        <v>46316</v>
      </c>
      <c r="F356" t="inlineStr">
        <is>
          <t>DALARNAS LÄN</t>
        </is>
      </c>
      <c r="G356" t="inlineStr">
        <is>
          <t>SÄTER</t>
        </is>
      </c>
      <c r="H356" t="inlineStr">
        <is>
          <t>Bergvik skog väst AB</t>
        </is>
      </c>
      <c r="I356" t="n">
        <v>5.6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21583-2025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45783</v>
      </c>
      <c r="E357" s="1" t="n">
        <v>46316</v>
      </c>
      <c r="F357" t="inlineStr">
        <is>
          <t>DALARNAS LÄN</t>
        </is>
      </c>
      <c r="G357" t="inlineStr">
        <is>
          <t>SÄTER</t>
        </is>
      </c>
      <c r="I357" t="n">
        <v>0.9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49684-2024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45596</v>
      </c>
      <c r="E358" s="1" t="n">
        <v>46316</v>
      </c>
      <c r="F358" t="inlineStr">
        <is>
          <t>DALARNAS LÄN</t>
        </is>
      </c>
      <c r="G358" t="inlineStr">
        <is>
          <t>SÄTER</t>
        </is>
      </c>
      <c r="I358" t="n">
        <v>2.2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19322-2024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45428</v>
      </c>
      <c r="E359" s="1" t="n">
        <v>46316</v>
      </c>
      <c r="F359" t="inlineStr">
        <is>
          <t>DALARNAS LÄN</t>
        </is>
      </c>
      <c r="G359" t="inlineStr">
        <is>
          <t>SÄTER</t>
        </is>
      </c>
      <c r="I359" t="n">
        <v>2.2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19767-2024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45432</v>
      </c>
      <c r="E360" s="1" t="n">
        <v>46316</v>
      </c>
      <c r="F360" t="inlineStr">
        <is>
          <t>DALARNAS LÄN</t>
        </is>
      </c>
      <c r="G360" t="inlineStr">
        <is>
          <t>SÄTER</t>
        </is>
      </c>
      <c r="I360" t="n">
        <v>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S 2585-2020</t>
        </is>
      </c>
      <c r="B361" t="inlineStr">
        <is>
          <t>samrådsanmälan</t>
        </is>
      </c>
      <c r="C361" t="n">
        <v/>
      </c>
      <c r="D361" s="1" t="n">
        <v>44155</v>
      </c>
      <c r="E361" s="1" t="n">
        <v>46316</v>
      </c>
      <c r="F361" t="inlineStr">
        <is>
          <t>DALARNAS LÄN</t>
        </is>
      </c>
      <c r="G361" t="inlineStr">
        <is>
          <t>SÄTER</t>
        </is>
      </c>
      <c r="H361" t="inlineStr">
        <is>
          <t>Bergvik skog väst AB</t>
        </is>
      </c>
      <c r="I361" t="n">
        <v>3.2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S 1868-2020</t>
        </is>
      </c>
      <c r="B362" t="inlineStr">
        <is>
          <t>samrådsanmälan</t>
        </is>
      </c>
      <c r="C362" t="inlineStr">
        <is>
          <t>Askåterföring</t>
        </is>
      </c>
      <c r="D362" s="1" t="n">
        <v>44071</v>
      </c>
      <c r="E362" s="1" t="n">
        <v>46316</v>
      </c>
      <c r="F362" t="inlineStr">
        <is>
          <t>DALARNAS LÄN</t>
        </is>
      </c>
      <c r="G362" t="inlineStr">
        <is>
          <t>SÄTER</t>
        </is>
      </c>
      <c r="I362" t="n">
        <v>29.2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S 3057-2023</t>
        </is>
      </c>
      <c r="B363" t="inlineStr">
        <is>
          <t>samrådsanmälan</t>
        </is>
      </c>
      <c r="C363" t="inlineStr">
        <is>
          <t>Annan skogsbruksåtgärd</t>
        </is>
      </c>
      <c r="D363" s="1" t="n">
        <v>45182</v>
      </c>
      <c r="E363" s="1" t="n">
        <v>46316</v>
      </c>
      <c r="F363" t="inlineStr">
        <is>
          <t>DALARNAS LÄN</t>
        </is>
      </c>
      <c r="G363" t="inlineStr">
        <is>
          <t>SÄTER</t>
        </is>
      </c>
      <c r="I363" t="n">
        <v>1.1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S 405-2022</t>
        </is>
      </c>
      <c r="B364" t="inlineStr">
        <is>
          <t>samrådsanmälan</t>
        </is>
      </c>
      <c r="C364" t="inlineStr">
        <is>
          <t>Skogsgödsling</t>
        </is>
      </c>
      <c r="D364" s="1" t="n">
        <v>44585</v>
      </c>
      <c r="E364" s="1" t="n">
        <v>46316</v>
      </c>
      <c r="F364" t="inlineStr">
        <is>
          <t>DALARNAS LÄN</t>
        </is>
      </c>
      <c r="G364" t="inlineStr">
        <is>
          <t>SÄTER</t>
        </is>
      </c>
      <c r="H364" t="inlineStr">
        <is>
          <t>Bergvik skog väst AB</t>
        </is>
      </c>
      <c r="I364" t="n">
        <v>79.09999999999999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S 1098-2024</t>
        </is>
      </c>
      <c r="B365" t="inlineStr">
        <is>
          <t>samrådsanmälan</t>
        </is>
      </c>
      <c r="C365" t="inlineStr">
        <is>
          <t>Skogsgödsling</t>
        </is>
      </c>
      <c r="D365" s="1" t="n">
        <v>45391</v>
      </c>
      <c r="E365" s="1" t="n">
        <v>46316</v>
      </c>
      <c r="F365" t="inlineStr">
        <is>
          <t>DALARNAS LÄN</t>
        </is>
      </c>
      <c r="G365" t="inlineStr">
        <is>
          <t>SÄTER</t>
        </is>
      </c>
      <c r="H365" t="inlineStr">
        <is>
          <t>Bergvik skog väst AB</t>
        </is>
      </c>
      <c r="I365" t="n">
        <v>189.2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S 705-2025</t>
        </is>
      </c>
      <c r="B366" t="inlineStr">
        <is>
          <t>samrådsanmälan</t>
        </is>
      </c>
      <c r="C366" t="inlineStr">
        <is>
          <t>Skogsgödsling</t>
        </is>
      </c>
      <c r="D366" s="1" t="n">
        <v>45720</v>
      </c>
      <c r="E366" s="1" t="n">
        <v>46316</v>
      </c>
      <c r="F366" t="inlineStr">
        <is>
          <t>DALARNAS LÄN</t>
        </is>
      </c>
      <c r="G366" t="inlineStr">
        <is>
          <t>SÄTER</t>
        </is>
      </c>
      <c r="H366" t="inlineStr">
        <is>
          <t>Bergvik skog väst AB</t>
        </is>
      </c>
      <c r="I366" t="n">
        <v>21.7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S 2939-2025</t>
        </is>
      </c>
      <c r="B367" t="inlineStr">
        <is>
          <t>samrådsanmälan</t>
        </is>
      </c>
      <c r="C367" t="inlineStr">
        <is>
          <t>Annan skogsbruksåtgärd</t>
        </is>
      </c>
      <c r="D367" s="1" t="n">
        <v>45951</v>
      </c>
      <c r="E367" s="1" t="n">
        <v>46316</v>
      </c>
      <c r="F367" t="inlineStr">
        <is>
          <t>DALARNAS LÄN</t>
        </is>
      </c>
      <c r="G367" t="inlineStr">
        <is>
          <t>SÄTER</t>
        </is>
      </c>
      <c r="H367" t="inlineStr">
        <is>
          <t>Bergvik skog väst AB</t>
        </is>
      </c>
      <c r="I367" t="n">
        <v>2.3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S 2964-2025</t>
        </is>
      </c>
      <c r="B368" t="inlineStr">
        <is>
          <t>samrådsanmälan</t>
        </is>
      </c>
      <c r="C368" t="inlineStr">
        <is>
          <t>Annan skogsbruksåtgärd</t>
        </is>
      </c>
      <c r="D368" s="1" t="n">
        <v>45952</v>
      </c>
      <c r="E368" s="1" t="n">
        <v>46316</v>
      </c>
      <c r="F368" t="inlineStr">
        <is>
          <t>DALARNAS LÄN</t>
        </is>
      </c>
      <c r="G368" t="inlineStr">
        <is>
          <t>SÄTER</t>
        </is>
      </c>
      <c r="H368" t="inlineStr">
        <is>
          <t>Bergvik skog väst AB</t>
        </is>
      </c>
      <c r="I368" t="n">
        <v>1.9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>
      <c r="A369" t="inlineStr">
        <is>
          <t>S 611-2026</t>
        </is>
      </c>
      <c r="B369" t="inlineStr">
        <is>
          <t>samrådsanmälan</t>
        </is>
      </c>
      <c r="C369" t="inlineStr">
        <is>
          <t>Skogsgödsling</t>
        </is>
      </c>
      <c r="D369" s="1" t="n">
        <v>46085</v>
      </c>
      <c r="E369" s="1" t="n">
        <v>46316</v>
      </c>
      <c r="F369" t="inlineStr">
        <is>
          <t>DALARNAS LÄN</t>
        </is>
      </c>
      <c r="G369" t="inlineStr">
        <is>
          <t>SÄTER</t>
        </is>
      </c>
      <c r="H369" t="inlineStr">
        <is>
          <t>Bergvik skog väst AB</t>
        </is>
      </c>
      <c r="I369" t="n">
        <v>44.7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2026-10-21T02:03:11Z</dcterms:created>
  <dcterms:modified xmlns:dcterms="http://purl.org/dc/terms/" xmlns:xsi="http://www.w3.org/2001/XMLSchema-instance" xsi:type="dcterms:W3CDTF">2026-10-21T02:03:11Z</dcterms:modified>
</cp:coreProperties>
</file>