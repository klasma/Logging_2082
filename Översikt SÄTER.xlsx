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46288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46288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46288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46288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46288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46288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46288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46288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46288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46288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46288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46288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46288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46288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46288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46288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46288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46288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46288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46288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46288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46288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46288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46288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46288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46288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21111-2026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46288</v>
      </c>
      <c r="F32" t="inlineStr">
        <is>
          <t>DALARNAS LÄN</t>
        </is>
      </c>
      <c r="G32" t="inlineStr">
        <is>
          <t>SÄTER</t>
        </is>
      </c>
      <c r="I32" t="n">
        <v>4.6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Fjällig taggsvamp s.str.</t>
        </is>
      </c>
      <c r="W32">
        <f>HYPERLINK("https://klasma.github.io/Logging_2082/artfynd/A 21111-2026 artfynd.xlsx", "A 21111-2026")</f>
        <v/>
      </c>
      <c r="X32">
        <f>HYPERLINK("https://klasma.github.io/Logging_2082/kartor/A 21111-2026 karta.png", "A 21111-2026")</f>
        <v/>
      </c>
      <c r="Y32">
        <f>HYPERLINK("https://klasma.github.io/Logging_2082/kartor_geotiff/A 21111-2026 georefererad karta.tif", "A 21111-2026")</f>
        <v/>
      </c>
      <c r="AA32">
        <f>HYPERLINK("https://klasma.github.io/Logging_2082/klagomål/A 21111-2026 FSC-klagomål.docx", "A 21111-2026")</f>
        <v/>
      </c>
      <c r="AB32">
        <f>HYPERLINK("https://klasma.github.io/Logging_2082/klagomålsmail/A 21111-2026 FSC-klagomål mail.docx", "A 21111-2026")</f>
        <v/>
      </c>
      <c r="AC32">
        <f>HYPERLINK("https://klasma.github.io/Logging_2082/tillsyn/A 21111-2026 tillsynsbegäran.docx", "A 21111-2026")</f>
        <v/>
      </c>
      <c r="AD32">
        <f>HYPERLINK("https://klasma.github.io/Logging_2082/tillsynsmail/A 21111-2026 tillsynsbegäran mail.docx", "A 21111-2026")</f>
        <v/>
      </c>
    </row>
    <row r="33" ht="15" customHeight="1">
      <c r="A33" t="inlineStr">
        <is>
          <t>A 21120-2026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46288</v>
      </c>
      <c r="F33" t="inlineStr">
        <is>
          <t>DALARNAS LÄN</t>
        </is>
      </c>
      <c r="G33" t="inlineStr">
        <is>
          <t>SÄTER</t>
        </is>
      </c>
      <c r="I33" t="n">
        <v>4.8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HYPERLINK("https://klasma.github.io/Logging_2082/artfynd/A 21120-2026 artfynd.xlsx", "A 21120-2026")</f>
        <v/>
      </c>
      <c r="X33">
        <f>HYPERLINK("https://klasma.github.io/Logging_2082/kartor/A 21120-2026 karta.png", "A 21120-2026")</f>
        <v/>
      </c>
      <c r="Y33">
        <f>HYPERLINK("https://klasma.github.io/Logging_2082/kartor_geotiff/A 21120-2026 georefererad karta.tif", "A 21120-2026")</f>
        <v/>
      </c>
      <c r="Z33">
        <f>HYPERLINK("https://klasma.github.io/Logging_2082/knärot/A 21120-2026 karta knärot.png", "A 21120-2026")</f>
        <v/>
      </c>
      <c r="AA33">
        <f>HYPERLINK("https://klasma.github.io/Logging_2082/klagomål/A 21120-2026 FSC-klagomål.docx", "A 21120-2026")</f>
        <v/>
      </c>
      <c r="AB33">
        <f>HYPERLINK("https://klasma.github.io/Logging_2082/klagomålsmail/A 21120-2026 FSC-klagomål mail.docx", "A 21120-2026")</f>
        <v/>
      </c>
      <c r="AC33">
        <f>HYPERLINK("https://klasma.github.io/Logging_2082/tillsyn/A 21120-2026 tillsynsbegäran.docx", "A 21120-2026")</f>
        <v/>
      </c>
      <c r="AD33">
        <f>HYPERLINK("https://klasma.github.io/Logging_2082/tillsynsmail/A 21120-2026 tillsynsbegäran mail.docx", "A 21120-2026")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46288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46288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68448-2021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46288</v>
      </c>
      <c r="F36" t="inlineStr">
        <is>
          <t>DALARNAS LÄN</t>
        </is>
      </c>
      <c r="G36" t="inlineStr">
        <is>
          <t>SÄTER</t>
        </is>
      </c>
      <c r="I36" t="n">
        <v>1.4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HYPERLINK("https://klasma.github.io/Logging_2082/artfynd/A 68448-2021 artfynd.xlsx", "A 68448-2021")</f>
        <v/>
      </c>
      <c r="X36">
        <f>HYPERLINK("https://klasma.github.io/Logging_2082/kartor/A 68448-2021 karta.png", "A 68448-2021")</f>
        <v/>
      </c>
      <c r="Y36">
        <f>HYPERLINK("https://klasma.github.io/Logging_2082/kartor_geotiff/A 68448-2021 georefererad karta.tif", "A 68448-2021")</f>
        <v/>
      </c>
      <c r="Z36">
        <f>HYPERLINK("https://klasma.github.io/Logging_2082/knärot/A 68448-2021 karta knärot.png", "A 68448-2021")</f>
        <v/>
      </c>
      <c r="AA36">
        <f>HYPERLINK("https://klasma.github.io/Logging_2082/klagomål/A 68448-2021 FSC-klagomål.docx", "A 68448-2021")</f>
        <v/>
      </c>
      <c r="AB36">
        <f>HYPERLINK("https://klasma.github.io/Logging_2082/klagomålsmail/A 68448-2021 FSC-klagomål mail.docx", "A 68448-2021")</f>
        <v/>
      </c>
      <c r="AC36">
        <f>HYPERLINK("https://klasma.github.io/Logging_2082/tillsyn/A 68448-2021 tillsynsbegäran.docx", "A 68448-2021")</f>
        <v/>
      </c>
      <c r="AD36">
        <f>HYPERLINK("https://klasma.github.io/Logging_2082/tillsynsmail/A 68448-2021 tillsynsbegäran mail.docx", "A 68448-2021")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46288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46288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46288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46288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33605-2022 artfynd.xlsx", "A 33605-2022")</f>
        <v/>
      </c>
      <c r="X40">
        <f>HYPERLINK("https://klasma.github.io/Logging_2082/kartor/A 33605-2022 karta.png", "A 33605-2022")</f>
        <v/>
      </c>
      <c r="Y40">
        <f>HYPERLINK("https://klasma.github.io/Logging_2082/kartor_geotiff/A 33605-2022 georefererad karta.tif", "A 33605-2022")</f>
        <v/>
      </c>
      <c r="AA40">
        <f>HYPERLINK("https://klasma.github.io/Logging_2082/klagomål/A 33605-2022 FSC-klagomål.docx", "A 33605-2022")</f>
        <v/>
      </c>
      <c r="AB40">
        <f>HYPERLINK("https://klasma.github.io/Logging_2082/klagomålsmail/A 33605-2022 FSC-klagomål mail.docx", "A 33605-2022")</f>
        <v/>
      </c>
      <c r="AC40">
        <f>HYPERLINK("https://klasma.github.io/Logging_2082/tillsyn/A 33605-2022 tillsynsbegäran.docx", "A 33605-2022")</f>
        <v/>
      </c>
      <c r="AD40">
        <f>HYPERLINK("https://klasma.github.io/Logging_2082/tillsynsmail/A 33605-2022 tillsynsbegäran mail.docx", "A 33605-2022")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46288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5232-2022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44594</v>
      </c>
      <c r="E42" s="1" t="n">
        <v>46288</v>
      </c>
      <c r="F42" t="inlineStr">
        <is>
          <t>DALARNAS LÄN</t>
        </is>
      </c>
      <c r="G42" t="inlineStr">
        <is>
          <t>SÄTER</t>
        </is>
      </c>
      <c r="I42" t="n">
        <v>2.5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Tvåblad</t>
        </is>
      </c>
      <c r="W42">
        <f>HYPERLINK("https://klasma.github.io/Logging_2082/artfynd/A 5232-2022 artfynd.xlsx", "A 5232-2022")</f>
        <v/>
      </c>
      <c r="X42">
        <f>HYPERLINK("https://klasma.github.io/Logging_2082/kartor/A 5232-2022 karta.png", "A 5232-2022")</f>
        <v/>
      </c>
      <c r="Y42">
        <f>HYPERLINK("https://klasma.github.io/Logging_2082/kartor_geotiff/A 5232-2022 georefererad karta.tif", "A 5232-2022")</f>
        <v/>
      </c>
      <c r="AA42">
        <f>HYPERLINK("https://klasma.github.io/Logging_2082/klagomål/A 5232-2022 FSC-klagomål.docx", "A 5232-2022")</f>
        <v/>
      </c>
      <c r="AB42">
        <f>HYPERLINK("https://klasma.github.io/Logging_2082/klagomålsmail/A 5232-2022 FSC-klagomål mail.docx", "A 5232-2022")</f>
        <v/>
      </c>
      <c r="AC42">
        <f>HYPERLINK("https://klasma.github.io/Logging_2082/tillsyn/A 5232-2022 tillsynsbegäran.docx", "A 5232-2022")</f>
        <v/>
      </c>
      <c r="AD42">
        <f>HYPERLINK("https://klasma.github.io/Logging_2082/tillsynsmail/A 5232-2022 tillsynsbegäran mail.docx", "A 5232-2022")</f>
        <v/>
      </c>
    </row>
    <row r="43" ht="15" customHeight="1">
      <c r="A43" t="inlineStr">
        <is>
          <t>A 37896-2026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46288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Gräddticka</t>
        </is>
      </c>
      <c r="W43">
        <f>HYPERLINK("https://klasma.github.io/Logging_2082/artfynd/A 37896-2026 artfynd.xlsx", "A 37896-2026")</f>
        <v/>
      </c>
      <c r="X43">
        <f>HYPERLINK("https://klasma.github.io/Logging_2082/kartor/A 37896-2026 karta.png", "A 37896-2026")</f>
        <v/>
      </c>
      <c r="Y43">
        <f>HYPERLINK("https://klasma.github.io/Logging_2082/kartor_geotiff/A 37896-2026 georefererad karta.tif", "A 37896-2026")</f>
        <v/>
      </c>
      <c r="AA43">
        <f>HYPERLINK("https://klasma.github.io/Logging_2082/klagomål/A 37896-2026 FSC-klagomål.docx", "A 37896-2026")</f>
        <v/>
      </c>
      <c r="AB43">
        <f>HYPERLINK("https://klasma.github.io/Logging_2082/klagomålsmail/A 37896-2026 FSC-klagomål mail.docx", "A 37896-2026")</f>
        <v/>
      </c>
      <c r="AC43">
        <f>HYPERLINK("https://klasma.github.io/Logging_2082/tillsyn/A 37896-2026 tillsynsbegäran.docx", "A 37896-2026")</f>
        <v/>
      </c>
      <c r="AD43">
        <f>HYPERLINK("https://klasma.github.io/Logging_2082/tillsynsmail/A 37896-2026 tillsynsbegäran mail.docx", "A 37896-2026")</f>
        <v/>
      </c>
    </row>
    <row r="44" ht="15" customHeight="1">
      <c r="A44" t="inlineStr">
        <is>
          <t>A 38692-2026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46288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15.5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HYPERLINK("https://klasma.github.io/Logging_2082/artfynd/A 38692-2026 artfynd.xlsx", "A 38692-2026")</f>
        <v/>
      </c>
      <c r="X44">
        <f>HYPERLINK("https://klasma.github.io/Logging_2082/kartor/A 38692-2026 karta.png", "A 38692-2026")</f>
        <v/>
      </c>
      <c r="Y44">
        <f>HYPERLINK("https://klasma.github.io/Logging_2082/kartor_geotiff/A 38692-2026 georefererad karta.tif", "A 38692-2026")</f>
        <v/>
      </c>
      <c r="AA44">
        <f>HYPERLINK("https://klasma.github.io/Logging_2082/klagomål/A 38692-2026 FSC-klagomål.docx", "A 38692-2026")</f>
        <v/>
      </c>
      <c r="AB44">
        <f>HYPERLINK("https://klasma.github.io/Logging_2082/klagomålsmail/A 38692-2026 FSC-klagomål mail.docx", "A 38692-2026")</f>
        <v/>
      </c>
      <c r="AC44">
        <f>HYPERLINK("https://klasma.github.io/Logging_2082/tillsyn/A 38692-2026 tillsynsbegäran.docx", "A 38692-2026")</f>
        <v/>
      </c>
      <c r="AD44">
        <f>HYPERLINK("https://klasma.github.io/Logging_2082/tillsynsmail/A 38692-2026 tillsynsbegäran mail.docx", "A 38692-2026")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46288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46288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46288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46288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46288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45935-2022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46288</v>
      </c>
      <c r="F50" t="inlineStr">
        <is>
          <t>DALARNAS LÄN</t>
        </is>
      </c>
      <c r="G50" t="inlineStr">
        <is>
          <t>SÄTER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46288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46288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46288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46288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46288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46288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46288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46288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46288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46288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46288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46288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46288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46288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46288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46288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46288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46288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46288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46288</v>
      </c>
      <c r="F70" t="inlineStr">
        <is>
          <t>DALARNAS LÄN</t>
        </is>
      </c>
      <c r="G70" t="inlineStr">
        <is>
          <t>SÄTER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46288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46288</v>
      </c>
      <c r="F72" t="inlineStr">
        <is>
          <t>DALARNAS LÄN</t>
        </is>
      </c>
      <c r="G72" t="inlineStr">
        <is>
          <t>SÄTER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46288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46288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46288</v>
      </c>
      <c r="F75" t="inlineStr">
        <is>
          <t>DALARNAS LÄN</t>
        </is>
      </c>
      <c r="G75" t="inlineStr">
        <is>
          <t>SÄTER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44581</v>
      </c>
      <c r="E76" s="1" t="n">
        <v>46288</v>
      </c>
      <c r="F76" t="inlineStr">
        <is>
          <t>DALARNAS LÄN</t>
        </is>
      </c>
      <c r="G76" t="inlineStr">
        <is>
          <t>SÄTER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46288</v>
      </c>
      <c r="F77" t="inlineStr">
        <is>
          <t>DALARNAS LÄN</t>
        </is>
      </c>
      <c r="G77" t="inlineStr">
        <is>
          <t>SÄTER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45664</v>
      </c>
      <c r="E78" s="1" t="n">
        <v>46288</v>
      </c>
      <c r="F78" t="inlineStr">
        <is>
          <t>DALARNAS LÄN</t>
        </is>
      </c>
      <c r="G78" t="inlineStr">
        <is>
          <t>SÄTER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  <c r="Z78">
        <f>HYPERLINK("https://klasma.github.io/Logging_2082/knärot/A 498-2025 karta knärot.png", "A 498-2025")</f>
        <v/>
      </c>
      <c r="AA78">
        <f>HYPERLINK("https://klasma.github.io/Logging_2082/klagomål/A 498-2025 FSC-klagomål.docx", "A 498-2025")</f>
        <v/>
      </c>
      <c r="AB78">
        <f>HYPERLINK("https://klasma.github.io/Logging_2082/klagomålsmail/A 498-2025 FSC-klagomål mail.docx", "A 498-2025")</f>
        <v/>
      </c>
      <c r="AC78">
        <f>HYPERLINK("https://klasma.github.io/Logging_2082/tillsyn/A 498-2025 tillsynsbegäran.docx", "A 498-2025")</f>
        <v/>
      </c>
      <c r="AD78">
        <f>HYPERLINK("https://klasma.github.io/Logging_2082/tillsynsmail/A 498-2025 tillsynsbegäran mail.docx", "A 498-2025")</f>
        <v/>
      </c>
    </row>
    <row r="79" ht="15" customHeight="1">
      <c r="A79" t="inlineStr">
        <is>
          <t>A 8697-2023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44978</v>
      </c>
      <c r="E79" s="1" t="n">
        <v>46288</v>
      </c>
      <c r="F79" t="inlineStr">
        <is>
          <t>DALARNAS LÄN</t>
        </is>
      </c>
      <c r="G79" t="inlineStr">
        <is>
          <t>SÄTER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45561</v>
      </c>
      <c r="E80" s="1" t="n">
        <v>46288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46288</v>
      </c>
      <c r="F81" t="inlineStr">
        <is>
          <t>DALARNAS LÄN</t>
        </is>
      </c>
      <c r="G81" t="inlineStr">
        <is>
          <t>SÄTER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46288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45636</v>
      </c>
      <c r="E83" s="1" t="n">
        <v>46288</v>
      </c>
      <c r="F83" t="inlineStr">
        <is>
          <t>DALARNAS LÄN</t>
        </is>
      </c>
      <c r="G83" t="inlineStr">
        <is>
          <t>SÄTER</t>
        </is>
      </c>
      <c r="I83" t="n">
        <v>10.9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46288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44956</v>
      </c>
      <c r="E85" s="1" t="n">
        <v>46288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44924</v>
      </c>
      <c r="E86" s="1" t="n">
        <v>46288</v>
      </c>
      <c r="F86" t="inlineStr">
        <is>
          <t>DALARNAS LÄN</t>
        </is>
      </c>
      <c r="G86" t="inlineStr">
        <is>
          <t>SÄTER</t>
        </is>
      </c>
      <c r="H86" t="inlineStr">
        <is>
          <t>Kommuner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46288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45604</v>
      </c>
      <c r="E88" s="1" t="n">
        <v>46288</v>
      </c>
      <c r="F88" t="inlineStr">
        <is>
          <t>DALARNAS LÄN</t>
        </is>
      </c>
      <c r="G88" t="inlineStr">
        <is>
          <t>SÄTER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51339-2024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45604</v>
      </c>
      <c r="E89" s="1" t="n">
        <v>46288</v>
      </c>
      <c r="F89" t="inlineStr">
        <is>
          <t>DALARNAS LÄN</t>
        </is>
      </c>
      <c r="G89" t="inlineStr">
        <is>
          <t>SÄTER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46288</v>
      </c>
      <c r="F90" t="inlineStr">
        <is>
          <t>DALARNAS LÄN</t>
        </is>
      </c>
      <c r="G90" t="inlineStr">
        <is>
          <t>SÄTER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46288</v>
      </c>
      <c r="F91" t="inlineStr">
        <is>
          <t>DALARNAS LÄN</t>
        </is>
      </c>
      <c r="G91" t="inlineStr">
        <is>
          <t>SÄTER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46288</v>
      </c>
      <c r="F92" t="inlineStr">
        <is>
          <t>DALARNAS LÄN</t>
        </is>
      </c>
      <c r="G92" t="inlineStr">
        <is>
          <t>SÄTER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46288</v>
      </c>
      <c r="F93" t="inlineStr">
        <is>
          <t>DALARNAS LÄN</t>
        </is>
      </c>
      <c r="G93" t="inlineStr">
        <is>
          <t>SÄTER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46288</v>
      </c>
      <c r="F94" t="inlineStr">
        <is>
          <t>DALARNAS LÄN</t>
        </is>
      </c>
      <c r="G94" t="inlineStr">
        <is>
          <t>SÄTER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46288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46288</v>
      </c>
      <c r="F96" t="inlineStr">
        <is>
          <t>DALARNAS LÄN</t>
        </is>
      </c>
      <c r="G96" t="inlineStr">
        <is>
          <t>SÄTER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44727</v>
      </c>
      <c r="E97" s="1" t="n">
        <v>46288</v>
      </c>
      <c r="F97" t="inlineStr">
        <is>
          <t>DALARNAS LÄN</t>
        </is>
      </c>
      <c r="G97" t="inlineStr">
        <is>
          <t>SÄTER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46288</v>
      </c>
      <c r="F98" t="inlineStr">
        <is>
          <t>DALARNAS LÄN</t>
        </is>
      </c>
      <c r="G98" t="inlineStr">
        <is>
          <t>SÄTER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46288</v>
      </c>
      <c r="F99" t="inlineStr">
        <is>
          <t>DALARNAS LÄN</t>
        </is>
      </c>
      <c r="G99" t="inlineStr">
        <is>
          <t>SÄTER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46288</v>
      </c>
      <c r="F100" t="inlineStr">
        <is>
          <t>DALARNAS LÄN</t>
        </is>
      </c>
      <c r="G100" t="inlineStr">
        <is>
          <t>SÄTER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45875</v>
      </c>
      <c r="E101" s="1" t="n">
        <v>46288</v>
      </c>
      <c r="F101" t="inlineStr">
        <is>
          <t>DALARNAS LÄN</t>
        </is>
      </c>
      <c r="G101" t="inlineStr">
        <is>
          <t>SÄTER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46288</v>
      </c>
      <c r="F102" t="inlineStr">
        <is>
          <t>DALARNAS LÄN</t>
        </is>
      </c>
      <c r="G102" t="inlineStr">
        <is>
          <t>SÄTER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46288</v>
      </c>
      <c r="F103" t="inlineStr">
        <is>
          <t>DALARNAS LÄN</t>
        </is>
      </c>
      <c r="G103" t="inlineStr">
        <is>
          <t>SÄTER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46288</v>
      </c>
      <c r="F104" t="inlineStr">
        <is>
          <t>DALARNAS LÄN</t>
        </is>
      </c>
      <c r="G104" t="inlineStr">
        <is>
          <t>SÄTER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46136</v>
      </c>
      <c r="E105" s="1" t="n">
        <v>46288</v>
      </c>
      <c r="F105" t="inlineStr">
        <is>
          <t>DALARNAS LÄN</t>
        </is>
      </c>
      <c r="G105" t="inlineStr">
        <is>
          <t>SÄTER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45622</v>
      </c>
      <c r="E106" s="1" t="n">
        <v>46288</v>
      </c>
      <c r="F106" t="inlineStr">
        <is>
          <t>DALARNAS LÄN</t>
        </is>
      </c>
      <c r="G106" t="inlineStr">
        <is>
          <t>SÄTER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46288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44724-2024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45574</v>
      </c>
      <c r="E108" s="1" t="n">
        <v>46288</v>
      </c>
      <c r="F108" t="inlineStr">
        <is>
          <t>DALARNAS LÄN</t>
        </is>
      </c>
      <c r="G108" t="inlineStr">
        <is>
          <t>SÄTER</t>
        </is>
      </c>
      <c r="H108" t="inlineStr">
        <is>
          <t>Bergvik skog väst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45599</v>
      </c>
      <c r="E109" s="1" t="n">
        <v>46288</v>
      </c>
      <c r="F109" t="inlineStr">
        <is>
          <t>DALARNAS LÄN</t>
        </is>
      </c>
      <c r="G109" t="inlineStr">
        <is>
          <t>SÄTER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46288</v>
      </c>
      <c r="F110" t="inlineStr">
        <is>
          <t>DALARNAS LÄN</t>
        </is>
      </c>
      <c r="G110" t="inlineStr">
        <is>
          <t>SÄTER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45574</v>
      </c>
      <c r="E111" s="1" t="n">
        <v>46288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10.8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46288</v>
      </c>
      <c r="F112" t="inlineStr">
        <is>
          <t>DALARNAS LÄN</t>
        </is>
      </c>
      <c r="G112" t="inlineStr">
        <is>
          <t>SÄTER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51474-2024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45604</v>
      </c>
      <c r="E113" s="1" t="n">
        <v>46288</v>
      </c>
      <c r="F113" t="inlineStr">
        <is>
          <t>DALARNAS LÄN</t>
        </is>
      </c>
      <c r="G113" t="inlineStr">
        <is>
          <t>SÄTER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46288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10.2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46043</v>
      </c>
      <c r="E115" s="1" t="n">
        <v>46288</v>
      </c>
      <c r="F115" t="inlineStr">
        <is>
          <t>DALARNAS LÄN</t>
        </is>
      </c>
      <c r="G115" t="inlineStr">
        <is>
          <t>SÄTER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46288</v>
      </c>
      <c r="F116" t="inlineStr">
        <is>
          <t>DALARNAS LÄN</t>
        </is>
      </c>
      <c r="G116" t="inlineStr">
        <is>
          <t>SÄTER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46288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46288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46288</v>
      </c>
      <c r="F119" t="inlineStr">
        <is>
          <t>DALARNAS LÄN</t>
        </is>
      </c>
      <c r="G119" t="inlineStr">
        <is>
          <t>SÄTER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46288</v>
      </c>
      <c r="F120" t="inlineStr">
        <is>
          <t>DALARNAS LÄN</t>
        </is>
      </c>
      <c r="G120" t="inlineStr">
        <is>
          <t>SÄTER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46288</v>
      </c>
      <c r="F121" t="inlineStr">
        <is>
          <t>DALARNAS LÄN</t>
        </is>
      </c>
      <c r="G121" t="inlineStr">
        <is>
          <t>SÄTER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46136</v>
      </c>
      <c r="E122" s="1" t="n">
        <v>46288</v>
      </c>
      <c r="F122" t="inlineStr">
        <is>
          <t>DALARNAS LÄN</t>
        </is>
      </c>
      <c r="G122" t="inlineStr">
        <is>
          <t>SÄTER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46288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46288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45138</v>
      </c>
      <c r="E125" s="1" t="n">
        <v>46288</v>
      </c>
      <c r="F125" t="inlineStr">
        <is>
          <t>DALARNAS LÄN</t>
        </is>
      </c>
      <c r="G125" t="inlineStr">
        <is>
          <t>SÄTER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46288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46073</v>
      </c>
      <c r="E127" s="1" t="n">
        <v>46288</v>
      </c>
      <c r="F127" t="inlineStr">
        <is>
          <t>DALARNAS LÄN</t>
        </is>
      </c>
      <c r="G127" t="inlineStr">
        <is>
          <t>SÄTER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46288</v>
      </c>
      <c r="F128" t="inlineStr">
        <is>
          <t>DALARNAS LÄN</t>
        </is>
      </c>
      <c r="G128" t="inlineStr">
        <is>
          <t>SÄTER</t>
        </is>
      </c>
      <c r="H128" t="inlineStr">
        <is>
          <t>Kommuner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44960</v>
      </c>
      <c r="E129" s="1" t="n">
        <v>46288</v>
      </c>
      <c r="F129" t="inlineStr">
        <is>
          <t>DALARNAS LÄN</t>
        </is>
      </c>
      <c r="G129" t="inlineStr">
        <is>
          <t>SÄTER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46288</v>
      </c>
      <c r="F130" t="inlineStr">
        <is>
          <t>DALARNAS LÄN</t>
        </is>
      </c>
      <c r="G130" t="inlineStr">
        <is>
          <t>SÄTER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46288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46288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41.4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46891-2025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46288</v>
      </c>
      <c r="F133" t="inlineStr">
        <is>
          <t>DALARNAS LÄN</t>
        </is>
      </c>
      <c r="G133" t="inlineStr">
        <is>
          <t>SÄTER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46071</v>
      </c>
      <c r="E134" s="1" t="n">
        <v>46288</v>
      </c>
      <c r="F134" t="inlineStr">
        <is>
          <t>DALARNAS LÄN</t>
        </is>
      </c>
      <c r="G134" t="inlineStr">
        <is>
          <t>SÄTER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46288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46288</v>
      </c>
      <c r="F136" t="inlineStr">
        <is>
          <t>DALARNAS LÄN</t>
        </is>
      </c>
      <c r="G136" t="inlineStr">
        <is>
          <t>SÄTER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46288</v>
      </c>
      <c r="F137" t="inlineStr">
        <is>
          <t>DALARNAS LÄN</t>
        </is>
      </c>
      <c r="G137" t="inlineStr">
        <is>
          <t>SÄTER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46288</v>
      </c>
      <c r="F138" t="inlineStr">
        <is>
          <t>DALARNAS LÄN</t>
        </is>
      </c>
      <c r="G138" t="inlineStr">
        <is>
          <t>SÄTER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46288</v>
      </c>
      <c r="F139" t="inlineStr">
        <is>
          <t>DALARNAS LÄN</t>
        </is>
      </c>
      <c r="G139" t="inlineStr">
        <is>
          <t>SÄTER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46084</v>
      </c>
      <c r="E140" s="1" t="n">
        <v>46288</v>
      </c>
      <c r="F140" t="inlineStr">
        <is>
          <t>DALARNAS LÄN</t>
        </is>
      </c>
      <c r="G140" t="inlineStr">
        <is>
          <t>SÄTER</t>
        </is>
      </c>
      <c r="H140" t="inlineStr">
        <is>
          <t>Kommuner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46087</v>
      </c>
      <c r="E141" s="1" t="n">
        <v>46288</v>
      </c>
      <c r="F141" t="inlineStr">
        <is>
          <t>DALARNAS LÄN</t>
        </is>
      </c>
      <c r="G141" t="inlineStr">
        <is>
          <t>SÄTER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46288</v>
      </c>
      <c r="F142" t="inlineStr">
        <is>
          <t>DALARNAS LÄN</t>
        </is>
      </c>
      <c r="G142" t="inlineStr">
        <is>
          <t>SÄTER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46288</v>
      </c>
      <c r="F143" t="inlineStr">
        <is>
          <t>DALARNAS LÄN</t>
        </is>
      </c>
      <c r="G143" t="inlineStr">
        <is>
          <t>SÄTER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46288</v>
      </c>
      <c r="F144" t="inlineStr">
        <is>
          <t>DALARNAS LÄN</t>
        </is>
      </c>
      <c r="G144" t="inlineStr">
        <is>
          <t>SÄTER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46288</v>
      </c>
      <c r="F145" t="inlineStr">
        <is>
          <t>DALARNAS LÄN</t>
        </is>
      </c>
      <c r="G145" t="inlineStr">
        <is>
          <t>SÄTER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46069</v>
      </c>
      <c r="E146" s="1" t="n">
        <v>46288</v>
      </c>
      <c r="F146" t="inlineStr">
        <is>
          <t>DALARNAS LÄN</t>
        </is>
      </c>
      <c r="G146" t="inlineStr">
        <is>
          <t>SÄTER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46288</v>
      </c>
      <c r="F147" t="inlineStr">
        <is>
          <t>DALARNAS LÄN</t>
        </is>
      </c>
      <c r="G147" t="inlineStr">
        <is>
          <t>SÄTER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46288</v>
      </c>
      <c r="F148" t="inlineStr">
        <is>
          <t>DALARNAS LÄN</t>
        </is>
      </c>
      <c r="G148" t="inlineStr">
        <is>
          <t>SÄTER</t>
        </is>
      </c>
      <c r="H148" t="inlineStr">
        <is>
          <t>Kommuner</t>
        </is>
      </c>
      <c r="I148" t="n">
        <v>42.6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46288</v>
      </c>
      <c r="F149" t="inlineStr">
        <is>
          <t>DALARNAS LÄN</t>
        </is>
      </c>
      <c r="G149" t="inlineStr">
        <is>
          <t>SÄTER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46288</v>
      </c>
      <c r="F150" t="inlineStr">
        <is>
          <t>DALARNAS LÄN</t>
        </is>
      </c>
      <c r="G150" t="inlineStr">
        <is>
          <t>SÄTER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46091</v>
      </c>
      <c r="E151" s="1" t="n">
        <v>46288</v>
      </c>
      <c r="F151" t="inlineStr">
        <is>
          <t>DALARNAS LÄN</t>
        </is>
      </c>
      <c r="G151" t="inlineStr">
        <is>
          <t>SÄTER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46288</v>
      </c>
      <c r="F152" t="inlineStr">
        <is>
          <t>DALARNAS LÄN</t>
        </is>
      </c>
      <c r="G152" t="inlineStr">
        <is>
          <t>SÄTER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22148-2026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46288</v>
      </c>
      <c r="F153" t="inlineStr">
        <is>
          <t>DALARNAS LÄN</t>
        </is>
      </c>
      <c r="G153" t="inlineStr">
        <is>
          <t>SÄTER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46288</v>
      </c>
      <c r="F154" t="inlineStr">
        <is>
          <t>DALARNAS LÄN</t>
        </is>
      </c>
      <c r="G154" t="inlineStr">
        <is>
          <t>SÄTER</t>
        </is>
      </c>
      <c r="I154" t="n">
        <v>10.1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45411</v>
      </c>
      <c r="E155" s="1" t="n">
        <v>46288</v>
      </c>
      <c r="F155" t="inlineStr">
        <is>
          <t>DALARNAS LÄN</t>
        </is>
      </c>
      <c r="G155" t="inlineStr">
        <is>
          <t>SÄTER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46288</v>
      </c>
      <c r="F156" t="inlineStr">
        <is>
          <t>DALARNAS LÄN</t>
        </is>
      </c>
      <c r="G156" t="inlineStr">
        <is>
          <t>SÄTER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46288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46288</v>
      </c>
      <c r="F158" t="inlineStr">
        <is>
          <t>DALARNAS LÄN</t>
        </is>
      </c>
      <c r="G158" t="inlineStr">
        <is>
          <t>SÄTER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46288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46288</v>
      </c>
      <c r="F160" t="inlineStr">
        <is>
          <t>DALARNAS LÄN</t>
        </is>
      </c>
      <c r="G160" t="inlineStr">
        <is>
          <t>SÄTER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46288</v>
      </c>
      <c r="F161" t="inlineStr">
        <is>
          <t>DALARNAS LÄN</t>
        </is>
      </c>
      <c r="G161" t="inlineStr">
        <is>
          <t>SÄTER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46288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46288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46288</v>
      </c>
      <c r="F164" t="inlineStr">
        <is>
          <t>DALARNAS LÄN</t>
        </is>
      </c>
      <c r="G164" t="inlineStr">
        <is>
          <t>SÄTER</t>
        </is>
      </c>
      <c r="I164" t="n">
        <v>13.2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44732</v>
      </c>
      <c r="E165" s="1" t="n">
        <v>46288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46288</v>
      </c>
      <c r="F166" t="inlineStr">
        <is>
          <t>DALARNAS LÄN</t>
        </is>
      </c>
      <c r="G166" t="inlineStr">
        <is>
          <t>SÄTER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44982</v>
      </c>
      <c r="E167" s="1" t="n">
        <v>46288</v>
      </c>
      <c r="F167" t="inlineStr">
        <is>
          <t>DALARNAS LÄN</t>
        </is>
      </c>
      <c r="G167" t="inlineStr">
        <is>
          <t>SÄTER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46288</v>
      </c>
      <c r="F168" t="inlineStr">
        <is>
          <t>DALARNAS LÄN</t>
        </is>
      </c>
      <c r="G168" t="inlineStr">
        <is>
          <t>SÄTER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53878-2025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45961</v>
      </c>
      <c r="E169" s="1" t="n">
        <v>46288</v>
      </c>
      <c r="F169" t="inlineStr">
        <is>
          <t>DALARNAS LÄN</t>
        </is>
      </c>
      <c r="G169" t="inlineStr">
        <is>
          <t>SÄTER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53559-2025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45960</v>
      </c>
      <c r="E170" s="1" t="n">
        <v>46288</v>
      </c>
      <c r="F170" t="inlineStr">
        <is>
          <t>DALARNAS LÄN</t>
        </is>
      </c>
      <c r="G170" t="inlineStr">
        <is>
          <t>SÄTER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46087</v>
      </c>
      <c r="E171" s="1" t="n">
        <v>46288</v>
      </c>
      <c r="F171" t="inlineStr">
        <is>
          <t>DALARNAS LÄN</t>
        </is>
      </c>
      <c r="G171" t="inlineStr">
        <is>
          <t>SÄTER</t>
        </is>
      </c>
      <c r="H171" t="inlineStr">
        <is>
          <t>Kommuner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44882</v>
      </c>
      <c r="E172" s="1" t="n">
        <v>46288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46288</v>
      </c>
      <c r="F173" t="inlineStr">
        <is>
          <t>DALARNAS LÄN</t>
        </is>
      </c>
      <c r="G173" t="inlineStr">
        <is>
          <t>SÄTER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46288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46288</v>
      </c>
      <c r="F175" t="inlineStr">
        <is>
          <t>DALARNAS LÄN</t>
        </is>
      </c>
      <c r="G175" t="inlineStr">
        <is>
          <t>SÄTER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46288</v>
      </c>
      <c r="F176" t="inlineStr">
        <is>
          <t>DALARNAS LÄN</t>
        </is>
      </c>
      <c r="G176" t="inlineStr">
        <is>
          <t>SÄTER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Z176">
        <f>HYPERLINK("https://klasma.github.io/Logging_2082/knärot/A 57416-2022 karta knärot.png", "A 57416-2022")</f>
        <v/>
      </c>
      <c r="AA176">
        <f>HYPERLINK("https://klasma.github.io/Logging_2082/klagomål/A 57416-2022 FSC-klagomål.docx", "A 57416-2022")</f>
        <v/>
      </c>
      <c r="AB176">
        <f>HYPERLINK("https://klasma.github.io/Logging_2082/klagomålsmail/A 57416-2022 FSC-klagomål mail.docx", "A 57416-2022")</f>
        <v/>
      </c>
      <c r="AC176">
        <f>HYPERLINK("https://klasma.github.io/Logging_2082/tillsyn/A 57416-2022 tillsynsbegäran.docx", "A 57416-2022")</f>
        <v/>
      </c>
      <c r="AD176">
        <f>HYPERLINK("https://klasma.github.io/Logging_2082/tillsynsmail/A 57416-2022 tillsynsbegäran mail.docx", "A 57416-2022")</f>
        <v/>
      </c>
    </row>
    <row r="177" ht="15" customHeight="1">
      <c r="A177" t="inlineStr">
        <is>
          <t>A 23735-2026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46288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46288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46288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46288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46288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46164</v>
      </c>
      <c r="E182" s="1" t="n">
        <v>46288</v>
      </c>
      <c r="F182" t="inlineStr">
        <is>
          <t>DALARNAS LÄN</t>
        </is>
      </c>
      <c r="G182" t="inlineStr">
        <is>
          <t>SÄTER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46288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46167</v>
      </c>
      <c r="E184" s="1" t="n">
        <v>46288</v>
      </c>
      <c r="F184" t="inlineStr">
        <is>
          <t>DALARNAS LÄN</t>
        </is>
      </c>
      <c r="G184" t="inlineStr">
        <is>
          <t>SÄTER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44992</v>
      </c>
      <c r="E185" s="1" t="n">
        <v>46288</v>
      </c>
      <c r="F185" t="inlineStr">
        <is>
          <t>DALARNAS LÄN</t>
        </is>
      </c>
      <c r="G185" t="inlineStr">
        <is>
          <t>SÄTER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44711</v>
      </c>
      <c r="E186" s="1" t="n">
        <v>46288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45006</v>
      </c>
      <c r="E187" s="1" t="n">
        <v>46288</v>
      </c>
      <c r="F187" t="inlineStr">
        <is>
          <t>DALARNAS LÄN</t>
        </is>
      </c>
      <c r="G187" t="inlineStr">
        <is>
          <t>SÄTER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46288</v>
      </c>
      <c r="F188" t="inlineStr">
        <is>
          <t>DALARNAS LÄN</t>
        </is>
      </c>
      <c r="G188" t="inlineStr">
        <is>
          <t>SÄTER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46288</v>
      </c>
      <c r="F189" t="inlineStr">
        <is>
          <t>DALARNAS LÄN</t>
        </is>
      </c>
      <c r="G189" t="inlineStr">
        <is>
          <t>SÄTER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46288</v>
      </c>
      <c r="F190" t="inlineStr">
        <is>
          <t>DALARNAS LÄN</t>
        </is>
      </c>
      <c r="G190" t="inlineStr">
        <is>
          <t>SÄTER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46288</v>
      </c>
      <c r="F191" t="inlineStr">
        <is>
          <t>DALARNAS LÄN</t>
        </is>
      </c>
      <c r="G191" t="inlineStr">
        <is>
          <t>SÄTER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45993</v>
      </c>
      <c r="E192" s="1" t="n">
        <v>46288</v>
      </c>
      <c r="F192" t="inlineStr">
        <is>
          <t>DALARNAS LÄN</t>
        </is>
      </c>
      <c r="G192" t="inlineStr">
        <is>
          <t>SÄTER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46288</v>
      </c>
      <c r="F193" t="inlineStr">
        <is>
          <t>DALARNAS LÄN</t>
        </is>
      </c>
      <c r="G193" t="inlineStr">
        <is>
          <t>SÄTER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44869</v>
      </c>
      <c r="E194" s="1" t="n">
        <v>46288</v>
      </c>
      <c r="F194" t="inlineStr">
        <is>
          <t>DALARNAS LÄN</t>
        </is>
      </c>
      <c r="G194" t="inlineStr">
        <is>
          <t>SÄTER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46288</v>
      </c>
      <c r="F195" t="inlineStr">
        <is>
          <t>DALARNAS LÄN</t>
        </is>
      </c>
      <c r="G195" t="inlineStr">
        <is>
          <t>SÄTER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46288</v>
      </c>
      <c r="F196" t="inlineStr">
        <is>
          <t>DALARNAS LÄN</t>
        </is>
      </c>
      <c r="G196" t="inlineStr">
        <is>
          <t>SÄTER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46288</v>
      </c>
      <c r="F197" t="inlineStr">
        <is>
          <t>DALARNAS LÄN</t>
        </is>
      </c>
      <c r="G197" t="inlineStr">
        <is>
          <t>SÄTER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46288</v>
      </c>
      <c r="F198" t="inlineStr">
        <is>
          <t>DALARNAS LÄN</t>
        </is>
      </c>
      <c r="G198" t="inlineStr">
        <is>
          <t>SÄTER</t>
        </is>
      </c>
      <c r="H198" t="inlineStr">
        <is>
          <t>Övriga statliga verk och myndigheter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56831-2024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46288</v>
      </c>
      <c r="F199" t="inlineStr">
        <is>
          <t>DALARNAS LÄN</t>
        </is>
      </c>
      <c r="G199" t="inlineStr">
        <is>
          <t>SÄTER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46288</v>
      </c>
      <c r="F200" t="inlineStr">
        <is>
          <t>DALARNAS LÄN</t>
        </is>
      </c>
      <c r="G200" t="inlineStr">
        <is>
          <t>SÄTER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46076</v>
      </c>
      <c r="E201" s="1" t="n">
        <v>46288</v>
      </c>
      <c r="F201" t="inlineStr">
        <is>
          <t>DALARNAS LÄN</t>
        </is>
      </c>
      <c r="G201" t="inlineStr">
        <is>
          <t>SÄTER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51320-2024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45604</v>
      </c>
      <c r="E202" s="1" t="n">
        <v>46288</v>
      </c>
      <c r="F202" t="inlineStr">
        <is>
          <t>DALARNAS LÄN</t>
        </is>
      </c>
      <c r="G202" t="inlineStr">
        <is>
          <t>SÄTER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51324-2024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45604</v>
      </c>
      <c r="E203" s="1" t="n">
        <v>46288</v>
      </c>
      <c r="F203" t="inlineStr">
        <is>
          <t>DALARNAS LÄN</t>
        </is>
      </c>
      <c r="G203" t="inlineStr">
        <is>
          <t>SÄTER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46288</v>
      </c>
      <c r="F204" t="inlineStr">
        <is>
          <t>DALARNAS LÄN</t>
        </is>
      </c>
      <c r="G204" t="inlineStr">
        <is>
          <t>SÄTER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45484</v>
      </c>
      <c r="E205" s="1" t="n">
        <v>46288</v>
      </c>
      <c r="F205" t="inlineStr">
        <is>
          <t>DALARNAS LÄN</t>
        </is>
      </c>
      <c r="G205" t="inlineStr">
        <is>
          <t>SÄTER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46288</v>
      </c>
      <c r="F206" t="inlineStr">
        <is>
          <t>DALARNAS LÄN</t>
        </is>
      </c>
      <c r="G206" t="inlineStr">
        <is>
          <t>SÄTER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46026</v>
      </c>
      <c r="E207" s="1" t="n">
        <v>46288</v>
      </c>
      <c r="F207" t="inlineStr">
        <is>
          <t>DALARNAS LÄN</t>
        </is>
      </c>
      <c r="G207" t="inlineStr">
        <is>
          <t>SÄTER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46027</v>
      </c>
      <c r="E208" s="1" t="n">
        <v>46288</v>
      </c>
      <c r="F208" t="inlineStr">
        <is>
          <t>DALARNAS LÄN</t>
        </is>
      </c>
      <c r="G208" t="inlineStr">
        <is>
          <t>SÄTER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45638</v>
      </c>
      <c r="E209" s="1" t="n">
        <v>46288</v>
      </c>
      <c r="F209" t="inlineStr">
        <is>
          <t>DALARNAS LÄN</t>
        </is>
      </c>
      <c r="G209" t="inlineStr">
        <is>
          <t>SÄTER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51323-2024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45604</v>
      </c>
      <c r="E210" s="1" t="n">
        <v>46288</v>
      </c>
      <c r="F210" t="inlineStr">
        <is>
          <t>DALARNAS LÄN</t>
        </is>
      </c>
      <c r="G210" t="inlineStr">
        <is>
          <t>SÄTER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46288</v>
      </c>
      <c r="F211" t="inlineStr">
        <is>
          <t>DALARNAS LÄN</t>
        </is>
      </c>
      <c r="G211" t="inlineStr">
        <is>
          <t>SÄTER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46288</v>
      </c>
      <c r="F212" t="inlineStr">
        <is>
          <t>DALARNAS LÄN</t>
        </is>
      </c>
      <c r="G212" t="inlineStr">
        <is>
          <t>SÄTER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987-2026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46030</v>
      </c>
      <c r="E213" s="1" t="n">
        <v>46288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46288</v>
      </c>
      <c r="F214" t="inlineStr">
        <is>
          <t>DALARNAS LÄN</t>
        </is>
      </c>
      <c r="G214" t="inlineStr">
        <is>
          <t>SÄTER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46288</v>
      </c>
      <c r="F215" t="inlineStr">
        <is>
          <t>DALARNAS LÄN</t>
        </is>
      </c>
      <c r="G215" t="inlineStr">
        <is>
          <t>SÄTER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46288</v>
      </c>
      <c r="F216" t="inlineStr">
        <is>
          <t>DALARNAS LÄN</t>
        </is>
      </c>
      <c r="G216" t="inlineStr">
        <is>
          <t>SÄTER</t>
        </is>
      </c>
      <c r="H216" t="inlineStr">
        <is>
          <t>Kommuner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46288</v>
      </c>
      <c r="F217" t="inlineStr">
        <is>
          <t>DALARNAS LÄN</t>
        </is>
      </c>
      <c r="G217" t="inlineStr">
        <is>
          <t>SÄTER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46288</v>
      </c>
      <c r="F218" t="inlineStr">
        <is>
          <t>DALARNAS LÄN</t>
        </is>
      </c>
      <c r="G218" t="inlineStr">
        <is>
          <t>SÄTER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46288</v>
      </c>
      <c r="F219" t="inlineStr">
        <is>
          <t>DALARNAS LÄN</t>
        </is>
      </c>
      <c r="G219" t="inlineStr">
        <is>
          <t>SÄTER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45342</v>
      </c>
      <c r="E220" s="1" t="n">
        <v>46288</v>
      </c>
      <c r="F220" t="inlineStr">
        <is>
          <t>DALARNAS LÄN</t>
        </is>
      </c>
      <c r="G220" t="inlineStr">
        <is>
          <t>SÄTER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46288</v>
      </c>
      <c r="F221" t="inlineStr">
        <is>
          <t>DALARNAS LÄN</t>
        </is>
      </c>
      <c r="G221" t="inlineStr">
        <is>
          <t>SÄTER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46288</v>
      </c>
      <c r="F222" t="inlineStr">
        <is>
          <t>DALARNAS LÄN</t>
        </is>
      </c>
      <c r="G222" t="inlineStr">
        <is>
          <t>SÄTER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46288</v>
      </c>
      <c r="F223" t="inlineStr">
        <is>
          <t>DALARNAS LÄN</t>
        </is>
      </c>
      <c r="G223" t="inlineStr">
        <is>
          <t>SÄTER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45574</v>
      </c>
      <c r="E224" s="1" t="n">
        <v>46288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46288</v>
      </c>
      <c r="F225" t="inlineStr">
        <is>
          <t>DALARNAS LÄN</t>
        </is>
      </c>
      <c r="G225" t="inlineStr">
        <is>
          <t>SÄTER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46037</v>
      </c>
      <c r="E226" s="1" t="n">
        <v>46288</v>
      </c>
      <c r="F226" t="inlineStr">
        <is>
          <t>DALARNAS LÄN</t>
        </is>
      </c>
      <c r="G226" t="inlineStr">
        <is>
          <t>SÄTER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46288</v>
      </c>
      <c r="F227" t="inlineStr">
        <is>
          <t>DALARNAS LÄN</t>
        </is>
      </c>
      <c r="G227" t="inlineStr">
        <is>
          <t>SÄTER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46288</v>
      </c>
      <c r="F228" t="inlineStr">
        <is>
          <t>DALARNAS LÄN</t>
        </is>
      </c>
      <c r="G228" t="inlineStr">
        <is>
          <t>SÄTER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46190</v>
      </c>
      <c r="E229" s="1" t="n">
        <v>46288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46288</v>
      </c>
      <c r="F230" t="inlineStr">
        <is>
          <t>DALARNAS LÄN</t>
        </is>
      </c>
      <c r="G230" t="inlineStr">
        <is>
          <t>SÄTER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46288</v>
      </c>
      <c r="F231" t="inlineStr">
        <is>
          <t>DALARNAS LÄN</t>
        </is>
      </c>
      <c r="G231" t="inlineStr">
        <is>
          <t>SÄTER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46288</v>
      </c>
      <c r="F232" t="inlineStr">
        <is>
          <t>DALARNAS LÄN</t>
        </is>
      </c>
      <c r="G232" t="inlineStr">
        <is>
          <t>SÄTER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45268</v>
      </c>
      <c r="E233" s="1" t="n">
        <v>46288</v>
      </c>
      <c r="F233" t="inlineStr">
        <is>
          <t>DALARNAS LÄN</t>
        </is>
      </c>
      <c r="G233" t="inlineStr">
        <is>
          <t>SÄTER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46288</v>
      </c>
      <c r="F234" t="inlineStr">
        <is>
          <t>DALARNAS LÄN</t>
        </is>
      </c>
      <c r="G234" t="inlineStr">
        <is>
          <t>SÄTER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45411</v>
      </c>
      <c r="E235" s="1" t="n">
        <v>46288</v>
      </c>
      <c r="F235" t="inlineStr">
        <is>
          <t>DALARNAS LÄN</t>
        </is>
      </c>
      <c r="G235" t="inlineStr">
        <is>
          <t>SÄTER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46288</v>
      </c>
      <c r="F236" t="inlineStr">
        <is>
          <t>DALARNAS LÄN</t>
        </is>
      </c>
      <c r="G236" t="inlineStr">
        <is>
          <t>SÄTER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46288</v>
      </c>
      <c r="F237" t="inlineStr">
        <is>
          <t>DALARNAS LÄN</t>
        </is>
      </c>
      <c r="G237" t="inlineStr">
        <is>
          <t>SÄTER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46288</v>
      </c>
      <c r="F238" t="inlineStr">
        <is>
          <t>DALARNAS LÄN</t>
        </is>
      </c>
      <c r="G238" t="inlineStr">
        <is>
          <t>SÄTER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46288</v>
      </c>
      <c r="F239" t="inlineStr">
        <is>
          <t>DALARNAS LÄN</t>
        </is>
      </c>
      <c r="G239" t="inlineStr">
        <is>
          <t>SÄTER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46288</v>
      </c>
      <c r="F240" t="inlineStr">
        <is>
          <t>DALARNAS LÄN</t>
        </is>
      </c>
      <c r="G240" t="inlineStr">
        <is>
          <t>SÄTER</t>
        </is>
      </c>
      <c r="H240" t="inlineStr">
        <is>
          <t>Bergvik skog väst AB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46288</v>
      </c>
      <c r="F241" t="inlineStr">
        <is>
          <t>DALARNAS LÄN</t>
        </is>
      </c>
      <c r="G241" t="inlineStr">
        <is>
          <t>SÄTER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46288</v>
      </c>
      <c r="F242" t="inlineStr">
        <is>
          <t>DALARNAS LÄN</t>
        </is>
      </c>
      <c r="G242" t="inlineStr">
        <is>
          <t>SÄTER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45476-2024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45576</v>
      </c>
      <c r="E243" s="1" t="n">
        <v>46288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46288</v>
      </c>
      <c r="F244" t="inlineStr">
        <is>
          <t>DALARNAS LÄN</t>
        </is>
      </c>
      <c r="G244" t="inlineStr">
        <is>
          <t>SÄTER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46288</v>
      </c>
      <c r="F245" t="inlineStr">
        <is>
          <t>DALARNAS LÄN</t>
        </is>
      </c>
      <c r="G245" t="inlineStr">
        <is>
          <t>SÄTER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46065</v>
      </c>
      <c r="E246" s="1" t="n">
        <v>46288</v>
      </c>
      <c r="F246" t="inlineStr">
        <is>
          <t>DALARNAS LÄN</t>
        </is>
      </c>
      <c r="G246" t="inlineStr">
        <is>
          <t>SÄTER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46064</v>
      </c>
      <c r="E247" s="1" t="n">
        <v>46288</v>
      </c>
      <c r="F247" t="inlineStr">
        <is>
          <t>DALARNAS LÄN</t>
        </is>
      </c>
      <c r="G247" t="inlineStr">
        <is>
          <t>SÄTER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45398</v>
      </c>
      <c r="E248" s="1" t="n">
        <v>46288</v>
      </c>
      <c r="F248" t="inlineStr">
        <is>
          <t>DALARNAS LÄN</t>
        </is>
      </c>
      <c r="G248" t="inlineStr">
        <is>
          <t>SÄTER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46288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46288</v>
      </c>
      <c r="F250" t="inlineStr">
        <is>
          <t>DALARNAS LÄN</t>
        </is>
      </c>
      <c r="G250" t="inlineStr">
        <is>
          <t>SÄTER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46288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45264</v>
      </c>
      <c r="E252" s="1" t="n">
        <v>46288</v>
      </c>
      <c r="F252" t="inlineStr">
        <is>
          <t>DALARNAS LÄN</t>
        </is>
      </c>
      <c r="G252" t="inlineStr">
        <is>
          <t>SÄTER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46288</v>
      </c>
      <c r="F253" t="inlineStr">
        <is>
          <t>DALARNAS LÄN</t>
        </is>
      </c>
      <c r="G253" t="inlineStr">
        <is>
          <t>SÄTER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45427</v>
      </c>
      <c r="E254" s="1" t="n">
        <v>46288</v>
      </c>
      <c r="F254" t="inlineStr">
        <is>
          <t>DALARNAS LÄN</t>
        </is>
      </c>
      <c r="G254" t="inlineStr">
        <is>
          <t>SÄTER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21697-2023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45063</v>
      </c>
      <c r="E255" s="1" t="n">
        <v>46288</v>
      </c>
      <c r="F255" t="inlineStr">
        <is>
          <t>DALARNAS LÄN</t>
        </is>
      </c>
      <c r="G255" t="inlineStr">
        <is>
          <t>SÄTER</t>
        </is>
      </c>
      <c r="H255" t="inlineStr">
        <is>
          <t>Kommuner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46288</v>
      </c>
      <c r="F256" t="inlineStr">
        <is>
          <t>DALARNAS LÄN</t>
        </is>
      </c>
      <c r="G256" t="inlineStr">
        <is>
          <t>SÄTER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46288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46288</v>
      </c>
      <c r="F258" t="inlineStr">
        <is>
          <t>DALARNAS LÄN</t>
        </is>
      </c>
      <c r="G258" t="inlineStr">
        <is>
          <t>SÄTER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46288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46288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46288</v>
      </c>
      <c r="F261" t="inlineStr">
        <is>
          <t>DALARNAS LÄN</t>
        </is>
      </c>
      <c r="G261" t="inlineStr">
        <is>
          <t>SÄTER</t>
        </is>
      </c>
      <c r="I261" t="n">
        <v>9.800000000000001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46083</v>
      </c>
      <c r="E262" s="1" t="n">
        <v>46288</v>
      </c>
      <c r="F262" t="inlineStr">
        <is>
          <t>DALARNAS LÄN</t>
        </is>
      </c>
      <c r="G262" t="inlineStr">
        <is>
          <t>SÄTER</t>
        </is>
      </c>
      <c r="H262" t="inlineStr">
        <is>
          <t>Kommuner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46288</v>
      </c>
      <c r="F263" t="inlineStr">
        <is>
          <t>DALARNAS LÄN</t>
        </is>
      </c>
      <c r="G263" t="inlineStr">
        <is>
          <t>SÄTER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46288</v>
      </c>
      <c r="F264" t="inlineStr">
        <is>
          <t>DALARNAS LÄN</t>
        </is>
      </c>
      <c r="G264" t="inlineStr">
        <is>
          <t>SÄTER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46288</v>
      </c>
      <c r="F265" t="inlineStr">
        <is>
          <t>DALARNAS LÄN</t>
        </is>
      </c>
      <c r="G265" t="inlineStr">
        <is>
          <t>SÄTER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46288</v>
      </c>
      <c r="F266" t="inlineStr">
        <is>
          <t>DALARNAS LÄN</t>
        </is>
      </c>
      <c r="G266" t="inlineStr">
        <is>
          <t>SÄTER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46288</v>
      </c>
      <c r="F267" t="inlineStr">
        <is>
          <t>DALARNAS LÄN</t>
        </is>
      </c>
      <c r="G267" t="inlineStr">
        <is>
          <t>SÄTER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30515-2026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46204</v>
      </c>
      <c r="E268" s="1" t="n">
        <v>46288</v>
      </c>
      <c r="F268" t="inlineStr">
        <is>
          <t>DALARNAS LÄN</t>
        </is>
      </c>
      <c r="G268" t="inlineStr">
        <is>
          <t>SÄTER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45110</v>
      </c>
      <c r="E269" s="1" t="n">
        <v>46288</v>
      </c>
      <c r="F269" t="inlineStr">
        <is>
          <t>DALARNAS LÄN</t>
        </is>
      </c>
      <c r="G269" t="inlineStr">
        <is>
          <t>SÄTER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52193-2021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44463</v>
      </c>
      <c r="E270" s="1" t="n">
        <v>46288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46288</v>
      </c>
      <c r="F271" t="inlineStr">
        <is>
          <t>DALARNAS LÄN</t>
        </is>
      </c>
      <c r="G271" t="inlineStr">
        <is>
          <t>SÄTER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52220-2021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44462</v>
      </c>
      <c r="E272" s="1" t="n">
        <v>46288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46288</v>
      </c>
      <c r="F273" t="inlineStr">
        <is>
          <t>DALARNAS LÄN</t>
        </is>
      </c>
      <c r="G273" t="inlineStr">
        <is>
          <t>SÄTER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46288</v>
      </c>
      <c r="F274" t="inlineStr">
        <is>
          <t>DALARNAS LÄN</t>
        </is>
      </c>
      <c r="G274" t="inlineStr">
        <is>
          <t>SÄTER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45366</v>
      </c>
      <c r="E275" s="1" t="n">
        <v>46288</v>
      </c>
      <c r="F275" t="inlineStr">
        <is>
          <t>DALARNAS LÄN</t>
        </is>
      </c>
      <c r="G275" t="inlineStr">
        <is>
          <t>SÄTER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46288</v>
      </c>
      <c r="F276" t="inlineStr">
        <is>
          <t>DALARNAS LÄN</t>
        </is>
      </c>
      <c r="G276" t="inlineStr">
        <is>
          <t>SÄTER</t>
        </is>
      </c>
      <c r="H276" t="inlineStr">
        <is>
          <t>Kommuner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38240-2022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44812</v>
      </c>
      <c r="E277" s="1" t="n">
        <v>46288</v>
      </c>
      <c r="F277" t="inlineStr">
        <is>
          <t>DALARNAS LÄN</t>
        </is>
      </c>
      <c r="G277" t="inlineStr">
        <is>
          <t>SÄTER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19162-2022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44691</v>
      </c>
      <c r="E278" s="1" t="n">
        <v>46288</v>
      </c>
      <c r="F278" t="inlineStr">
        <is>
          <t>DALARNAS LÄN</t>
        </is>
      </c>
      <c r="G278" t="inlineStr">
        <is>
          <t>SÄTER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46288</v>
      </c>
      <c r="F279" t="inlineStr">
        <is>
          <t>DALARNAS LÄN</t>
        </is>
      </c>
      <c r="G279" t="inlineStr">
        <is>
          <t>SÄTER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46288</v>
      </c>
      <c r="F280" t="inlineStr">
        <is>
          <t>DALARNAS LÄN</t>
        </is>
      </c>
      <c r="G280" t="inlineStr">
        <is>
          <t>SÄTER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46288</v>
      </c>
      <c r="F281" t="inlineStr">
        <is>
          <t>DALARNAS LÄN</t>
        </is>
      </c>
      <c r="G281" t="inlineStr">
        <is>
          <t>SÄTER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46288</v>
      </c>
      <c r="F282" t="inlineStr">
        <is>
          <t>DALARNAS LÄN</t>
        </is>
      </c>
      <c r="G282" t="inlineStr">
        <is>
          <t>SÄTER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46288</v>
      </c>
      <c r="F283" t="inlineStr">
        <is>
          <t>DALARNAS LÄN</t>
        </is>
      </c>
      <c r="G283" t="inlineStr">
        <is>
          <t>SÄTER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69744-2021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44532</v>
      </c>
      <c r="E284" s="1" t="n">
        <v>46288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45469</v>
      </c>
      <c r="E285" s="1" t="n">
        <v>46288</v>
      </c>
      <c r="F285" t="inlineStr">
        <is>
          <t>DALARNAS LÄN</t>
        </is>
      </c>
      <c r="G285" t="inlineStr">
        <is>
          <t>SÄTER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45665</v>
      </c>
      <c r="E286" s="1" t="n">
        <v>46288</v>
      </c>
      <c r="F286" t="inlineStr">
        <is>
          <t>DALARNAS LÄN</t>
        </is>
      </c>
      <c r="G286" t="inlineStr">
        <is>
          <t>SÄTER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46288</v>
      </c>
      <c r="F287" t="inlineStr">
        <is>
          <t>DALARNAS LÄN</t>
        </is>
      </c>
      <c r="G287" t="inlineStr">
        <is>
          <t>SÄTER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46288</v>
      </c>
      <c r="F288" t="inlineStr">
        <is>
          <t>DALARNAS LÄN</t>
        </is>
      </c>
      <c r="G288" t="inlineStr">
        <is>
          <t>SÄTER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45638</v>
      </c>
      <c r="E289" s="1" t="n">
        <v>46288</v>
      </c>
      <c r="F289" t="inlineStr">
        <is>
          <t>DALARNAS LÄN</t>
        </is>
      </c>
      <c r="G289" t="inlineStr">
        <is>
          <t>SÄTER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46288</v>
      </c>
      <c r="F290" t="inlineStr">
        <is>
          <t>DALARNAS LÄN</t>
        </is>
      </c>
      <c r="G290" t="inlineStr">
        <is>
          <t>SÄTER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46288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46288</v>
      </c>
      <c r="F292" t="inlineStr">
        <is>
          <t>DALARNAS LÄN</t>
        </is>
      </c>
      <c r="G292" t="inlineStr">
        <is>
          <t>SÄTER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46254</v>
      </c>
      <c r="E293" s="1" t="n">
        <v>46288</v>
      </c>
      <c r="F293" t="inlineStr">
        <is>
          <t>DALARNAS LÄN</t>
        </is>
      </c>
      <c r="G293" t="inlineStr">
        <is>
          <t>SÄTER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39487-2022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46288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45334</v>
      </c>
      <c r="E295" s="1" t="n">
        <v>46288</v>
      </c>
      <c r="F295" t="inlineStr">
        <is>
          <t>DALARNAS LÄN</t>
        </is>
      </c>
      <c r="G295" t="inlineStr">
        <is>
          <t>SÄTER</t>
        </is>
      </c>
      <c r="H295" t="inlineStr">
        <is>
          <t>Kommuner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46211</v>
      </c>
      <c r="E296" s="1" t="n">
        <v>46288</v>
      </c>
      <c r="F296" t="inlineStr">
        <is>
          <t>DALARNAS LÄN</t>
        </is>
      </c>
      <c r="G296" t="inlineStr">
        <is>
          <t>SÄTER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46288</v>
      </c>
      <c r="F297" t="inlineStr">
        <is>
          <t>DALARNAS LÄN</t>
        </is>
      </c>
      <c r="G297" t="inlineStr">
        <is>
          <t>SÄTER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46261</v>
      </c>
      <c r="E298" s="1" t="n">
        <v>46288</v>
      </c>
      <c r="F298" t="inlineStr">
        <is>
          <t>DALARNAS LÄN</t>
        </is>
      </c>
      <c r="G298" t="inlineStr">
        <is>
          <t>SÄTER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46288</v>
      </c>
      <c r="F299" t="inlineStr">
        <is>
          <t>DALARNAS LÄN</t>
        </is>
      </c>
      <c r="G299" t="inlineStr">
        <is>
          <t>SÄTER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44784</v>
      </c>
      <c r="E300" s="1" t="n">
        <v>46288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35564-2026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46262</v>
      </c>
      <c r="E301" s="1" t="n">
        <v>46288</v>
      </c>
      <c r="F301" t="inlineStr">
        <is>
          <t>DALARNAS LÄN</t>
        </is>
      </c>
      <c r="G301" t="inlineStr">
        <is>
          <t>SÄTER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46288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45247</v>
      </c>
      <c r="E303" s="1" t="n">
        <v>46288</v>
      </c>
      <c r="F303" t="inlineStr">
        <is>
          <t>DALARNAS LÄN</t>
        </is>
      </c>
      <c r="G303" t="inlineStr">
        <is>
          <t>SÄTER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46288</v>
      </c>
      <c r="F304" t="inlineStr">
        <is>
          <t>DALARNAS LÄN</t>
        </is>
      </c>
      <c r="G304" t="inlineStr">
        <is>
          <t>SÄTER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51333-2024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45604</v>
      </c>
      <c r="E305" s="1" t="n">
        <v>46288</v>
      </c>
      <c r="F305" t="inlineStr">
        <is>
          <t>DALARNAS LÄN</t>
        </is>
      </c>
      <c r="G305" t="inlineStr">
        <is>
          <t>SÄTER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36969-2026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46273</v>
      </c>
      <c r="E306" s="1" t="n">
        <v>46288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19979-2025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46288</v>
      </c>
      <c r="F307" t="inlineStr">
        <is>
          <t>DALARNAS LÄN</t>
        </is>
      </c>
      <c r="G307" t="inlineStr">
        <is>
          <t>SÄTER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46275</v>
      </c>
      <c r="E308" s="1" t="n">
        <v>46288</v>
      </c>
      <c r="F308" t="inlineStr">
        <is>
          <t>DALARNAS LÄN</t>
        </is>
      </c>
      <c r="G308" t="inlineStr">
        <is>
          <t>SÄTER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44784</v>
      </c>
      <c r="E309" s="1" t="n">
        <v>46288</v>
      </c>
      <c r="F309" t="inlineStr">
        <is>
          <t>DALARNAS LÄN</t>
        </is>
      </c>
      <c r="G309" t="inlineStr">
        <is>
          <t>SÄTER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32122-2026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46234</v>
      </c>
      <c r="E310" s="1" t="n">
        <v>46288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45140</v>
      </c>
      <c r="E311" s="1" t="n">
        <v>46288</v>
      </c>
      <c r="F311" t="inlineStr">
        <is>
          <t>DALARNAS LÄN</t>
        </is>
      </c>
      <c r="G311" t="inlineStr">
        <is>
          <t>SÄTER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46275</v>
      </c>
      <c r="E312" s="1" t="n">
        <v>46288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23262-2024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45453</v>
      </c>
      <c r="E313" s="1" t="n">
        <v>46288</v>
      </c>
      <c r="F313" t="inlineStr">
        <is>
          <t>DALARNAS LÄN</t>
        </is>
      </c>
      <c r="G313" t="inlineStr">
        <is>
          <t>SÄTER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44811</v>
      </c>
      <c r="E314" s="1" t="n">
        <v>46288</v>
      </c>
      <c r="F314" t="inlineStr">
        <is>
          <t>DALARNAS LÄN</t>
        </is>
      </c>
      <c r="G314" t="inlineStr">
        <is>
          <t>SÄTER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46288</v>
      </c>
      <c r="F315" t="inlineStr">
        <is>
          <t>DALARNAS LÄN</t>
        </is>
      </c>
      <c r="G315" t="inlineStr">
        <is>
          <t>SÄTER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46288</v>
      </c>
      <c r="F316" t="inlineStr">
        <is>
          <t>DALARNAS LÄN</t>
        </is>
      </c>
      <c r="G316" t="inlineStr">
        <is>
          <t>SÄTER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45442</v>
      </c>
      <c r="E317" s="1" t="n">
        <v>46288</v>
      </c>
      <c r="F317" t="inlineStr">
        <is>
          <t>DALARNAS LÄN</t>
        </is>
      </c>
      <c r="G317" t="inlineStr">
        <is>
          <t>SÄTER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46283</v>
      </c>
      <c r="E318" s="1" t="n">
        <v>46288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12957-2022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44643</v>
      </c>
      <c r="E319" s="1" t="n">
        <v>46288</v>
      </c>
      <c r="F319" t="inlineStr">
        <is>
          <t>DALARNAS LÄN</t>
        </is>
      </c>
      <c r="G319" t="inlineStr">
        <is>
          <t>SÄTER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46288</v>
      </c>
      <c r="F320" t="inlineStr">
        <is>
          <t>DALARNAS LÄN</t>
        </is>
      </c>
      <c r="G320" t="inlineStr">
        <is>
          <t>SÄTER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46288</v>
      </c>
      <c r="F321" t="inlineStr">
        <is>
          <t>DALARNAS LÄN</t>
        </is>
      </c>
      <c r="G321" t="inlineStr">
        <is>
          <t>SÄTER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46288</v>
      </c>
      <c r="F322" t="inlineStr">
        <is>
          <t>DALARNAS LÄN</t>
        </is>
      </c>
      <c r="G322" t="inlineStr">
        <is>
          <t>SÄTER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46288</v>
      </c>
      <c r="F323" t="inlineStr">
        <is>
          <t>DALARNAS LÄN</t>
        </is>
      </c>
      <c r="G323" t="inlineStr">
        <is>
          <t>SÄTER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26503-2022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46288</v>
      </c>
      <c r="F324" t="inlineStr">
        <is>
          <t>DALARNAS LÄN</t>
        </is>
      </c>
      <c r="G324" t="inlineStr">
        <is>
          <t>SÄTER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45520</v>
      </c>
      <c r="E325" s="1" t="n">
        <v>46288</v>
      </c>
      <c r="F325" t="inlineStr">
        <is>
          <t>DALARNAS LÄN</t>
        </is>
      </c>
      <c r="G325" t="inlineStr">
        <is>
          <t>SÄTER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42998-2023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45182</v>
      </c>
      <c r="E326" s="1" t="n">
        <v>46288</v>
      </c>
      <c r="F326" t="inlineStr">
        <is>
          <t>DALARNAS LÄN</t>
        </is>
      </c>
      <c r="G326" t="inlineStr">
        <is>
          <t>SÄTER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45604</v>
      </c>
      <c r="E327" s="1" t="n">
        <v>46288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44809</v>
      </c>
      <c r="E328" s="1" t="n">
        <v>46288</v>
      </c>
      <c r="F328" t="inlineStr">
        <is>
          <t>DALARNAS LÄN</t>
        </is>
      </c>
      <c r="G328" t="inlineStr">
        <is>
          <t>SÄTER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46288</v>
      </c>
      <c r="F329" t="inlineStr">
        <is>
          <t>DALARNAS LÄN</t>
        </is>
      </c>
      <c r="G329" t="inlineStr">
        <is>
          <t>SÄTER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46196</v>
      </c>
      <c r="E330" s="1" t="n">
        <v>46288</v>
      </c>
      <c r="F330" t="inlineStr">
        <is>
          <t>DALARNAS LÄN</t>
        </is>
      </c>
      <c r="G330" t="inlineStr">
        <is>
          <t>SÄTER</t>
        </is>
      </c>
      <c r="H330" t="inlineStr">
        <is>
          <t>Sveaskog</t>
        </is>
      </c>
      <c r="I330" t="n">
        <v>19.8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44788</v>
      </c>
      <c r="E331" s="1" t="n">
        <v>46288</v>
      </c>
      <c r="F331" t="inlineStr">
        <is>
          <t>DALARNAS LÄN</t>
        </is>
      </c>
      <c r="G331" t="inlineStr">
        <is>
          <t>SÄTER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28549-2022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44748</v>
      </c>
      <c r="E332" s="1" t="n">
        <v>46288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41471-2023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45171</v>
      </c>
      <c r="E333" s="1" t="n">
        <v>46288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45783</v>
      </c>
      <c r="E334" s="1" t="n">
        <v>46288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46288</v>
      </c>
      <c r="F335" t="inlineStr">
        <is>
          <t>DALARNAS LÄN</t>
        </is>
      </c>
      <c r="G335" t="inlineStr">
        <is>
          <t>SÄTER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45428</v>
      </c>
      <c r="E336" s="1" t="n">
        <v>46288</v>
      </c>
      <c r="F336" t="inlineStr">
        <is>
          <t>DALARNAS LÄN</t>
        </is>
      </c>
      <c r="G336" t="inlineStr">
        <is>
          <t>SÄTER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46288</v>
      </c>
      <c r="F337" t="inlineStr">
        <is>
          <t>DALARNAS LÄN</t>
        </is>
      </c>
      <c r="G337" t="inlineStr">
        <is>
          <t>SÄTER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46288</v>
      </c>
      <c r="F338" t="inlineStr">
        <is>
          <t>DALARNAS LÄN</t>
        </is>
      </c>
      <c r="G338" t="inlineStr">
        <is>
          <t>SÄTER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46288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46288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46288</v>
      </c>
      <c r="F341" t="inlineStr">
        <is>
          <t>DALARNAS LÄN</t>
        </is>
      </c>
      <c r="G341" t="inlineStr">
        <is>
          <t>SÄTER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46288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45443</v>
      </c>
      <c r="E343" s="1" t="n">
        <v>46288</v>
      </c>
      <c r="F343" t="inlineStr">
        <is>
          <t>DALARNAS LÄN</t>
        </is>
      </c>
      <c r="G343" t="inlineStr">
        <is>
          <t>SÄTER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45462</v>
      </c>
      <c r="E344" s="1" t="n">
        <v>46288</v>
      </c>
      <c r="F344" t="inlineStr">
        <is>
          <t>DALARNAS LÄN</t>
        </is>
      </c>
      <c r="G344" t="inlineStr">
        <is>
          <t>SÄTER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12285-2024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45377</v>
      </c>
      <c r="E345" s="1" t="n">
        <v>46288</v>
      </c>
      <c r="F345" t="inlineStr">
        <is>
          <t>DALARNAS LÄN</t>
        </is>
      </c>
      <c r="G345" t="inlineStr">
        <is>
          <t>SÄTER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46288</v>
      </c>
      <c r="F346" t="inlineStr">
        <is>
          <t>DALARNAS LÄN</t>
        </is>
      </c>
      <c r="G346" t="inlineStr">
        <is>
          <t>SÄTER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45804</v>
      </c>
      <c r="E347" s="1" t="n">
        <v>46288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46288</v>
      </c>
      <c r="F348" t="inlineStr">
        <is>
          <t>DALARNAS LÄN</t>
        </is>
      </c>
      <c r="G348" t="inlineStr">
        <is>
          <t>SÄTER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46288</v>
      </c>
      <c r="F349" t="inlineStr">
        <is>
          <t>DALARNAS LÄN</t>
        </is>
      </c>
      <c r="G349" t="inlineStr">
        <is>
          <t>SÄTER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45552</v>
      </c>
      <c r="E350" s="1" t="n">
        <v>46288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32886-2022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44784</v>
      </c>
      <c r="E351" s="1" t="n">
        <v>46288</v>
      </c>
      <c r="F351" t="inlineStr">
        <is>
          <t>DALARNAS LÄN</t>
        </is>
      </c>
      <c r="G351" t="inlineStr">
        <is>
          <t>SÄTER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46288</v>
      </c>
      <c r="F352" t="inlineStr">
        <is>
          <t>DALARNAS LÄN</t>
        </is>
      </c>
      <c r="G352" t="inlineStr">
        <is>
          <t>SÄTER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46288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46288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46288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46288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46288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46288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46288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46288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46288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46288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46288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46288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46288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46288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2026-09-23T01:55:37Z</dcterms:created>
  <dcterms:modified xmlns:dcterms="http://purl.org/dc/terms/" xmlns:xsi="http://www.w3.org/2001/XMLSchema-instance" xsi:type="dcterms:W3CDTF">2026-09-23T01:55:37Z</dcterms:modified>
</cp:coreProperties>
</file>