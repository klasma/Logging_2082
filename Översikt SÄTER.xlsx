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46299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46299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46299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46299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46299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46299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46299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46299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46299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46299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46299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46299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46299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S 2072-2022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44672</v>
      </c>
      <c r="E15" s="1" t="n">
        <v>46299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125.6</v>
      </c>
      <c r="J15" t="n">
        <v>2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5</v>
      </c>
      <c r="U15" t="n">
        <v>5</v>
      </c>
      <c r="V15" s="2" t="inlineStr">
        <is>
          <t>Knärot
Säfferot
Grovticka
Fläcknycklar</t>
        </is>
      </c>
      <c r="W15">
        <f>HYPERLINK("https://klasma.github.io/Logging_2082/artfynd/S 2072-2022 artfynd.xlsx", "S 2072-2022")</f>
        <v/>
      </c>
      <c r="X15">
        <f>HYPERLINK("https://klasma.github.io/Logging_2082/kartor/S 2072-2022 karta.png", "S 2072-2022")</f>
        <v/>
      </c>
      <c r="Y15">
        <f>HYPERLINK("https://klasma.github.io/Logging_2082/kartor_geotiff/S 2072-2022 georefererad karta.tif", "S 2072-2022")</f>
        <v/>
      </c>
      <c r="Z15">
        <f>HYPERLINK("https://klasma.github.io/Logging_2082/knärot/S 2072-2022 karta knärot.png", "S 2072-2022")</f>
        <v/>
      </c>
      <c r="AA15">
        <f>HYPERLINK("https://klasma.github.io/Logging_2082/klagomål/S 2072-2022 FSC-klagomål.docx", "S 2072-2022")</f>
        <v/>
      </c>
      <c r="AB15">
        <f>HYPERLINK("https://klasma.github.io/Logging_2082/klagomålsmail/S 2072-2022 FSC-klagomål mail.docx", "S 2072-2022")</f>
        <v/>
      </c>
      <c r="AC15">
        <f>HYPERLINK("https://klasma.github.io/Logging_2082/tillsyn/S 2072-2022 tillsynsbegäran.docx", "S 2072-2022")</f>
        <v/>
      </c>
      <c r="AD15">
        <f>HYPERLINK("https://klasma.github.io/Logging_2082/tillsynsmail/S 2072-2022 tillsynsbegäran mail.docx", "S 2072-2022")</f>
        <v/>
      </c>
    </row>
    <row r="16" ht="15" customHeight="1">
      <c r="A16" t="inlineStr">
        <is>
          <t>A 64610-2023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45281</v>
      </c>
      <c r="E16" s="1" t="n">
        <v>46299</v>
      </c>
      <c r="F16" t="inlineStr">
        <is>
          <t>DALARNAS LÄN</t>
        </is>
      </c>
      <c r="G16" t="inlineStr">
        <is>
          <t>SÄTER</t>
        </is>
      </c>
      <c r="I16" t="n">
        <v>0.9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13</v>
      </c>
      <c r="U16" t="n">
        <v>13</v>
      </c>
      <c r="V16" s="2" t="inlineStr">
        <is>
          <t>Tvåblad
Brudborste
Fläcknycklar</t>
        </is>
      </c>
      <c r="W16">
        <f>HYPERLINK("https://klasma.github.io/Logging_2082/artfynd/A 64610-2023 artfynd.xlsx", "A 64610-2023")</f>
        <v/>
      </c>
      <c r="X16">
        <f>HYPERLINK("https://klasma.github.io/Logging_2082/kartor/A 64610-2023 karta.png", "A 64610-2023")</f>
        <v/>
      </c>
      <c r="Y16">
        <f>HYPERLINK("https://klasma.github.io/Logging_2082/kartor_geotiff/A 64610-2023 georefererad karta.tif", "A 64610-2023")</f>
        <v/>
      </c>
      <c r="AA16">
        <f>HYPERLINK("https://klasma.github.io/Logging_2082/klagomål/A 64610-2023 FSC-klagomål.docx", "A 64610-2023")</f>
        <v/>
      </c>
      <c r="AB16">
        <f>HYPERLINK("https://klasma.github.io/Logging_2082/klagomålsmail/A 64610-2023 FSC-klagomål mail.docx", "A 64610-2023")</f>
        <v/>
      </c>
      <c r="AC16">
        <f>HYPERLINK("https://klasma.github.io/Logging_2082/tillsyn/A 64610-2023 tillsynsbegäran.docx", "A 64610-2023")</f>
        <v/>
      </c>
      <c r="AD16">
        <f>HYPERLINK("https://klasma.github.io/Logging_2082/tillsynsmail/A 64610-2023 tillsynsbegäran mail.docx", "A 64610-2023")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46299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A 21382-2025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45781</v>
      </c>
      <c r="E18" s="1" t="n">
        <v>46299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37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Brudsporre
Revlummer
Äkta lopplummer</t>
        </is>
      </c>
      <c r="W18">
        <f>HYPERLINK("https://klasma.github.io/Logging_2082/artfynd/A 21382-2025 artfynd.xlsx", "A 21382-2025")</f>
        <v/>
      </c>
      <c r="X18">
        <f>HYPERLINK("https://klasma.github.io/Logging_2082/kartor/A 21382-2025 karta.png", "A 21382-2025")</f>
        <v/>
      </c>
      <c r="Y18">
        <f>HYPERLINK("https://klasma.github.io/Logging_2082/kartor_geotiff/A 21382-2025 georefererad karta.tif", "A 21382-2025")</f>
        <v/>
      </c>
      <c r="AA18">
        <f>HYPERLINK("https://klasma.github.io/Logging_2082/klagomål/A 21382-2025 FSC-klagomål.docx", "A 21382-2025")</f>
        <v/>
      </c>
      <c r="AB18">
        <f>HYPERLINK("https://klasma.github.io/Logging_2082/klagomålsmail/A 21382-2025 FSC-klagomål mail.docx", "A 21382-2025")</f>
        <v/>
      </c>
      <c r="AC18">
        <f>HYPERLINK("https://klasma.github.io/Logging_2082/tillsyn/A 21382-2025 tillsynsbegäran.docx", "A 21382-2025")</f>
        <v/>
      </c>
      <c r="AD18">
        <f>HYPERLINK("https://klasma.github.io/Logging_2082/tillsynsmail/A 21382-2025 tillsynsbegäran mail.docx", "A 21382-2025")</f>
        <v/>
      </c>
    </row>
    <row r="19" ht="15" customHeight="1">
      <c r="A19" t="inlineStr">
        <is>
          <t>A 38692-2026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46281</v>
      </c>
      <c r="E19" s="1" t="n">
        <v>46299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15.5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7</v>
      </c>
      <c r="U19" t="n">
        <v>6</v>
      </c>
      <c r="V19" s="2" t="inlineStr">
        <is>
          <t>Knärot
Blåmossa
Blåsippa</t>
        </is>
      </c>
      <c r="W19">
        <f>HYPERLINK("https://klasma.github.io/Logging_2082/artfynd/A 38692-2026 artfynd.xlsx", "A 38692-2026")</f>
        <v/>
      </c>
      <c r="X19">
        <f>HYPERLINK("https://klasma.github.io/Logging_2082/kartor/A 38692-2026 karta.png", "A 38692-2026")</f>
        <v/>
      </c>
      <c r="Y19">
        <f>HYPERLINK("https://klasma.github.io/Logging_2082/kartor_geotiff/A 38692-2026 georefererad karta.tif", "A 38692-2026")</f>
        <v/>
      </c>
      <c r="Z19">
        <f>HYPERLINK("https://klasma.github.io/Logging_2082/knärot/A 38692-2026 karta knärot.png", "A 38692-2026")</f>
        <v/>
      </c>
      <c r="AA19">
        <f>HYPERLINK("https://klasma.github.io/Logging_2082/klagomål/A 38692-2026 FSC-klagomål.docx", "A 38692-2026")</f>
        <v/>
      </c>
      <c r="AB19">
        <f>HYPERLINK("https://klasma.github.io/Logging_2082/klagomålsmail/A 38692-2026 FSC-klagomål mail.docx", "A 38692-2026")</f>
        <v/>
      </c>
      <c r="AC19">
        <f>HYPERLINK("https://klasma.github.io/Logging_2082/tillsyn/A 38692-2026 tillsynsbegäran.docx", "A 38692-2026")</f>
        <v/>
      </c>
      <c r="AD19">
        <f>HYPERLINK("https://klasma.github.io/Logging_2082/tillsynsmail/A 38692-2026 tillsynsbegäran mail.docx", "A 38692-2026")</f>
        <v/>
      </c>
    </row>
    <row r="20" ht="15" customHeight="1">
      <c r="A20" t="inlineStr">
        <is>
          <t>A 35916-2022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46299</v>
      </c>
      <c r="F20" t="inlineStr">
        <is>
          <t>DALARNAS LÄN</t>
        </is>
      </c>
      <c r="G20" t="inlineStr">
        <is>
          <t>SÄTER</t>
        </is>
      </c>
      <c r="H20" t="inlineStr">
        <is>
          <t>Bergvik skog väst AB</t>
        </is>
      </c>
      <c r="I20" t="n">
        <v>2.6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7</v>
      </c>
      <c r="U20" t="n">
        <v>1</v>
      </c>
      <c r="V20" s="2" t="inlineStr">
        <is>
          <t>Slåttergubbe
Slåtterfibbla
Huggorm</t>
        </is>
      </c>
      <c r="W20">
        <f>HYPERLINK("https://klasma.github.io/Logging_2082/artfynd/A 35916-2022 artfynd.xlsx", "A 35916-2022")</f>
        <v/>
      </c>
      <c r="X20">
        <f>HYPERLINK("https://klasma.github.io/Logging_2082/kartor/A 35916-2022 karta.png", "A 35916-2022")</f>
        <v/>
      </c>
      <c r="Y20">
        <f>HYPERLINK("https://klasma.github.io/Logging_2082/kartor_geotiff/A 35916-2022 georefererad karta.tif", "A 35916-2022")</f>
        <v/>
      </c>
      <c r="AA20">
        <f>HYPERLINK("https://klasma.github.io/Logging_2082/klagomål/A 35916-2022 FSC-klagomål.docx", "A 35916-2022")</f>
        <v/>
      </c>
      <c r="AB20">
        <f>HYPERLINK("https://klasma.github.io/Logging_2082/klagomålsmail/A 35916-2022 FSC-klagomål mail.docx", "A 35916-2022")</f>
        <v/>
      </c>
      <c r="AC20">
        <f>HYPERLINK("https://klasma.github.io/Logging_2082/tillsyn/A 35916-2022 tillsynsbegäran.docx", "A 35916-2022")</f>
        <v/>
      </c>
      <c r="AD20">
        <f>HYPERLINK("https://klasma.github.io/Logging_2082/tillsynsmail/A 35916-2022 tillsynsbegäran mail.docx", "A 35916-2022")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46299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46299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46299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16845-2024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46299</v>
      </c>
      <c r="F24" t="inlineStr">
        <is>
          <t>DALARNAS LÄN</t>
        </is>
      </c>
      <c r="G24" t="inlineStr">
        <is>
          <t>SÄTER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Järpe
Kungsfågel</t>
        </is>
      </c>
      <c r="W24">
        <f>HYPERLINK("https://klasma.github.io/Logging_2082/artfynd/A 16845-2024 artfynd.xlsx", "A 16845-2024")</f>
        <v/>
      </c>
      <c r="X24">
        <f>HYPERLINK("https://klasma.github.io/Logging_2082/kartor/A 16845-2024 karta.png", "A 16845-2024")</f>
        <v/>
      </c>
      <c r="Y24">
        <f>HYPERLINK("https://klasma.github.io/Logging_2082/kartor_geotiff/A 16845-2024 georefererad karta.tif", "A 16845-2024")</f>
        <v/>
      </c>
      <c r="AA24">
        <f>HYPERLINK("https://klasma.github.io/Logging_2082/klagomål/A 16845-2024 FSC-klagomål.docx", "A 16845-2024")</f>
        <v/>
      </c>
      <c r="AB24">
        <f>HYPERLINK("https://klasma.github.io/Logging_2082/klagomålsmail/A 16845-2024 FSC-klagomål mail.docx", "A 16845-2024")</f>
        <v/>
      </c>
      <c r="AC24">
        <f>HYPERLINK("https://klasma.github.io/Logging_2082/tillsyn/A 16845-2024 tillsynsbegäran.docx", "A 16845-2024")</f>
        <v/>
      </c>
      <c r="AD24">
        <f>HYPERLINK("https://klasma.github.io/Logging_2082/tillsynsmail/A 16845-2024 tillsynsbegäran mail.docx", "A 16845-2024")</f>
        <v/>
      </c>
      <c r="AE24">
        <f>HYPERLINK("https://klasma.github.io/Logging_2082/fåglar/A 16845-2024 prioriterade fågelarter.docx", "A 16845-2024")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46299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t="n">
        <v>1</v>
      </c>
      <c r="V25" s="2" t="inlineStr">
        <is>
          <t>Tallticka
Blåsippa</t>
        </is>
      </c>
      <c r="W25">
        <f>HYPERLINK("https://klasma.github.io/Logging_2082/artfynd/A 50079-2023 artfynd.xlsx", "A 50079-2023")</f>
        <v/>
      </c>
      <c r="X25">
        <f>HYPERLINK("https://klasma.github.io/Logging_2082/kartor/A 50079-2023 karta.png", "A 50079-2023")</f>
        <v/>
      </c>
      <c r="Y25">
        <f>HYPERLINK("https://klasma.github.io/Logging_2082/kartor_geotiff/A 50079-2023 georefererad karta.tif", "A 50079-2023")</f>
        <v/>
      </c>
      <c r="AA25">
        <f>HYPERLINK("https://klasma.github.io/Logging_2082/klagomål/A 50079-2023 FSC-klagomål.docx", "A 50079-2023")</f>
        <v/>
      </c>
      <c r="AB25">
        <f>HYPERLINK("https://klasma.github.io/Logging_2082/klagomålsmail/A 50079-2023 FSC-klagomål mail.docx", "A 50079-2023")</f>
        <v/>
      </c>
      <c r="AC25">
        <f>HYPERLINK("https://klasma.github.io/Logging_2082/tillsyn/A 50079-2023 tillsynsbegäran.docx", "A 50079-2023")</f>
        <v/>
      </c>
      <c r="AD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46299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46299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46299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27715-2023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45098</v>
      </c>
      <c r="E29" s="1" t="n">
        <v>46299</v>
      </c>
      <c r="F29" t="inlineStr">
        <is>
          <t>DALARNAS LÄN</t>
        </is>
      </c>
      <c r="G29" t="inlineStr">
        <is>
          <t>SÄTER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HYPERLINK("https://klasma.github.io/Logging_2082/artfynd/A 27715-2023 artfynd.xlsx", "A 27715-2023")</f>
        <v/>
      </c>
      <c r="X29">
        <f>HYPERLINK("https://klasma.github.io/Logging_2082/kartor/A 27715-2023 karta.png", "A 27715-2023")</f>
        <v/>
      </c>
      <c r="Y29">
        <f>HYPERLINK("https://klasma.github.io/Logging_2082/kartor_geotiff/A 27715-2023 georefererad karta.tif", "A 27715-2023")</f>
        <v/>
      </c>
      <c r="AA29">
        <f>HYPERLINK("https://klasma.github.io/Logging_2082/klagomål/A 27715-2023 FSC-klagomål.docx", "A 27715-2023")</f>
        <v/>
      </c>
      <c r="AB29">
        <f>HYPERLINK("https://klasma.github.io/Logging_2082/klagomålsmail/A 27715-2023 FSC-klagomål mail.docx", "A 27715-2023")</f>
        <v/>
      </c>
      <c r="AC29">
        <f>HYPERLINK("https://klasma.github.io/Logging_2082/tillsyn/A 27715-2023 tillsynsbegäran.docx", "A 27715-2023")</f>
        <v/>
      </c>
      <c r="AD29">
        <f>HYPERLINK("https://klasma.github.io/Logging_2082/tillsynsmail/A 27715-2023 tillsynsbegäran mail.docx", "A 27715-2023")</f>
        <v/>
      </c>
    </row>
    <row r="30" ht="15" customHeight="1">
      <c r="A30" t="inlineStr">
        <is>
          <t>A 44992-2024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46299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9.9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HYPERLINK("https://klasma.github.io/Logging_2082/artfynd/A 44992-2024 artfynd.xlsx", "A 44992-2024")</f>
        <v/>
      </c>
      <c r="X30">
        <f>HYPERLINK("https://klasma.github.io/Logging_2082/kartor/A 44992-2024 karta.png", "A 44992-2024")</f>
        <v/>
      </c>
      <c r="Y30">
        <f>HYPERLINK("https://klasma.github.io/Logging_2082/kartor_geotiff/A 44992-2024 georefererad karta.tif", "A 44992-2024")</f>
        <v/>
      </c>
      <c r="AA30">
        <f>HYPERLINK("https://klasma.github.io/Logging_2082/klagomål/A 44992-2024 FSC-klagomål.docx", "A 44992-2024")</f>
        <v/>
      </c>
      <c r="AB30">
        <f>HYPERLINK("https://klasma.github.io/Logging_2082/klagomålsmail/A 44992-2024 FSC-klagomål mail.docx", "A 44992-2024")</f>
        <v/>
      </c>
      <c r="AC30">
        <f>HYPERLINK("https://klasma.github.io/Logging_2082/tillsyn/A 44992-2024 tillsynsbegäran.docx", "A 44992-2024")</f>
        <v/>
      </c>
      <c r="AD30">
        <f>HYPERLINK("https://klasma.github.io/Logging_2082/tillsynsmail/A 44992-2024 tillsynsbegäran mail.docx", "A 44992-2024")</f>
        <v/>
      </c>
    </row>
    <row r="31" ht="15" customHeight="1">
      <c r="A31" t="inlineStr">
        <is>
          <t>A 39406-2024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45551</v>
      </c>
      <c r="E31" s="1" t="n">
        <v>46299</v>
      </c>
      <c r="F31" t="inlineStr">
        <is>
          <t>DALARNAS LÄN</t>
        </is>
      </c>
      <c r="G31" t="inlineStr">
        <is>
          <t>SÄTER</t>
        </is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Sotriska</t>
        </is>
      </c>
      <c r="W31">
        <f>HYPERLINK("https://klasma.github.io/Logging_2082/artfynd/A 39406-2024 artfynd.xlsx", "A 39406-2024")</f>
        <v/>
      </c>
      <c r="X31">
        <f>HYPERLINK("https://klasma.github.io/Logging_2082/kartor/A 39406-2024 karta.png", "A 39406-2024")</f>
        <v/>
      </c>
      <c r="Y31">
        <f>HYPERLINK("https://klasma.github.io/Logging_2082/kartor_geotiff/A 39406-2024 georefererad karta.tif", "A 39406-2024")</f>
        <v/>
      </c>
      <c r="AA31">
        <f>HYPERLINK("https://klasma.github.io/Logging_2082/klagomål/A 39406-2024 FSC-klagomål.docx", "A 39406-2024")</f>
        <v/>
      </c>
      <c r="AB31">
        <f>HYPERLINK("https://klasma.github.io/Logging_2082/klagomålsmail/A 39406-2024 FSC-klagomål mail.docx", "A 39406-2024")</f>
        <v/>
      </c>
      <c r="AC31">
        <f>HYPERLINK("https://klasma.github.io/Logging_2082/tillsyn/A 39406-2024 tillsynsbegäran.docx", "A 39406-2024")</f>
        <v/>
      </c>
      <c r="AD31">
        <f>HYPERLINK("https://klasma.github.io/Logging_2082/tillsynsmail/A 39406-2024 tillsynsbegäran mail.docx", "A 39406-2024")</f>
        <v/>
      </c>
    </row>
    <row r="32" ht="15" customHeight="1">
      <c r="A32" t="inlineStr">
        <is>
          <t>A 47661-2025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46299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13.8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Järnsparv</t>
        </is>
      </c>
      <c r="W32">
        <f>HYPERLINK("https://klasma.github.io/Logging_2082/artfynd/A 47661-2025 artfynd.xlsx", "A 47661-2025")</f>
        <v/>
      </c>
      <c r="X32">
        <f>HYPERLINK("https://klasma.github.io/Logging_2082/kartor/A 47661-2025 karta.png", "A 47661-2025")</f>
        <v/>
      </c>
      <c r="Y32">
        <f>HYPERLINK("https://klasma.github.io/Logging_2082/kartor_geotiff/A 47661-2025 georefererad karta.tif", "A 47661-2025")</f>
        <v/>
      </c>
      <c r="AA32">
        <f>HYPERLINK("https://klasma.github.io/Logging_2082/klagomål/A 47661-2025 FSC-klagomål.docx", "A 47661-2025")</f>
        <v/>
      </c>
      <c r="AB32">
        <f>HYPERLINK("https://klasma.github.io/Logging_2082/klagomålsmail/A 47661-2025 FSC-klagomål mail.docx", "A 47661-2025")</f>
        <v/>
      </c>
      <c r="AC32">
        <f>HYPERLINK("https://klasma.github.io/Logging_2082/tillsyn/A 47661-2025 tillsynsbegäran.docx", "A 47661-2025")</f>
        <v/>
      </c>
      <c r="AD32">
        <f>HYPERLINK("https://klasma.github.io/Logging_2082/tillsynsmail/A 47661-2025 tillsynsbegäran mail.docx", "A 47661-2025")</f>
        <v/>
      </c>
      <c r="AE32">
        <f>HYPERLINK("https://klasma.github.io/Logging_2082/fåglar/A 47661-2025 prioriterade fågelarter.docx", "A 47661-2025")</f>
        <v/>
      </c>
    </row>
    <row r="33" ht="15" customHeight="1">
      <c r="A33" t="inlineStr">
        <is>
          <t>A 49653-2025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45939</v>
      </c>
      <c r="E33" s="1" t="n">
        <v>46299</v>
      </c>
      <c r="F33" t="inlineStr">
        <is>
          <t>DALARNAS LÄN</t>
        </is>
      </c>
      <c r="G33" t="inlineStr">
        <is>
          <t>SÄTER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Ullticka</t>
        </is>
      </c>
      <c r="W33">
        <f>HYPERLINK("https://klasma.github.io/Logging_2082/artfynd/A 49653-2025 artfynd.xlsx", "A 49653-2025")</f>
        <v/>
      </c>
      <c r="X33">
        <f>HYPERLINK("https://klasma.github.io/Logging_2082/kartor/A 49653-2025 karta.png", "A 49653-2025")</f>
        <v/>
      </c>
      <c r="Y33">
        <f>HYPERLINK("https://klasma.github.io/Logging_2082/kartor_geotiff/A 49653-2025 georefererad karta.tif", "A 49653-2025")</f>
        <v/>
      </c>
      <c r="AA33">
        <f>HYPERLINK("https://klasma.github.io/Logging_2082/klagomål/A 49653-2025 FSC-klagomål.docx", "A 49653-2025")</f>
        <v/>
      </c>
      <c r="AB33">
        <f>HYPERLINK("https://klasma.github.io/Logging_2082/klagomålsmail/A 49653-2025 FSC-klagomål mail.docx", "A 49653-2025")</f>
        <v/>
      </c>
      <c r="AC33">
        <f>HYPERLINK("https://klasma.github.io/Logging_2082/tillsyn/A 49653-2025 tillsynsbegäran.docx", "A 49653-2025")</f>
        <v/>
      </c>
      <c r="AD33">
        <f>HYPERLINK("https://klasma.github.io/Logging_2082/tillsynsmail/A 49653-2025 tillsynsbegäran mail.docx", "A 49653-2025")</f>
        <v/>
      </c>
    </row>
    <row r="34" ht="15" customHeight="1">
      <c r="A34" t="inlineStr">
        <is>
          <t>A 36939-2025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46299</v>
      </c>
      <c r="F34" t="inlineStr">
        <is>
          <t>DALARNAS LÄN</t>
        </is>
      </c>
      <c r="G34" t="inlineStr">
        <is>
          <t>SÄTER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Slaguggla</t>
        </is>
      </c>
      <c r="W34">
        <f>HYPERLINK("https://klasma.github.io/Logging_2082/artfynd/A 36939-2025 artfynd.xlsx", "A 36939-2025")</f>
        <v/>
      </c>
      <c r="X34">
        <f>HYPERLINK("https://klasma.github.io/Logging_2082/kartor/A 36939-2025 karta.png", "A 36939-2025")</f>
        <v/>
      </c>
      <c r="Y34">
        <f>HYPERLINK("https://klasma.github.io/Logging_2082/kartor_geotiff/A 36939-2025 georefererad karta.tif", "A 36939-2025")</f>
        <v/>
      </c>
      <c r="AA34">
        <f>HYPERLINK("https://klasma.github.io/Logging_2082/klagomål/A 36939-2025 FSC-klagomål.docx", "A 36939-2025")</f>
        <v/>
      </c>
      <c r="AB34">
        <f>HYPERLINK("https://klasma.github.io/Logging_2082/klagomålsmail/A 36939-2025 FSC-klagomål mail.docx", "A 36939-2025")</f>
        <v/>
      </c>
      <c r="AC34">
        <f>HYPERLINK("https://klasma.github.io/Logging_2082/tillsyn/A 36939-2025 tillsynsbegäran.docx", "A 36939-2025")</f>
        <v/>
      </c>
      <c r="AD34">
        <f>HYPERLINK("https://klasma.github.io/Logging_2082/tillsynsmail/A 36939-2025 tillsynsbegäran mail.docx", "A 36939-2025")</f>
        <v/>
      </c>
      <c r="AE34">
        <f>HYPERLINK("https://klasma.github.io/Logging_2082/fåglar/A 36939-2025 prioriterade fågelarter.docx", "A 36939-2025")</f>
        <v/>
      </c>
    </row>
    <row r="35" ht="15" customHeight="1">
      <c r="A35" t="inlineStr">
        <is>
          <t>A 11533-2026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46083</v>
      </c>
      <c r="E35" s="1" t="n">
        <v>46299</v>
      </c>
      <c r="F35" t="inlineStr">
        <is>
          <t>DALARNAS LÄN</t>
        </is>
      </c>
      <c r="G35" t="inlineStr">
        <is>
          <t>SÄTER</t>
        </is>
      </c>
      <c r="H35" t="inlineStr">
        <is>
          <t>Kommuner</t>
        </is>
      </c>
      <c r="I35" t="n">
        <v>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Fläcknycklar</t>
        </is>
      </c>
      <c r="W35">
        <f>HYPERLINK("https://klasma.github.io/Logging_2082/artfynd/A 11533-2026 artfynd.xlsx", "A 11533-2026")</f>
        <v/>
      </c>
      <c r="X35">
        <f>HYPERLINK("https://klasma.github.io/Logging_2082/kartor/A 11533-2026 karta.png", "A 11533-2026")</f>
        <v/>
      </c>
      <c r="Y35">
        <f>HYPERLINK("https://klasma.github.io/Logging_2082/kartor_geotiff/A 11533-2026 georefererad karta.tif", "A 11533-2026")</f>
        <v/>
      </c>
      <c r="AA35">
        <f>HYPERLINK("https://klasma.github.io/Logging_2082/klagomål/A 11533-2026 FSC-klagomål.docx", "A 11533-2026")</f>
        <v/>
      </c>
      <c r="AB35">
        <f>HYPERLINK("https://klasma.github.io/Logging_2082/klagomålsmail/A 11533-2026 FSC-klagomål mail.docx", "A 11533-2026")</f>
        <v/>
      </c>
      <c r="AC35">
        <f>HYPERLINK("https://klasma.github.io/Logging_2082/tillsyn/A 11533-2026 tillsynsbegäran.docx", "A 11533-2026")</f>
        <v/>
      </c>
      <c r="AD35">
        <f>HYPERLINK("https://klasma.github.io/Logging_2082/tillsynsmail/A 11533-2026 tillsynsbegäran mail.docx", "A 11533-2026")</f>
        <v/>
      </c>
    </row>
    <row r="36" ht="15" customHeight="1">
      <c r="A36" t="inlineStr">
        <is>
          <t>A 61197-2025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46299</v>
      </c>
      <c r="F36" t="inlineStr">
        <is>
          <t>DALARNAS LÄN</t>
        </is>
      </c>
      <c r="G36" t="inlineStr">
        <is>
          <t>SÄTER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61197-2025 artfynd.xlsx", "A 61197-2025")</f>
        <v/>
      </c>
      <c r="X36">
        <f>HYPERLINK("https://klasma.github.io/Logging_2082/kartor/A 61197-2025 karta.png", "A 61197-2025")</f>
        <v/>
      </c>
      <c r="Y36">
        <f>HYPERLINK("https://klasma.github.io/Logging_2082/kartor_geotiff/A 61197-2025 georefererad karta.tif", "A 61197-2025")</f>
        <v/>
      </c>
      <c r="Z36">
        <f>HYPERLINK("https://klasma.github.io/Logging_2082/knärot/A 61197-2025 karta knärot.png", "A 61197-2025")</f>
        <v/>
      </c>
      <c r="AA36">
        <f>HYPERLINK("https://klasma.github.io/Logging_2082/klagomål/A 61197-2025 FSC-klagomål.docx", "A 61197-2025")</f>
        <v/>
      </c>
      <c r="AB36">
        <f>HYPERLINK("https://klasma.github.io/Logging_2082/klagomålsmail/A 61197-2025 FSC-klagomål mail.docx", "A 61197-2025")</f>
        <v/>
      </c>
      <c r="AC36">
        <f>HYPERLINK("https://klasma.github.io/Logging_2082/tillsyn/A 61197-2025 tillsynsbegäran.docx", "A 61197-2025")</f>
        <v/>
      </c>
      <c r="AD36">
        <f>HYPERLINK("https://klasma.github.io/Logging_2082/tillsynsmail/A 61197-2025 tillsynsbegäran mail.docx", "A 61197-2025")</f>
        <v/>
      </c>
    </row>
    <row r="37" ht="15" customHeight="1">
      <c r="A37" t="inlineStr">
        <is>
          <t>A 34938-2025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46299</v>
      </c>
      <c r="F37" t="inlineStr">
        <is>
          <t>DALARNAS LÄN</t>
        </is>
      </c>
      <c r="G37" t="inlineStr">
        <is>
          <t>SÄTER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HYPERLINK("https://klasma.github.io/Logging_2082/artfynd/A 34938-2025 artfynd.xlsx", "A 34938-2025")</f>
        <v/>
      </c>
      <c r="X37">
        <f>HYPERLINK("https://klasma.github.io/Logging_2082/kartor/A 34938-2025 karta.png", "A 34938-2025")</f>
        <v/>
      </c>
      <c r="Y37">
        <f>HYPERLINK("https://klasma.github.io/Logging_2082/kartor_geotiff/A 34938-2025 georefererad karta.tif", "A 34938-2025")</f>
        <v/>
      </c>
      <c r="AA37">
        <f>HYPERLINK("https://klasma.github.io/Logging_2082/klagomål/A 34938-2025 FSC-klagomål.docx", "A 34938-2025")</f>
        <v/>
      </c>
      <c r="AB37">
        <f>HYPERLINK("https://klasma.github.io/Logging_2082/klagomålsmail/A 34938-2025 FSC-klagomål mail.docx", "A 34938-2025")</f>
        <v/>
      </c>
      <c r="AC37">
        <f>HYPERLINK("https://klasma.github.io/Logging_2082/tillsyn/A 34938-2025 tillsynsbegäran.docx", "A 34938-2025")</f>
        <v/>
      </c>
      <c r="AD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45853</v>
      </c>
      <c r="E38" s="1" t="n">
        <v>46299</v>
      </c>
      <c r="F38" t="inlineStr">
        <is>
          <t>DALARNAS LÄN</t>
        </is>
      </c>
      <c r="G38" t="inlineStr">
        <is>
          <t>SÄTER</t>
        </is>
      </c>
      <c r="I38" t="n">
        <v>9.5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Vedskivlav</t>
        </is>
      </c>
      <c r="W38">
        <f>HYPERLINK("https://klasma.github.io/Logging_2082/artfynd/A 35221-2025 artfynd.xlsx", "A 35221-2025")</f>
        <v/>
      </c>
      <c r="X38">
        <f>HYPERLINK("https://klasma.github.io/Logging_2082/kartor/A 35221-2025 karta.png", "A 35221-2025")</f>
        <v/>
      </c>
      <c r="Y38">
        <f>HYPERLINK("https://klasma.github.io/Logging_2082/kartor_geotiff/A 35221-2025 georefererad karta.tif", "A 35221-2025")</f>
        <v/>
      </c>
      <c r="AA38">
        <f>HYPERLINK("https://klasma.github.io/Logging_2082/klagomål/A 35221-2025 FSC-klagomål.docx", "A 35221-2025")</f>
        <v/>
      </c>
      <c r="AB38">
        <f>HYPERLINK("https://klasma.github.io/Logging_2082/klagomålsmail/A 35221-2025 FSC-klagomål mail.docx", "A 35221-2025")</f>
        <v/>
      </c>
      <c r="AC38">
        <f>HYPERLINK("https://klasma.github.io/Logging_2082/tillsyn/A 35221-2025 tillsynsbegäran.docx", "A 35221-2025")</f>
        <v/>
      </c>
      <c r="AD38">
        <f>HYPERLINK("https://klasma.github.io/Logging_2082/tillsynsmail/A 35221-2025 tillsynsbegäran mail.docx", "A 35221-2025")</f>
        <v/>
      </c>
    </row>
    <row r="39" ht="15" customHeight="1">
      <c r="A39" t="inlineStr">
        <is>
          <t>A 9682-2025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46299</v>
      </c>
      <c r="F39" t="inlineStr">
        <is>
          <t>DALARNAS LÄN</t>
        </is>
      </c>
      <c r="G39" t="inlineStr">
        <is>
          <t>SÄTER</t>
        </is>
      </c>
      <c r="I39" t="n">
        <v>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Ögonpyrola</t>
        </is>
      </c>
      <c r="W39">
        <f>HYPERLINK("https://klasma.github.io/Logging_2082/artfynd/A 9682-2025 artfynd.xlsx", "A 9682-2025")</f>
        <v/>
      </c>
      <c r="X39">
        <f>HYPERLINK("https://klasma.github.io/Logging_2082/kartor/A 9682-2025 karta.png", "A 9682-2025")</f>
        <v/>
      </c>
      <c r="Y39">
        <f>HYPERLINK("https://klasma.github.io/Logging_2082/kartor_geotiff/A 9682-2025 georefererad karta.tif", "A 9682-2025")</f>
        <v/>
      </c>
      <c r="AA39">
        <f>HYPERLINK("https://klasma.github.io/Logging_2082/klagomål/A 9682-2025 FSC-klagomål.docx", "A 9682-2025")</f>
        <v/>
      </c>
      <c r="AB39">
        <f>HYPERLINK("https://klasma.github.io/Logging_2082/klagomålsmail/A 9682-2025 FSC-klagomål mail.docx", "A 9682-2025")</f>
        <v/>
      </c>
      <c r="AC39">
        <f>HYPERLINK("https://klasma.github.io/Logging_2082/tillsyn/A 9682-2025 tillsynsbegäran.docx", "A 9682-2025")</f>
        <v/>
      </c>
      <c r="AD39">
        <f>HYPERLINK("https://klasma.github.io/Logging_2082/tillsynsmail/A 9682-2025 tillsynsbegäran mail.docx", "A 9682-2025")</f>
        <v/>
      </c>
    </row>
    <row r="40" ht="15" customHeight="1">
      <c r="A40" t="inlineStr">
        <is>
          <t>A 21111-2026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46299</v>
      </c>
      <c r="F40" t="inlineStr">
        <is>
          <t>DALARNAS LÄN</t>
        </is>
      </c>
      <c r="G40" t="inlineStr">
        <is>
          <t>SÄTER</t>
        </is>
      </c>
      <c r="I40" t="n">
        <v>4.6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Fjällig taggsvamp s.str.</t>
        </is>
      </c>
      <c r="W40">
        <f>HYPERLINK("https://klasma.github.io/Logging_2082/artfynd/A 21111-2026 artfynd.xlsx", "A 21111-2026")</f>
        <v/>
      </c>
      <c r="X40">
        <f>HYPERLINK("https://klasma.github.io/Logging_2082/kartor/A 21111-2026 karta.png", "A 21111-2026")</f>
        <v/>
      </c>
      <c r="Y40">
        <f>HYPERLINK("https://klasma.github.io/Logging_2082/kartor_geotiff/A 21111-2026 georefererad karta.tif", "A 21111-2026")</f>
        <v/>
      </c>
      <c r="AA40">
        <f>HYPERLINK("https://klasma.github.io/Logging_2082/klagomål/A 21111-2026 FSC-klagomål.docx", "A 21111-2026")</f>
        <v/>
      </c>
      <c r="AB40">
        <f>HYPERLINK("https://klasma.github.io/Logging_2082/klagomålsmail/A 21111-2026 FSC-klagomål mail.docx", "A 21111-2026")</f>
        <v/>
      </c>
      <c r="AC40">
        <f>HYPERLINK("https://klasma.github.io/Logging_2082/tillsyn/A 21111-2026 tillsynsbegäran.docx", "A 21111-2026")</f>
        <v/>
      </c>
      <c r="AD40">
        <f>HYPERLINK("https://klasma.github.io/Logging_2082/tillsynsmail/A 21111-2026 tillsynsbegäran mail.docx", "A 21111-2026")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46299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68448-2021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46299</v>
      </c>
      <c r="F42" t="inlineStr">
        <is>
          <t>DALARNAS LÄN</t>
        </is>
      </c>
      <c r="G42" t="inlineStr">
        <is>
          <t>SÄTER</t>
        </is>
      </c>
      <c r="I42" t="n">
        <v>1.4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HYPERLINK("https://klasma.github.io/Logging_2082/artfynd/A 68448-2021 artfynd.xlsx", "A 68448-2021")</f>
        <v/>
      </c>
      <c r="X42">
        <f>HYPERLINK("https://klasma.github.io/Logging_2082/kartor/A 68448-2021 karta.png", "A 68448-2021")</f>
        <v/>
      </c>
      <c r="Y42">
        <f>HYPERLINK("https://klasma.github.io/Logging_2082/kartor_geotiff/A 68448-2021 georefererad karta.tif", "A 68448-2021")</f>
        <v/>
      </c>
      <c r="Z42">
        <f>HYPERLINK("https://klasma.github.io/Logging_2082/knärot/A 68448-2021 karta knärot.png", "A 68448-2021")</f>
        <v/>
      </c>
      <c r="AA42">
        <f>HYPERLINK("https://klasma.github.io/Logging_2082/klagomål/A 68448-2021 FSC-klagomål.docx", "A 68448-2021")</f>
        <v/>
      </c>
      <c r="AB42">
        <f>HYPERLINK("https://klasma.github.io/Logging_2082/klagomålsmail/A 68448-2021 FSC-klagomål mail.docx", "A 68448-2021")</f>
        <v/>
      </c>
      <c r="AC42">
        <f>HYPERLINK("https://klasma.github.io/Logging_2082/tillsyn/A 68448-2021 tillsynsbegäran.docx", "A 68448-2021")</f>
        <v/>
      </c>
      <c r="AD42">
        <f>HYPERLINK("https://klasma.github.io/Logging_2082/tillsynsmail/A 68448-2021 tillsynsbegäran mail.docx", "A 68448-2021")</f>
        <v/>
      </c>
    </row>
    <row r="43" ht="15" customHeight="1">
      <c r="A43" t="inlineStr">
        <is>
          <t>A 32383-2022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44781</v>
      </c>
      <c r="E43" s="1" t="n">
        <v>46299</v>
      </c>
      <c r="F43" t="inlineStr">
        <is>
          <t>DALARNAS LÄN</t>
        </is>
      </c>
      <c r="G43" t="inlineStr">
        <is>
          <t>SÄTER</t>
        </is>
      </c>
      <c r="H43" t="inlineStr">
        <is>
          <t>Bergvik skog väst AB</t>
        </is>
      </c>
      <c r="I43" t="n">
        <v>4.1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HYPERLINK("https://klasma.github.io/Logging_2082/artfynd/A 32383-2022 artfynd.xlsx", "A 32383-2022")</f>
        <v/>
      </c>
      <c r="X43">
        <f>HYPERLINK("https://klasma.github.io/Logging_2082/kartor/A 32383-2022 karta.png", "A 32383-2022")</f>
        <v/>
      </c>
      <c r="Y43">
        <f>HYPERLINK("https://klasma.github.io/Logging_2082/kartor_geotiff/A 32383-2022 georefererad karta.tif", "A 32383-2022")</f>
        <v/>
      </c>
      <c r="Z43">
        <f>HYPERLINK("https://klasma.github.io/Logging_2082/knärot/A 32383-2022 karta knärot.png", "A 32383-2022")</f>
        <v/>
      </c>
      <c r="AA43">
        <f>HYPERLINK("https://klasma.github.io/Logging_2082/klagomål/A 32383-2022 FSC-klagomål.docx", "A 32383-2022")</f>
        <v/>
      </c>
      <c r="AB43">
        <f>HYPERLINK("https://klasma.github.io/Logging_2082/klagomålsmail/A 32383-2022 FSC-klagomål mail.docx", "A 32383-2022")</f>
        <v/>
      </c>
      <c r="AC43">
        <f>HYPERLINK("https://klasma.github.io/Logging_2082/tillsyn/A 32383-2022 tillsynsbegäran.docx", "A 32383-2022")</f>
        <v/>
      </c>
      <c r="AD43">
        <f>HYPERLINK("https://klasma.github.io/Logging_2082/tillsynsmail/A 32383-2022 tillsynsbegäran mail.docx", "A 32383-2022")</f>
        <v/>
      </c>
    </row>
    <row r="44" ht="15" customHeight="1">
      <c r="A44" t="inlineStr">
        <is>
          <t>A 33605-2022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46299</v>
      </c>
      <c r="F44" t="inlineStr">
        <is>
          <t>DALARNAS LÄN</t>
        </is>
      </c>
      <c r="G44" t="inlineStr">
        <is>
          <t>SÄTER</t>
        </is>
      </c>
      <c r="I44" t="n">
        <v>1.2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Ullticka</t>
        </is>
      </c>
      <c r="W44">
        <f>HYPERLINK("https://klasma.github.io/Logging_2082/artfynd/A 33605-2022 artfynd.xlsx", "A 33605-2022")</f>
        <v/>
      </c>
      <c r="X44">
        <f>HYPERLINK("https://klasma.github.io/Logging_2082/kartor/A 33605-2022 karta.png", "A 33605-2022")</f>
        <v/>
      </c>
      <c r="Y44">
        <f>HYPERLINK("https://klasma.github.io/Logging_2082/kartor_geotiff/A 33605-2022 georefererad karta.tif", "A 33605-2022")</f>
        <v/>
      </c>
      <c r="AA44">
        <f>HYPERLINK("https://klasma.github.io/Logging_2082/klagomål/A 33605-2022 FSC-klagomål.docx", "A 33605-2022")</f>
        <v/>
      </c>
      <c r="AB44">
        <f>HYPERLINK("https://klasma.github.io/Logging_2082/klagomålsmail/A 33605-2022 FSC-klagomål mail.docx", "A 33605-2022")</f>
        <v/>
      </c>
      <c r="AC44">
        <f>HYPERLINK("https://klasma.github.io/Logging_2082/tillsyn/A 33605-2022 tillsynsbegäran.docx", "A 33605-2022")</f>
        <v/>
      </c>
      <c r="AD44">
        <f>HYPERLINK("https://klasma.github.io/Logging_2082/tillsynsmail/A 33605-2022 tillsynsbegäran mail.docx", "A 33605-2022")</f>
        <v/>
      </c>
    </row>
    <row r="45" ht="15" customHeight="1">
      <c r="A45" t="inlineStr">
        <is>
          <t>A 37896-2026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46299</v>
      </c>
      <c r="F45" t="inlineStr">
        <is>
          <t>DALARNAS LÄN</t>
        </is>
      </c>
      <c r="G45" t="inlineStr">
        <is>
          <t>SÄTER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Gräddticka</t>
        </is>
      </c>
      <c r="W45">
        <f>HYPERLINK("https://klasma.github.io/Logging_2082/artfynd/A 37896-2026 artfynd.xlsx", "A 37896-2026")</f>
        <v/>
      </c>
      <c r="X45">
        <f>HYPERLINK("https://klasma.github.io/Logging_2082/kartor/A 37896-2026 karta.png", "A 37896-2026")</f>
        <v/>
      </c>
      <c r="Y45">
        <f>HYPERLINK("https://klasma.github.io/Logging_2082/kartor_geotiff/A 37896-2026 georefererad karta.tif", "A 37896-2026")</f>
        <v/>
      </c>
      <c r="AA45">
        <f>HYPERLINK("https://klasma.github.io/Logging_2082/klagomål/A 37896-2026 FSC-klagomål.docx", "A 37896-2026")</f>
        <v/>
      </c>
      <c r="AB45">
        <f>HYPERLINK("https://klasma.github.io/Logging_2082/klagomålsmail/A 37896-2026 FSC-klagomål mail.docx", "A 37896-2026")</f>
        <v/>
      </c>
      <c r="AC45">
        <f>HYPERLINK("https://klasma.github.io/Logging_2082/tillsyn/A 37896-2026 tillsynsbegäran.docx", "A 37896-2026")</f>
        <v/>
      </c>
      <c r="AD45">
        <f>HYPERLINK("https://klasma.github.io/Logging_2082/tillsynsmail/A 37896-2026 tillsynsbegäran mail.docx", "A 37896-2026")</f>
        <v/>
      </c>
    </row>
    <row r="46" ht="15" customHeight="1">
      <c r="A46" t="inlineStr">
        <is>
          <t>A 57427-2022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44896</v>
      </c>
      <c r="E46" s="1" t="n">
        <v>46299</v>
      </c>
      <c r="F46" t="inlineStr">
        <is>
          <t>DALARNAS LÄN</t>
        </is>
      </c>
      <c r="G46" t="inlineStr">
        <is>
          <t>SÄTER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HYPERLINK("https://klasma.github.io/Logging_2082/artfynd/A 57427-2022 artfynd.xlsx", "A 57427-2022")</f>
        <v/>
      </c>
      <c r="X46">
        <f>HYPERLINK("https://klasma.github.io/Logging_2082/kartor/A 57427-2022 karta.png", "A 57427-2022")</f>
        <v/>
      </c>
      <c r="Y46">
        <f>HYPERLINK("https://klasma.github.io/Logging_2082/kartor_geotiff/A 57427-2022 georefererad karta.tif", "A 57427-2022")</f>
        <v/>
      </c>
      <c r="AA46">
        <f>HYPERLINK("https://klasma.github.io/Logging_2082/klagomål/A 57427-2022 FSC-klagomål.docx", "A 57427-2022")</f>
        <v/>
      </c>
      <c r="AB46">
        <f>HYPERLINK("https://klasma.github.io/Logging_2082/klagomålsmail/A 57427-2022 FSC-klagomål mail.docx", "A 57427-2022")</f>
        <v/>
      </c>
      <c r="AC46">
        <f>HYPERLINK("https://klasma.github.io/Logging_2082/tillsyn/A 57427-2022 tillsynsbegäran.docx", "A 57427-2022")</f>
        <v/>
      </c>
      <c r="AD46">
        <f>HYPERLINK("https://klasma.github.io/Logging_2082/tillsynsmail/A 57427-2022 tillsynsbegäran mail.docx", "A 57427-2022")</f>
        <v/>
      </c>
    </row>
    <row r="47" ht="15" customHeight="1">
      <c r="A47" t="inlineStr">
        <is>
          <t>A 5232-2022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44594</v>
      </c>
      <c r="E47" s="1" t="n">
        <v>46299</v>
      </c>
      <c r="F47" t="inlineStr">
        <is>
          <t>DALARNAS LÄN</t>
        </is>
      </c>
      <c r="G47" t="inlineStr">
        <is>
          <t>SÄTER</t>
        </is>
      </c>
      <c r="I47" t="n">
        <v>2.5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Tvåblad</t>
        </is>
      </c>
      <c r="W47">
        <f>HYPERLINK("https://klasma.github.io/Logging_2082/artfynd/A 5232-2022 artfynd.xlsx", "A 5232-2022")</f>
        <v/>
      </c>
      <c r="X47">
        <f>HYPERLINK("https://klasma.github.io/Logging_2082/kartor/A 5232-2022 karta.png", "A 5232-2022")</f>
        <v/>
      </c>
      <c r="Y47">
        <f>HYPERLINK("https://klasma.github.io/Logging_2082/kartor_geotiff/A 5232-2022 georefererad karta.tif", "A 5232-2022")</f>
        <v/>
      </c>
      <c r="AA47">
        <f>HYPERLINK("https://klasma.github.io/Logging_2082/klagomål/A 5232-2022 FSC-klagomål.docx", "A 5232-2022")</f>
        <v/>
      </c>
      <c r="AB47">
        <f>HYPERLINK("https://klasma.github.io/Logging_2082/klagomålsmail/A 5232-2022 FSC-klagomål mail.docx", "A 5232-2022")</f>
        <v/>
      </c>
      <c r="AC47">
        <f>HYPERLINK("https://klasma.github.io/Logging_2082/tillsyn/A 5232-2022 tillsynsbegäran.docx", "A 5232-2022")</f>
        <v/>
      </c>
      <c r="AD47">
        <f>HYPERLINK("https://klasma.github.io/Logging_2082/tillsynsmail/A 5232-2022 tillsynsbegäran mail.docx", "A 5232-2022")</f>
        <v/>
      </c>
    </row>
    <row r="48" ht="15" customHeight="1">
      <c r="A48" t="inlineStr">
        <is>
          <t>S 4834-2022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44804</v>
      </c>
      <c r="E48" s="1" t="n">
        <v>46299</v>
      </c>
      <c r="F48" t="inlineStr">
        <is>
          <t>DALARNAS LÄN</t>
        </is>
      </c>
      <c r="G48" t="inlineStr">
        <is>
          <t>SÄTER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Knärot</t>
        </is>
      </c>
      <c r="W48">
        <f>HYPERLINK("https://klasma.github.io/Logging_2082/artfynd/S 4834-2022 artfynd.xlsx", "S 4834-2022")</f>
        <v/>
      </c>
      <c r="X48">
        <f>HYPERLINK("https://klasma.github.io/Logging_2082/kartor/S 4834-2022 karta.png", "S 4834-2022")</f>
        <v/>
      </c>
      <c r="Y48">
        <f>HYPERLINK("https://klasma.github.io/Logging_2082/kartor_geotiff/S 4834-2022 georefererad karta.tif", "S 4834-2022")</f>
        <v/>
      </c>
      <c r="Z48">
        <f>HYPERLINK("https://klasma.github.io/Logging_2082/knärot/S 4834-2022 karta knärot.png", "S 4834-2022")</f>
        <v/>
      </c>
      <c r="AA48">
        <f>HYPERLINK("https://klasma.github.io/Logging_2082/klagomål/S 4834-2022 FSC-klagomål.docx", "S 4834-2022")</f>
        <v/>
      </c>
      <c r="AB48">
        <f>HYPERLINK("https://klasma.github.io/Logging_2082/klagomålsmail/S 4834-2022 FSC-klagomål mail.docx", "S 4834-2022")</f>
        <v/>
      </c>
      <c r="AC48">
        <f>HYPERLINK("https://klasma.github.io/Logging_2082/tillsyn/S 4834-2022 tillsynsbegäran.docx", "S 4834-2022")</f>
        <v/>
      </c>
      <c r="AD48">
        <f>HYPERLINK("https://klasma.github.io/Logging_2082/tillsynsmail/S 4834-2022 tillsynsbegäran mail.docx", "S 4834-2022")</f>
        <v/>
      </c>
    </row>
    <row r="49" ht="15" customHeight="1">
      <c r="A49" t="inlineStr">
        <is>
          <t>S 2622-2023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45147</v>
      </c>
      <c r="E49" s="1" t="n">
        <v>46299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46.1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Knärot</t>
        </is>
      </c>
      <c r="W49">
        <f>HYPERLINK("https://klasma.github.io/Logging_2082/artfynd/S 2622-2023 artfynd.xlsx", "S 2622-2023")</f>
        <v/>
      </c>
      <c r="X49">
        <f>HYPERLINK("https://klasma.github.io/Logging_2082/kartor/S 2622-2023 karta.png", "S 2622-2023")</f>
        <v/>
      </c>
      <c r="Y49">
        <f>HYPERLINK("https://klasma.github.io/Logging_2082/kartor_geotiff/S 2622-2023 georefererad karta.tif", "S 2622-2023")</f>
        <v/>
      </c>
      <c r="Z49">
        <f>HYPERLINK("https://klasma.github.io/Logging_2082/knärot/S 2622-2023 karta knärot.png", "S 2622-2023")</f>
        <v/>
      </c>
      <c r="AA49">
        <f>HYPERLINK("https://klasma.github.io/Logging_2082/klagomål/S 2622-2023 FSC-klagomål.docx", "S 2622-2023")</f>
        <v/>
      </c>
      <c r="AB49">
        <f>HYPERLINK("https://klasma.github.io/Logging_2082/klagomålsmail/S 2622-2023 FSC-klagomål mail.docx", "S 2622-2023")</f>
        <v/>
      </c>
      <c r="AC49">
        <f>HYPERLINK("https://klasma.github.io/Logging_2082/tillsyn/S 2622-2023 tillsynsbegäran.docx", "S 2622-2023")</f>
        <v/>
      </c>
      <c r="AD49">
        <f>HYPERLINK("https://klasma.github.io/Logging_2082/tillsynsmail/S 2622-2023 tillsynsbegäran mail.docx", "S 2622-2023")</f>
        <v/>
      </c>
    </row>
    <row r="50" ht="15" customHeight="1">
      <c r="A50" t="inlineStr">
        <is>
          <t>S 2034-2026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46211</v>
      </c>
      <c r="E50" s="1" t="n">
        <v>46299</v>
      </c>
      <c r="F50" t="inlineStr">
        <is>
          <t>DALARNAS LÄN</t>
        </is>
      </c>
      <c r="G50" t="inlineStr">
        <is>
          <t>SÄTER</t>
        </is>
      </c>
      <c r="I50" t="n">
        <v>0.4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HYPERLINK("https://klasma.github.io/Logging_2082/artfynd/S 2034-2026 artfynd.xlsx", "S 2034-2026")</f>
        <v/>
      </c>
      <c r="X50">
        <f>HYPERLINK("https://klasma.github.io/Logging_2082/kartor/S 2034-2026 karta.png", "S 2034-2026")</f>
        <v/>
      </c>
      <c r="Y50">
        <f>HYPERLINK("https://klasma.github.io/Logging_2082/kartor_geotiff/S 2034-2026 georefererad karta.tif", "S 2034-2026")</f>
        <v/>
      </c>
      <c r="Z50">
        <f>HYPERLINK("https://klasma.github.io/Logging_2082/knärot/S 2034-2026 karta knärot.png", "S 2034-2026")</f>
        <v/>
      </c>
      <c r="AA50">
        <f>HYPERLINK("https://klasma.github.io/Logging_2082/klagomål/S 2034-2026 FSC-klagomål.docx", "S 2034-2026")</f>
        <v/>
      </c>
      <c r="AB50">
        <f>HYPERLINK("https://klasma.github.io/Logging_2082/klagomålsmail/S 2034-2026 FSC-klagomål mail.docx", "S 2034-2026")</f>
        <v/>
      </c>
      <c r="AC50">
        <f>HYPERLINK("https://klasma.github.io/Logging_2082/tillsyn/S 2034-2026 tillsynsbegäran.docx", "S 2034-2026")</f>
        <v/>
      </c>
      <c r="AD50">
        <f>HYPERLINK("https://klasma.github.io/Logging_2082/tillsynsmail/S 2034-2026 tillsynsbegäran mail.docx", "S 2034-2026")</f>
        <v/>
      </c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46299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24204-2022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46299</v>
      </c>
      <c r="F52" t="inlineStr">
        <is>
          <t>DALARNAS LÄN</t>
        </is>
      </c>
      <c r="G52" t="inlineStr">
        <is>
          <t>SÄTER</t>
        </is>
      </c>
      <c r="H52" t="inlineStr">
        <is>
          <t>Bergvik skog väst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44864</v>
      </c>
      <c r="E53" s="1" t="n">
        <v>46299</v>
      </c>
      <c r="F53" t="inlineStr">
        <is>
          <t>DALARNAS LÄN</t>
        </is>
      </c>
      <c r="G53" t="inlineStr">
        <is>
          <t>SÄTER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72987-2021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44549</v>
      </c>
      <c r="E54" s="1" t="n">
        <v>46299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65388-2021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46299</v>
      </c>
      <c r="F55" t="inlineStr">
        <is>
          <t>DALARNAS LÄN</t>
        </is>
      </c>
      <c r="G55" t="inlineStr">
        <is>
          <t>SÄTER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64615-2021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44511</v>
      </c>
      <c r="E56" s="1" t="n">
        <v>46299</v>
      </c>
      <c r="F56" t="inlineStr">
        <is>
          <t>DALARNAS LÄN</t>
        </is>
      </c>
      <c r="G56" t="inlineStr">
        <is>
          <t>SÄTER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46299</v>
      </c>
      <c r="F57" t="inlineStr">
        <is>
          <t>DALARNAS LÄN</t>
        </is>
      </c>
      <c r="G57" t="inlineStr">
        <is>
          <t>SÄTER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18757-2022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44688</v>
      </c>
      <c r="E58" s="1" t="n">
        <v>46299</v>
      </c>
      <c r="F58" t="inlineStr">
        <is>
          <t>DALARNAS LÄN</t>
        </is>
      </c>
      <c r="G58" t="inlineStr">
        <is>
          <t>SÄTER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72518-2021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46299</v>
      </c>
      <c r="F59" t="inlineStr">
        <is>
          <t>DALARNAS LÄN</t>
        </is>
      </c>
      <c r="G59" t="inlineStr">
        <is>
          <t>SÄTER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24253-2022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46299</v>
      </c>
      <c r="F60" t="inlineStr">
        <is>
          <t>DALARNAS LÄN</t>
        </is>
      </c>
      <c r="G60" t="inlineStr">
        <is>
          <t>SÄTER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61400-2021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44500</v>
      </c>
      <c r="E61" s="1" t="n">
        <v>46299</v>
      </c>
      <c r="F61" t="inlineStr">
        <is>
          <t>DALARNAS LÄN</t>
        </is>
      </c>
      <c r="G61" t="inlineStr">
        <is>
          <t>SÄTER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62389-2021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46299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44502</v>
      </c>
      <c r="E63" s="1" t="n">
        <v>46299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46299</v>
      </c>
      <c r="F64" t="inlineStr">
        <is>
          <t>DALARNAS LÄN</t>
        </is>
      </c>
      <c r="G64" t="inlineStr">
        <is>
          <t>SÄTER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46299</v>
      </c>
      <c r="F65" t="inlineStr">
        <is>
          <t>DALARNAS LÄN</t>
        </is>
      </c>
      <c r="G65" t="inlineStr">
        <is>
          <t>SÄTER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46299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46299</v>
      </c>
      <c r="F67" t="inlineStr">
        <is>
          <t>DALARNAS LÄN</t>
        </is>
      </c>
      <c r="G67" t="inlineStr">
        <is>
          <t>SÄTER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28427-2022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46299</v>
      </c>
      <c r="F68" t="inlineStr">
        <is>
          <t>DALARNAS LÄN</t>
        </is>
      </c>
      <c r="G68" t="inlineStr">
        <is>
          <t>SÄTER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46299</v>
      </c>
      <c r="F69" t="inlineStr">
        <is>
          <t>DALARNAS LÄN</t>
        </is>
      </c>
      <c r="G69" t="inlineStr">
        <is>
          <t>SÄTER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46299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44572</v>
      </c>
      <c r="E71" s="1" t="n">
        <v>46299</v>
      </c>
      <c r="F71" t="inlineStr">
        <is>
          <t>DALARNAS LÄN</t>
        </is>
      </c>
      <c r="G71" t="inlineStr">
        <is>
          <t>SÄTER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45273</v>
      </c>
      <c r="E72" s="1" t="n">
        <v>46299</v>
      </c>
      <c r="F72" t="inlineStr">
        <is>
          <t>DALARNAS LÄN</t>
        </is>
      </c>
      <c r="G72" t="inlineStr">
        <is>
          <t>SÄTER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50501-2022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46299</v>
      </c>
      <c r="F73" t="inlineStr">
        <is>
          <t>DALARNAS LÄN</t>
        </is>
      </c>
      <c r="G73" t="inlineStr">
        <is>
          <t>SÄTER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62368-2023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45268</v>
      </c>
      <c r="E74" s="1" t="n">
        <v>46299</v>
      </c>
      <c r="F74" t="inlineStr">
        <is>
          <t>DALARNAS LÄN</t>
        </is>
      </c>
      <c r="G74" t="inlineStr">
        <is>
          <t>SÄTER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11416-2022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44630</v>
      </c>
      <c r="E75" s="1" t="n">
        <v>46299</v>
      </c>
      <c r="F75" t="inlineStr">
        <is>
          <t>DALARNAS LÄN</t>
        </is>
      </c>
      <c r="G75" t="inlineStr">
        <is>
          <t>SÄTER</t>
        </is>
      </c>
      <c r="I75" t="n">
        <v>10.1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51328-2024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45604</v>
      </c>
      <c r="E76" s="1" t="n">
        <v>46299</v>
      </c>
      <c r="F76" t="inlineStr">
        <is>
          <t>DALARNAS LÄN</t>
        </is>
      </c>
      <c r="G76" t="inlineStr">
        <is>
          <t>SÄTER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51339-2024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45604</v>
      </c>
      <c r="E77" s="1" t="n">
        <v>46299</v>
      </c>
      <c r="F77" t="inlineStr">
        <is>
          <t>DALARNAS LÄN</t>
        </is>
      </c>
      <c r="G77" t="inlineStr">
        <is>
          <t>SÄTER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2929-2022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44581</v>
      </c>
      <c r="E78" s="1" t="n">
        <v>46299</v>
      </c>
      <c r="F78" t="inlineStr">
        <is>
          <t>DALARNAS LÄN</t>
        </is>
      </c>
      <c r="G78" t="inlineStr">
        <is>
          <t>SÄTER</t>
        </is>
      </c>
      <c r="I78" t="n">
        <v>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29833-2023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46299</v>
      </c>
      <c r="F79" t="inlineStr">
        <is>
          <t>DALARNAS LÄN</t>
        </is>
      </c>
      <c r="G79" t="inlineStr">
        <is>
          <t>SÄTER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45664</v>
      </c>
      <c r="E80" s="1" t="n">
        <v>46299</v>
      </c>
      <c r="F80" t="inlineStr">
        <is>
          <t>DALARNAS LÄN</t>
        </is>
      </c>
      <c r="G80" t="inlineStr">
        <is>
          <t>SÄTER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  <c r="Z80">
        <f>HYPERLINK("https://klasma.github.io/Logging_2082/knärot/A 498-2025 karta knärot.png", "A 498-2025")</f>
        <v/>
      </c>
      <c r="AA80">
        <f>HYPERLINK("https://klasma.github.io/Logging_2082/klagomål/A 498-2025 FSC-klagomål.docx", "A 498-2025")</f>
        <v/>
      </c>
      <c r="AB80">
        <f>HYPERLINK("https://klasma.github.io/Logging_2082/klagomålsmail/A 498-2025 FSC-klagomål mail.docx", "A 498-2025")</f>
        <v/>
      </c>
      <c r="AC80">
        <f>HYPERLINK("https://klasma.github.io/Logging_2082/tillsyn/A 498-2025 tillsynsbegäran.docx", "A 498-2025")</f>
        <v/>
      </c>
      <c r="AD80">
        <f>HYPERLINK("https://klasma.github.io/Logging_2082/tillsynsmail/A 498-2025 tillsynsbegäran mail.docx", "A 498-2025")</f>
        <v/>
      </c>
    </row>
    <row r="81" ht="15" customHeight="1">
      <c r="A81" t="inlineStr">
        <is>
          <t>A 8697-2023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44978</v>
      </c>
      <c r="E81" s="1" t="n">
        <v>46299</v>
      </c>
      <c r="F81" t="inlineStr">
        <is>
          <t>DALARNAS LÄN</t>
        </is>
      </c>
      <c r="G81" t="inlineStr">
        <is>
          <t>SÄTER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41961-2024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45561</v>
      </c>
      <c r="E82" s="1" t="n">
        <v>46299</v>
      </c>
      <c r="F82" t="inlineStr">
        <is>
          <t>DALARNAS LÄN</t>
        </is>
      </c>
      <c r="G82" t="inlineStr">
        <is>
          <t>SÄTER</t>
        </is>
      </c>
      <c r="H82" t="inlineStr">
        <is>
          <t>Bergvik skog väst AB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64565-2023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45281</v>
      </c>
      <c r="E83" s="1" t="n">
        <v>46299</v>
      </c>
      <c r="F83" t="inlineStr">
        <is>
          <t>DALARNAS LÄN</t>
        </is>
      </c>
      <c r="G83" t="inlineStr">
        <is>
          <t>SÄTER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45636</v>
      </c>
      <c r="E84" s="1" t="n">
        <v>46299</v>
      </c>
      <c r="F84" t="inlineStr">
        <is>
          <t>DALARNAS LÄN</t>
        </is>
      </c>
      <c r="G84" t="inlineStr">
        <is>
          <t>SÄTER</t>
        </is>
      </c>
      <c r="I84" t="n">
        <v>10.9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44956</v>
      </c>
      <c r="E85" s="1" t="n">
        <v>46299</v>
      </c>
      <c r="F85" t="inlineStr">
        <is>
          <t>DALARNAS LÄN</t>
        </is>
      </c>
      <c r="G85" t="inlineStr">
        <is>
          <t>SÄTER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62470-2022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44924</v>
      </c>
      <c r="E86" s="1" t="n">
        <v>46299</v>
      </c>
      <c r="F86" t="inlineStr">
        <is>
          <t>DALARNAS LÄN</t>
        </is>
      </c>
      <c r="G86" t="inlineStr">
        <is>
          <t>SÄTER</t>
        </is>
      </c>
      <c r="H86" t="inlineStr">
        <is>
          <t>Kommuner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45700</v>
      </c>
      <c r="E87" s="1" t="n">
        <v>46299</v>
      </c>
      <c r="F87" t="inlineStr">
        <is>
          <t>DALARNAS LÄN</t>
        </is>
      </c>
      <c r="G87" t="inlineStr">
        <is>
          <t>SÄTER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22970-2025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45790</v>
      </c>
      <c r="E88" s="1" t="n">
        <v>46299</v>
      </c>
      <c r="F88" t="inlineStr">
        <is>
          <t>DALARNAS LÄN</t>
        </is>
      </c>
      <c r="G88" t="inlineStr">
        <is>
          <t>SÄTER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57430-2022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44896</v>
      </c>
      <c r="E89" s="1" t="n">
        <v>46299</v>
      </c>
      <c r="F89" t="inlineStr">
        <is>
          <t>DALARNAS LÄN</t>
        </is>
      </c>
      <c r="G89" t="inlineStr">
        <is>
          <t>SÄTER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63684-2025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46014</v>
      </c>
      <c r="E90" s="1" t="n">
        <v>46299</v>
      </c>
      <c r="F90" t="inlineStr">
        <is>
          <t>DALARNAS LÄN</t>
        </is>
      </c>
      <c r="G90" t="inlineStr">
        <is>
          <t>SÄTER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46299</v>
      </c>
      <c r="F91" t="inlineStr">
        <is>
          <t>DALARNAS LÄN</t>
        </is>
      </c>
      <c r="G91" t="inlineStr">
        <is>
          <t>SÄTER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46026</v>
      </c>
      <c r="E92" s="1" t="n">
        <v>46299</v>
      </c>
      <c r="F92" t="inlineStr">
        <is>
          <t>DALARNAS LÄN</t>
        </is>
      </c>
      <c r="G92" t="inlineStr">
        <is>
          <t>SÄTER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46027</v>
      </c>
      <c r="E93" s="1" t="n">
        <v>46299</v>
      </c>
      <c r="F93" t="inlineStr">
        <is>
          <t>DALARNAS LÄN</t>
        </is>
      </c>
      <c r="G93" t="inlineStr">
        <is>
          <t>SÄTER</t>
        </is>
      </c>
      <c r="I93" t="n">
        <v>12.1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987-2026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46030</v>
      </c>
      <c r="E94" s="1" t="n">
        <v>46299</v>
      </c>
      <c r="F94" t="inlineStr">
        <is>
          <t>DALARNAS LÄN</t>
        </is>
      </c>
      <c r="G94" t="inlineStr">
        <is>
          <t>SÄTER</t>
        </is>
      </c>
      <c r="H94" t="inlineStr">
        <is>
          <t>Bergvik skog väst AB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46031</v>
      </c>
      <c r="E95" s="1" t="n">
        <v>46299</v>
      </c>
      <c r="F95" t="inlineStr">
        <is>
          <t>DALARNAS LÄN</t>
        </is>
      </c>
      <c r="G95" t="inlineStr">
        <is>
          <t>SÄTER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46031</v>
      </c>
      <c r="E96" s="1" t="n">
        <v>46299</v>
      </c>
      <c r="F96" t="inlineStr">
        <is>
          <t>DALARNAS LÄN</t>
        </is>
      </c>
      <c r="G96" t="inlineStr">
        <is>
          <t>SÄTER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46031</v>
      </c>
      <c r="E97" s="1" t="n">
        <v>46299</v>
      </c>
      <c r="F97" t="inlineStr">
        <is>
          <t>DALARNAS LÄN</t>
        </is>
      </c>
      <c r="G97" t="inlineStr">
        <is>
          <t>SÄTER</t>
        </is>
      </c>
      <c r="H97" t="inlineStr">
        <is>
          <t>Kommuner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46034</v>
      </c>
      <c r="E98" s="1" t="n">
        <v>46299</v>
      </c>
      <c r="F98" t="inlineStr">
        <is>
          <t>DALARNAS LÄN</t>
        </is>
      </c>
      <c r="G98" t="inlineStr">
        <is>
          <t>SÄTER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46036</v>
      </c>
      <c r="E99" s="1" t="n">
        <v>46299</v>
      </c>
      <c r="F99" t="inlineStr">
        <is>
          <t>DALARNAS LÄN</t>
        </is>
      </c>
      <c r="G99" t="inlineStr">
        <is>
          <t>SÄTER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2087-2026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46299</v>
      </c>
      <c r="F100" t="inlineStr">
        <is>
          <t>DALARNAS LÄN</t>
        </is>
      </c>
      <c r="G100" t="inlineStr">
        <is>
          <t>SÄTER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46299</v>
      </c>
      <c r="F101" t="inlineStr">
        <is>
          <t>DALARNAS LÄN</t>
        </is>
      </c>
      <c r="G101" t="inlineStr">
        <is>
          <t>SÄTER</t>
        </is>
      </c>
      <c r="I101" t="n">
        <v>10.9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46577-2023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45198</v>
      </c>
      <c r="E102" s="1" t="n">
        <v>46299</v>
      </c>
      <c r="F102" t="inlineStr">
        <is>
          <t>DALARNAS LÄN</t>
        </is>
      </c>
      <c r="G102" t="inlineStr">
        <is>
          <t>SÄTER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46299</v>
      </c>
      <c r="F103" t="inlineStr">
        <is>
          <t>DALARNAS LÄN</t>
        </is>
      </c>
      <c r="G103" t="inlineStr">
        <is>
          <t>SÄTER</t>
        </is>
      </c>
      <c r="H103" t="inlineStr">
        <is>
          <t>Bergvik skog väst AB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46299</v>
      </c>
      <c r="F104" t="inlineStr">
        <is>
          <t>DALARNAS LÄN</t>
        </is>
      </c>
      <c r="G104" t="inlineStr">
        <is>
          <t>SÄTER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2507-2026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46037</v>
      </c>
      <c r="E105" s="1" t="n">
        <v>46299</v>
      </c>
      <c r="F105" t="inlineStr">
        <is>
          <t>DALARNAS LÄN</t>
        </is>
      </c>
      <c r="G105" t="inlineStr">
        <is>
          <t>SÄTER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46299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18888-2022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44690</v>
      </c>
      <c r="E107" s="1" t="n">
        <v>46299</v>
      </c>
      <c r="F107" t="inlineStr">
        <is>
          <t>DALARNAS LÄN</t>
        </is>
      </c>
      <c r="G107" t="inlineStr">
        <is>
          <t>SÄTER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3423-2026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46042</v>
      </c>
      <c r="E108" s="1" t="n">
        <v>46299</v>
      </c>
      <c r="F108" t="inlineStr">
        <is>
          <t>DALARNAS LÄN</t>
        </is>
      </c>
      <c r="G108" t="inlineStr">
        <is>
          <t>SÄTER</t>
        </is>
      </c>
      <c r="I108" t="n">
        <v>10.6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43553-2025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45911</v>
      </c>
      <c r="E109" s="1" t="n">
        <v>46299</v>
      </c>
      <c r="F109" t="inlineStr">
        <is>
          <t>DALARNAS LÄN</t>
        </is>
      </c>
      <c r="G109" t="inlineStr">
        <is>
          <t>SÄTER</t>
        </is>
      </c>
      <c r="H109" t="inlineStr">
        <is>
          <t>Bergvik skog väst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45365</v>
      </c>
      <c r="E110" s="1" t="n">
        <v>46299</v>
      </c>
      <c r="F110" t="inlineStr">
        <is>
          <t>DALARNAS LÄN</t>
        </is>
      </c>
      <c r="G110" t="inlineStr">
        <is>
          <t>SÄTER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45666</v>
      </c>
      <c r="E111" s="1" t="n">
        <v>46299</v>
      </c>
      <c r="F111" t="inlineStr">
        <is>
          <t>DALARNAS LÄN</t>
        </is>
      </c>
      <c r="G111" t="inlineStr">
        <is>
          <t>SÄTER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33482-2023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45118</v>
      </c>
      <c r="E112" s="1" t="n">
        <v>46299</v>
      </c>
      <c r="F112" t="inlineStr">
        <is>
          <t>DALARNAS LÄN</t>
        </is>
      </c>
      <c r="G112" t="inlineStr">
        <is>
          <t>SÄTER</t>
        </is>
      </c>
      <c r="H112" t="inlineStr">
        <is>
          <t>Bergvik skog väst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21911-2024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45443</v>
      </c>
      <c r="E113" s="1" t="n">
        <v>46299</v>
      </c>
      <c r="F113" t="inlineStr">
        <is>
          <t>DALARNAS LÄN</t>
        </is>
      </c>
      <c r="G113" t="inlineStr">
        <is>
          <t>SÄTER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46045</v>
      </c>
      <c r="E114" s="1" t="n">
        <v>46299</v>
      </c>
      <c r="F114" t="inlineStr">
        <is>
          <t>DALARNAS LÄN</t>
        </is>
      </c>
      <c r="G114" t="inlineStr">
        <is>
          <t>SÄTER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46299</v>
      </c>
      <c r="F115" t="inlineStr">
        <is>
          <t>DALARNAS LÄN</t>
        </is>
      </c>
      <c r="G115" t="inlineStr">
        <is>
          <t>SÄTER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45462</v>
      </c>
      <c r="E116" s="1" t="n">
        <v>46299</v>
      </c>
      <c r="F116" t="inlineStr">
        <is>
          <t>DALARNAS LÄN</t>
        </is>
      </c>
      <c r="G116" t="inlineStr">
        <is>
          <t>SÄTER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45377</v>
      </c>
      <c r="E117" s="1" t="n">
        <v>46299</v>
      </c>
      <c r="F117" t="inlineStr">
        <is>
          <t>DALARNAS LÄN</t>
        </is>
      </c>
      <c r="G117" t="inlineStr">
        <is>
          <t>SÄTER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5723-2026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46051</v>
      </c>
      <c r="E118" s="1" t="n">
        <v>46299</v>
      </c>
      <c r="F118" t="inlineStr">
        <is>
          <t>DALARNAS LÄN</t>
        </is>
      </c>
      <c r="G118" t="inlineStr">
        <is>
          <t>SÄTER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45804</v>
      </c>
      <c r="E119" s="1" t="n">
        <v>46299</v>
      </c>
      <c r="F119" t="inlineStr">
        <is>
          <t>DALARNAS LÄN</t>
        </is>
      </c>
      <c r="G119" t="inlineStr">
        <is>
          <t>SÄTER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56225-2023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45240</v>
      </c>
      <c r="E120" s="1" t="n">
        <v>46299</v>
      </c>
      <c r="F120" t="inlineStr">
        <is>
          <t>DALARNAS LÄN</t>
        </is>
      </c>
      <c r="G120" t="inlineStr">
        <is>
          <t>SÄTER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26057-2025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45804</v>
      </c>
      <c r="E121" s="1" t="n">
        <v>46299</v>
      </c>
      <c r="F121" t="inlineStr">
        <is>
          <t>DALARNAS LÄN</t>
        </is>
      </c>
      <c r="G121" t="inlineStr">
        <is>
          <t>SÄTER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55428-2025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45971</v>
      </c>
      <c r="E122" s="1" t="n">
        <v>46299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27006-2025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45811</v>
      </c>
      <c r="E123" s="1" t="n">
        <v>46299</v>
      </c>
      <c r="F123" t="inlineStr">
        <is>
          <t>DALARNAS LÄN</t>
        </is>
      </c>
      <c r="G123" t="inlineStr">
        <is>
          <t>SÄTER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46494-2025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45925</v>
      </c>
      <c r="E124" s="1" t="n">
        <v>46299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15.2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46299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41.4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6845-2026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46057</v>
      </c>
      <c r="E126" s="1" t="n">
        <v>46299</v>
      </c>
      <c r="F126" t="inlineStr">
        <is>
          <t>DALARNAS LÄN</t>
        </is>
      </c>
      <c r="G126" t="inlineStr">
        <is>
          <t>SÄTER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46299</v>
      </c>
      <c r="F127" t="inlineStr">
        <is>
          <t>DALARNAS LÄN</t>
        </is>
      </c>
      <c r="G127" t="inlineStr">
        <is>
          <t>SÄTER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6856-2026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46057</v>
      </c>
      <c r="E128" s="1" t="n">
        <v>46299</v>
      </c>
      <c r="F128" t="inlineStr">
        <is>
          <t>DALARNAS LÄN</t>
        </is>
      </c>
      <c r="G128" t="inlineStr">
        <is>
          <t>SÄTER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46299</v>
      </c>
      <c r="F129" t="inlineStr">
        <is>
          <t>DALARNAS LÄN</t>
        </is>
      </c>
      <c r="G129" t="inlineStr">
        <is>
          <t>SÄTER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47280-2025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46299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64788-2023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45282</v>
      </c>
      <c r="E131" s="1" t="n">
        <v>46299</v>
      </c>
      <c r="F131" t="inlineStr">
        <is>
          <t>DALARNAS LÄN</t>
        </is>
      </c>
      <c r="G131" t="inlineStr">
        <is>
          <t>SÄTER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45455</v>
      </c>
      <c r="E132" s="1" t="n">
        <v>46299</v>
      </c>
      <c r="F132" t="inlineStr">
        <is>
          <t>DALARNAS LÄN</t>
        </is>
      </c>
      <c r="G132" t="inlineStr">
        <is>
          <t>SÄTER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8435-2026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46065</v>
      </c>
      <c r="E133" s="1" t="n">
        <v>46299</v>
      </c>
      <c r="F133" t="inlineStr">
        <is>
          <t>DALARNAS LÄN</t>
        </is>
      </c>
      <c r="G133" t="inlineStr">
        <is>
          <t>SÄTER</t>
        </is>
      </c>
      <c r="I133" t="n">
        <v>9.9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8355-2026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46064</v>
      </c>
      <c r="E134" s="1" t="n">
        <v>46299</v>
      </c>
      <c r="F134" t="inlineStr">
        <is>
          <t>DALARNAS LÄN</t>
        </is>
      </c>
      <c r="G134" t="inlineStr">
        <is>
          <t>SÄTER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48507-2025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46299</v>
      </c>
      <c r="F135" t="inlineStr">
        <is>
          <t>DALARNAS LÄN</t>
        </is>
      </c>
      <c r="G135" t="inlineStr">
        <is>
          <t>SÄTER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46299</v>
      </c>
      <c r="F136" t="inlineStr">
        <is>
          <t>DALARNAS LÄN</t>
        </is>
      </c>
      <c r="G136" t="inlineStr">
        <is>
          <t>SÄTER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49599-2025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45939</v>
      </c>
      <c r="E137" s="1" t="n">
        <v>46299</v>
      </c>
      <c r="F137" t="inlineStr">
        <is>
          <t>DALARNAS LÄN</t>
        </is>
      </c>
      <c r="G137" t="inlineStr">
        <is>
          <t>SÄTER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14168-2025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46299</v>
      </c>
      <c r="F138" t="inlineStr">
        <is>
          <t>DALARNAS LÄN</t>
        </is>
      </c>
      <c r="G138" t="inlineStr">
        <is>
          <t>SÄTER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46299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46076</v>
      </c>
      <c r="E140" s="1" t="n">
        <v>46299</v>
      </c>
      <c r="F140" t="inlineStr">
        <is>
          <t>DALARNAS LÄN</t>
        </is>
      </c>
      <c r="G140" t="inlineStr">
        <is>
          <t>SÄTER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24617-2022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44727</v>
      </c>
      <c r="E141" s="1" t="n">
        <v>46299</v>
      </c>
      <c r="F141" t="inlineStr">
        <is>
          <t>DALARNAS LÄN</t>
        </is>
      </c>
      <c r="G141" t="inlineStr">
        <is>
          <t>SÄTER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46076</v>
      </c>
      <c r="E142" s="1" t="n">
        <v>46299</v>
      </c>
      <c r="F142" t="inlineStr">
        <is>
          <t>DALARNAS LÄN</t>
        </is>
      </c>
      <c r="G142" t="inlineStr">
        <is>
          <t>SÄTER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46299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8.6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27057-2025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45811</v>
      </c>
      <c r="E144" s="1" t="n">
        <v>46299</v>
      </c>
      <c r="F144" t="inlineStr">
        <is>
          <t>DALARNAS LÄN</t>
        </is>
      </c>
      <c r="G144" t="inlineStr">
        <is>
          <t>SÄTER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10146-2026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46076</v>
      </c>
      <c r="E145" s="1" t="n">
        <v>46299</v>
      </c>
      <c r="F145" t="inlineStr">
        <is>
          <t>DALARNAS LÄN</t>
        </is>
      </c>
      <c r="G145" t="inlineStr">
        <is>
          <t>SÄTER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54141-2023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45232</v>
      </c>
      <c r="E146" s="1" t="n">
        <v>46299</v>
      </c>
      <c r="F146" t="inlineStr">
        <is>
          <t>DALARNAS LÄN</t>
        </is>
      </c>
      <c r="G146" t="inlineStr">
        <is>
          <t>SÄTER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45951</v>
      </c>
      <c r="E147" s="1" t="n">
        <v>46299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15.1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51824-2025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45951</v>
      </c>
      <c r="E148" s="1" t="n">
        <v>46299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46077</v>
      </c>
      <c r="E149" s="1" t="n">
        <v>46299</v>
      </c>
      <c r="F149" t="inlineStr">
        <is>
          <t>DALARNAS LÄN</t>
        </is>
      </c>
      <c r="G149" t="inlineStr">
        <is>
          <t>SÄTER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11405-2026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46083</v>
      </c>
      <c r="E150" s="1" t="n">
        <v>46299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39780-2024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45552</v>
      </c>
      <c r="E151" s="1" t="n">
        <v>46299</v>
      </c>
      <c r="F151" t="inlineStr">
        <is>
          <t>DALARNAS LÄN</t>
        </is>
      </c>
      <c r="G151" t="inlineStr">
        <is>
          <t>SÄTER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52422-2025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46299</v>
      </c>
      <c r="F152" t="inlineStr">
        <is>
          <t>DALARNAS LÄN</t>
        </is>
      </c>
      <c r="G152" t="inlineStr">
        <is>
          <t>SÄTER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45435</v>
      </c>
      <c r="E153" s="1" t="n">
        <v>46299</v>
      </c>
      <c r="F153" t="inlineStr">
        <is>
          <t>DALARNAS LÄN</t>
        </is>
      </c>
      <c r="G153" t="inlineStr">
        <is>
          <t>SÄTER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44784</v>
      </c>
      <c r="E154" s="1" t="n">
        <v>46299</v>
      </c>
      <c r="F154" t="inlineStr">
        <is>
          <t>DALARNAS LÄN</t>
        </is>
      </c>
      <c r="G154" t="inlineStr">
        <is>
          <t>SÄTER</t>
        </is>
      </c>
      <c r="I154" t="n">
        <v>10.9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12322-2026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46087</v>
      </c>
      <c r="E155" s="1" t="n">
        <v>46299</v>
      </c>
      <c r="F155" t="inlineStr">
        <is>
          <t>DALARNAS LÄN</t>
        </is>
      </c>
      <c r="G155" t="inlineStr">
        <is>
          <t>SÄTER</t>
        </is>
      </c>
      <c r="H155" t="inlineStr">
        <is>
          <t>Bergvik skog väst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53540-2025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46299</v>
      </c>
      <c r="F156" t="inlineStr">
        <is>
          <t>DALARNAS LÄN</t>
        </is>
      </c>
      <c r="G156" t="inlineStr">
        <is>
          <t>SÄTER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8117-2022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44609</v>
      </c>
      <c r="E157" s="1" t="n">
        <v>46299</v>
      </c>
      <c r="F157" t="inlineStr">
        <is>
          <t>DALARNAS LÄN</t>
        </is>
      </c>
      <c r="G157" t="inlineStr">
        <is>
          <t>SÄTER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53878-2025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45961</v>
      </c>
      <c r="E158" s="1" t="n">
        <v>46299</v>
      </c>
      <c r="F158" t="inlineStr">
        <is>
          <t>DALARNAS LÄN</t>
        </is>
      </c>
      <c r="G158" t="inlineStr">
        <is>
          <t>SÄTER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53559-2025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45960</v>
      </c>
      <c r="E159" s="1" t="n">
        <v>46299</v>
      </c>
      <c r="F159" t="inlineStr">
        <is>
          <t>DALARNAS LÄN</t>
        </is>
      </c>
      <c r="G159" t="inlineStr">
        <is>
          <t>SÄTER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12957-2026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46092</v>
      </c>
      <c r="E160" s="1" t="n">
        <v>46299</v>
      </c>
      <c r="F160" t="inlineStr">
        <is>
          <t>DALARNAS LÄN</t>
        </is>
      </c>
      <c r="G160" t="inlineStr">
        <is>
          <t>SÄTER</t>
        </is>
      </c>
      <c r="I160" t="n">
        <v>9.800000000000001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46299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7.1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46093</v>
      </c>
      <c r="E162" s="1" t="n">
        <v>46299</v>
      </c>
      <c r="F162" t="inlineStr">
        <is>
          <t>DALARNAS LÄN</t>
        </is>
      </c>
      <c r="G162" t="inlineStr">
        <is>
          <t>SÄTER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46094</v>
      </c>
      <c r="E163" s="1" t="n">
        <v>46299</v>
      </c>
      <c r="F163" t="inlineStr">
        <is>
          <t>DALARNAS LÄN</t>
        </is>
      </c>
      <c r="G163" t="inlineStr">
        <is>
          <t>SÄTER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13526-2026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46299</v>
      </c>
      <c r="F164" t="inlineStr">
        <is>
          <t>DALARNAS LÄN</t>
        </is>
      </c>
      <c r="G164" t="inlineStr">
        <is>
          <t>SÄTER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46098</v>
      </c>
      <c r="E165" s="1" t="n">
        <v>46299</v>
      </c>
      <c r="F165" t="inlineStr">
        <is>
          <t>DALARNAS LÄN</t>
        </is>
      </c>
      <c r="G165" t="inlineStr">
        <is>
          <t>SÄTER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13899-2026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46098</v>
      </c>
      <c r="E166" s="1" t="n">
        <v>46299</v>
      </c>
      <c r="F166" t="inlineStr">
        <is>
          <t>DALARNAS LÄN</t>
        </is>
      </c>
      <c r="G166" t="inlineStr">
        <is>
          <t>SÄTER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55621-2025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45971</v>
      </c>
      <c r="E167" s="1" t="n">
        <v>46299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19747-2025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45771</v>
      </c>
      <c r="E168" s="1" t="n">
        <v>46299</v>
      </c>
      <c r="F168" t="inlineStr">
        <is>
          <t>DALARNAS LÄN</t>
        </is>
      </c>
      <c r="G168" t="inlineStr">
        <is>
          <t>SÄTER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29846-2023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45107</v>
      </c>
      <c r="E169" s="1" t="n">
        <v>46299</v>
      </c>
      <c r="F169" t="inlineStr">
        <is>
          <t>DALARNAS LÄN</t>
        </is>
      </c>
      <c r="G169" t="inlineStr">
        <is>
          <t>SÄTER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44572</v>
      </c>
      <c r="E170" s="1" t="n">
        <v>46299</v>
      </c>
      <c r="F170" t="inlineStr">
        <is>
          <t>DALARNAS LÄN</t>
        </is>
      </c>
      <c r="G170" t="inlineStr">
        <is>
          <t>SÄTER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55650-2024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45622</v>
      </c>
      <c r="E171" s="1" t="n">
        <v>46299</v>
      </c>
      <c r="F171" t="inlineStr">
        <is>
          <t>DALARNAS LÄN</t>
        </is>
      </c>
      <c r="G171" t="inlineStr">
        <is>
          <t>SÄTER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28852-2025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45820</v>
      </c>
      <c r="E172" s="1" t="n">
        <v>46299</v>
      </c>
      <c r="F172" t="inlineStr">
        <is>
          <t>DALARNAS LÄN</t>
        </is>
      </c>
      <c r="G172" t="inlineStr">
        <is>
          <t>SÄTER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58325-2025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45985</v>
      </c>
      <c r="E173" s="1" t="n">
        <v>46299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50187-2024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45599</v>
      </c>
      <c r="E174" s="1" t="n">
        <v>46299</v>
      </c>
      <c r="F174" t="inlineStr">
        <is>
          <t>DALARNAS LÄN</t>
        </is>
      </c>
      <c r="G174" t="inlineStr">
        <is>
          <t>SÄTER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16698-2026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46113</v>
      </c>
      <c r="E175" s="1" t="n">
        <v>46299</v>
      </c>
      <c r="F175" t="inlineStr">
        <is>
          <t>DALARNAS LÄN</t>
        </is>
      </c>
      <c r="G175" t="inlineStr">
        <is>
          <t>SÄTER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53706-2025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45960</v>
      </c>
      <c r="E176" s="1" t="n">
        <v>46299</v>
      </c>
      <c r="F176" t="inlineStr">
        <is>
          <t>DALARNAS LÄN</t>
        </is>
      </c>
      <c r="G176" t="inlineStr">
        <is>
          <t>SÄTER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45825</v>
      </c>
      <c r="E177" s="1" t="n">
        <v>46299</v>
      </c>
      <c r="F177" t="inlineStr">
        <is>
          <t>DALARNAS LÄN</t>
        </is>
      </c>
      <c r="G177" t="inlineStr">
        <is>
          <t>SÄTER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17253-2026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46119</v>
      </c>
      <c r="E178" s="1" t="n">
        <v>46299</v>
      </c>
      <c r="F178" t="inlineStr">
        <is>
          <t>DALARNAS LÄN</t>
        </is>
      </c>
      <c r="G178" t="inlineStr">
        <is>
          <t>SÄTER</t>
        </is>
      </c>
      <c r="H178" t="inlineStr">
        <is>
          <t>Kommuner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46299</v>
      </c>
      <c r="F179" t="inlineStr">
        <is>
          <t>DALARNAS LÄN</t>
        </is>
      </c>
      <c r="G179" t="inlineStr">
        <is>
          <t>SÄTER</t>
        </is>
      </c>
      <c r="I179" t="n">
        <v>15.2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59854-2025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45992</v>
      </c>
      <c r="E180" s="1" t="n">
        <v>46299</v>
      </c>
      <c r="F180" t="inlineStr">
        <is>
          <t>DALARNAS LÄN</t>
        </is>
      </c>
      <c r="G180" t="inlineStr">
        <is>
          <t>SÄTER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59974-2025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45993</v>
      </c>
      <c r="E181" s="1" t="n">
        <v>46299</v>
      </c>
      <c r="F181" t="inlineStr">
        <is>
          <t>DALARNAS LÄN</t>
        </is>
      </c>
      <c r="G181" t="inlineStr">
        <is>
          <t>SÄTER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51474-2024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45604</v>
      </c>
      <c r="E182" s="1" t="n">
        <v>46299</v>
      </c>
      <c r="F182" t="inlineStr">
        <is>
          <t>DALARNAS LÄN</t>
        </is>
      </c>
      <c r="G182" t="inlineStr">
        <is>
          <t>SÄTER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61332-2023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46299</v>
      </c>
      <c r="F183" t="inlineStr">
        <is>
          <t>DALARNAS LÄN</t>
        </is>
      </c>
      <c r="G183" t="inlineStr">
        <is>
          <t>SÄTER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45638</v>
      </c>
      <c r="E184" s="1" t="n">
        <v>46299</v>
      </c>
      <c r="F184" t="inlineStr">
        <is>
          <t>DALARNAS LÄN</t>
        </is>
      </c>
      <c r="G184" t="inlineStr">
        <is>
          <t>SÄTER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12942-2026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46092</v>
      </c>
      <c r="E185" s="1" t="n">
        <v>46299</v>
      </c>
      <c r="F185" t="inlineStr">
        <is>
          <t>DALARNAS LÄN</t>
        </is>
      </c>
      <c r="G185" t="inlineStr">
        <is>
          <t>SÄTER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46299</v>
      </c>
      <c r="F186" t="inlineStr">
        <is>
          <t>DALARNAS LÄN</t>
        </is>
      </c>
      <c r="G186" t="inlineStr">
        <is>
          <t>SÄTER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34196-2023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45138</v>
      </c>
      <c r="E187" s="1" t="n">
        <v>46299</v>
      </c>
      <c r="F187" t="inlineStr">
        <is>
          <t>DALARNAS LÄN</t>
        </is>
      </c>
      <c r="G187" t="inlineStr">
        <is>
          <t>SÄTER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12938-2026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46092</v>
      </c>
      <c r="E188" s="1" t="n">
        <v>46299</v>
      </c>
      <c r="F188" t="inlineStr">
        <is>
          <t>DALARNAS LÄN</t>
        </is>
      </c>
      <c r="G188" t="inlineStr">
        <is>
          <t>SÄTER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46299</v>
      </c>
      <c r="F189" t="inlineStr">
        <is>
          <t>DALARNAS LÄN</t>
        </is>
      </c>
      <c r="G189" t="inlineStr">
        <is>
          <t>SÄTER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45063</v>
      </c>
      <c r="E190" s="1" t="n">
        <v>46299</v>
      </c>
      <c r="F190" t="inlineStr">
        <is>
          <t>DALARNAS LÄN</t>
        </is>
      </c>
      <c r="G190" t="inlineStr">
        <is>
          <t>SÄTER</t>
        </is>
      </c>
      <c r="H190" t="inlineStr">
        <is>
          <t>Kommuner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44960</v>
      </c>
      <c r="E191" s="1" t="n">
        <v>46299</v>
      </c>
      <c r="F191" t="inlineStr">
        <is>
          <t>DALARNAS LÄN</t>
        </is>
      </c>
      <c r="G191" t="inlineStr">
        <is>
          <t>SÄTER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44803-2023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45190</v>
      </c>
      <c r="E192" s="1" t="n">
        <v>46299</v>
      </c>
      <c r="F192" t="inlineStr">
        <is>
          <t>DALARNAS LÄN</t>
        </is>
      </c>
      <c r="G192" t="inlineStr">
        <is>
          <t>SÄTER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20057-2026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46136</v>
      </c>
      <c r="E193" s="1" t="n">
        <v>46299</v>
      </c>
      <c r="F193" t="inlineStr">
        <is>
          <t>DALARNAS LÄN</t>
        </is>
      </c>
      <c r="G193" t="inlineStr">
        <is>
          <t>SÄTER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45561</v>
      </c>
      <c r="E194" s="1" t="n">
        <v>46299</v>
      </c>
      <c r="F194" t="inlineStr">
        <is>
          <t>DALARNAS LÄN</t>
        </is>
      </c>
      <c r="G194" t="inlineStr">
        <is>
          <t>SÄTER</t>
        </is>
      </c>
      <c r="H194" t="inlineStr">
        <is>
          <t>Bergvik skog väst AB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40671-2023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45170</v>
      </c>
      <c r="E195" s="1" t="n">
        <v>46299</v>
      </c>
      <c r="F195" t="inlineStr">
        <is>
          <t>DALARNAS LÄN</t>
        </is>
      </c>
      <c r="G195" t="inlineStr">
        <is>
          <t>SÄTER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45566</v>
      </c>
      <c r="E196" s="1" t="n">
        <v>46299</v>
      </c>
      <c r="F196" t="inlineStr">
        <is>
          <t>DALARNAS LÄN</t>
        </is>
      </c>
      <c r="G196" t="inlineStr">
        <is>
          <t>SÄTER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45574</v>
      </c>
      <c r="E197" s="1" t="n">
        <v>46299</v>
      </c>
      <c r="F197" t="inlineStr">
        <is>
          <t>DALARNAS LÄN</t>
        </is>
      </c>
      <c r="G197" t="inlineStr">
        <is>
          <t>SÄTER</t>
        </is>
      </c>
      <c r="H197" t="inlineStr">
        <is>
          <t>Bergvik skog väst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45365</v>
      </c>
      <c r="E198" s="1" t="n">
        <v>46299</v>
      </c>
      <c r="F198" t="inlineStr">
        <is>
          <t>DALARNAS LÄN</t>
        </is>
      </c>
      <c r="G198" t="inlineStr">
        <is>
          <t>SÄTER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27018-2025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45811</v>
      </c>
      <c r="E199" s="1" t="n">
        <v>46299</v>
      </c>
      <c r="F199" t="inlineStr">
        <is>
          <t>DALARNAS LÄN</t>
        </is>
      </c>
      <c r="G199" t="inlineStr">
        <is>
          <t>SÄTER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45574</v>
      </c>
      <c r="E200" s="1" t="n">
        <v>46299</v>
      </c>
      <c r="F200" t="inlineStr">
        <is>
          <t>DALARNAS LÄN</t>
        </is>
      </c>
      <c r="G200" t="inlineStr">
        <is>
          <t>SÄTER</t>
        </is>
      </c>
      <c r="H200" t="inlineStr">
        <is>
          <t>Bergvik skog väst AB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16901-2024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45411</v>
      </c>
      <c r="E201" s="1" t="n">
        <v>46299</v>
      </c>
      <c r="F201" t="inlineStr">
        <is>
          <t>DALARNAS LÄN</t>
        </is>
      </c>
      <c r="G201" t="inlineStr">
        <is>
          <t>SÄTER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45670</v>
      </c>
      <c r="E202" s="1" t="n">
        <v>46299</v>
      </c>
      <c r="F202" t="inlineStr">
        <is>
          <t>DALARNAS LÄN</t>
        </is>
      </c>
      <c r="G202" t="inlineStr">
        <is>
          <t>SÄTER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63654-2025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46014</v>
      </c>
      <c r="E203" s="1" t="n">
        <v>46299</v>
      </c>
      <c r="F203" t="inlineStr">
        <is>
          <t>DALARNAS LÄN</t>
        </is>
      </c>
      <c r="G203" t="inlineStr">
        <is>
          <t>SÄTER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7562-2023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44972</v>
      </c>
      <c r="E204" s="1" t="n">
        <v>46299</v>
      </c>
      <c r="F204" t="inlineStr">
        <is>
          <t>DALARNAS LÄN</t>
        </is>
      </c>
      <c r="G204" t="inlineStr">
        <is>
          <t>SÄTER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35410-2025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45855</v>
      </c>
      <c r="E205" s="1" t="n">
        <v>46299</v>
      </c>
      <c r="F205" t="inlineStr">
        <is>
          <t>DALARNAS LÄN</t>
        </is>
      </c>
      <c r="G205" t="inlineStr">
        <is>
          <t>SÄTER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45098</v>
      </c>
      <c r="E206" s="1" t="n">
        <v>46299</v>
      </c>
      <c r="F206" t="inlineStr">
        <is>
          <t>DALARNAS LÄN</t>
        </is>
      </c>
      <c r="G206" t="inlineStr">
        <is>
          <t>SÄTER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46043</v>
      </c>
      <c r="E207" s="1" t="n">
        <v>46299</v>
      </c>
      <c r="F207" t="inlineStr">
        <is>
          <t>DALARNAS LÄN</t>
        </is>
      </c>
      <c r="G207" t="inlineStr">
        <is>
          <t>SÄTER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35409-2025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45855</v>
      </c>
      <c r="E208" s="1" t="n">
        <v>46299</v>
      </c>
      <c r="F208" t="inlineStr">
        <is>
          <t>DALARNAS LÄN</t>
        </is>
      </c>
      <c r="G208" t="inlineStr">
        <is>
          <t>SÄTER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43770-2024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45569</v>
      </c>
      <c r="E209" s="1" t="n">
        <v>46299</v>
      </c>
      <c r="F209" t="inlineStr">
        <is>
          <t>DALARNAS LÄN</t>
        </is>
      </c>
      <c r="G209" t="inlineStr">
        <is>
          <t>SÄTER</t>
        </is>
      </c>
      <c r="I209" t="n">
        <v>13.2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43125-2024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45567</v>
      </c>
      <c r="E210" s="1" t="n">
        <v>46299</v>
      </c>
      <c r="F210" t="inlineStr">
        <is>
          <t>DALARNAS LÄN</t>
        </is>
      </c>
      <c r="G210" t="inlineStr">
        <is>
          <t>SÄTER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25690-2022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44732</v>
      </c>
      <c r="E211" s="1" t="n">
        <v>46299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20056-2026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46136</v>
      </c>
      <c r="E212" s="1" t="n">
        <v>46299</v>
      </c>
      <c r="F212" t="inlineStr">
        <is>
          <t>DALARNAS LÄN</t>
        </is>
      </c>
      <c r="G212" t="inlineStr">
        <is>
          <t>SÄTER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41959-2024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45561</v>
      </c>
      <c r="E213" s="1" t="n">
        <v>46299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44982</v>
      </c>
      <c r="E214" s="1" t="n">
        <v>46299</v>
      </c>
      <c r="F214" t="inlineStr">
        <is>
          <t>DALARNAS LÄN</t>
        </is>
      </c>
      <c r="G214" t="inlineStr">
        <is>
          <t>SÄTER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41951-2024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45561</v>
      </c>
      <c r="E215" s="1" t="n">
        <v>46299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10.8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10101-2026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46073</v>
      </c>
      <c r="E216" s="1" t="n">
        <v>46299</v>
      </c>
      <c r="F216" t="inlineStr">
        <is>
          <t>DALARNAS LÄN</t>
        </is>
      </c>
      <c r="G216" t="inlineStr">
        <is>
          <t>SÄTER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54440-2022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44882</v>
      </c>
      <c r="E217" s="1" t="n">
        <v>46299</v>
      </c>
      <c r="F217" t="inlineStr">
        <is>
          <t>DALARNAS LÄN</t>
        </is>
      </c>
      <c r="G217" t="inlineStr">
        <is>
          <t>SÄTER</t>
        </is>
      </c>
      <c r="H217" t="inlineStr">
        <is>
          <t>Bergvik skog väst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54826-2023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45236</v>
      </c>
      <c r="E218" s="1" t="n">
        <v>46299</v>
      </c>
      <c r="F218" t="inlineStr">
        <is>
          <t>DALARNAS LÄN</t>
        </is>
      </c>
      <c r="G218" t="inlineStr">
        <is>
          <t>SÄTER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57416-2022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44896</v>
      </c>
      <c r="E219" s="1" t="n">
        <v>46299</v>
      </c>
      <c r="F219" t="inlineStr">
        <is>
          <t>DALARNAS LÄN</t>
        </is>
      </c>
      <c r="G219" t="inlineStr">
        <is>
          <t>SÄTER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  <c r="Z219">
        <f>HYPERLINK("https://klasma.github.io/Logging_2082/knärot/A 57416-2022 karta knärot.png", "A 57416-2022")</f>
        <v/>
      </c>
      <c r="AA219">
        <f>HYPERLINK("https://klasma.github.io/Logging_2082/klagomål/A 57416-2022 FSC-klagomål.docx", "A 57416-2022")</f>
        <v/>
      </c>
      <c r="AB219">
        <f>HYPERLINK("https://klasma.github.io/Logging_2082/klagomålsmail/A 57416-2022 FSC-klagomål mail.docx", "A 57416-2022")</f>
        <v/>
      </c>
      <c r="AC219">
        <f>HYPERLINK("https://klasma.github.io/Logging_2082/tillsyn/A 57416-2022 tillsynsbegäran.docx", "A 57416-2022")</f>
        <v/>
      </c>
      <c r="AD219">
        <f>HYPERLINK("https://klasma.github.io/Logging_2082/tillsynsmail/A 57416-2022 tillsynsbegäran mail.docx", "A 57416-2022")</f>
        <v/>
      </c>
    </row>
    <row r="220" ht="15" customHeight="1">
      <c r="A220" t="inlineStr">
        <is>
          <t>A 9408-2026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46071</v>
      </c>
      <c r="E220" s="1" t="n">
        <v>46299</v>
      </c>
      <c r="F220" t="inlineStr">
        <is>
          <t>DALARNAS LÄN</t>
        </is>
      </c>
      <c r="G220" t="inlineStr">
        <is>
          <t>SÄTER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20490-2026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46140</v>
      </c>
      <c r="E221" s="1" t="n">
        <v>46299</v>
      </c>
      <c r="F221" t="inlineStr">
        <is>
          <t>DALARNAS LÄN</t>
        </is>
      </c>
      <c r="G221" t="inlineStr">
        <is>
          <t>SÄTER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46098</v>
      </c>
      <c r="E222" s="1" t="n">
        <v>46299</v>
      </c>
      <c r="F222" t="inlineStr">
        <is>
          <t>DALARNAS LÄN</t>
        </is>
      </c>
      <c r="G222" t="inlineStr">
        <is>
          <t>SÄTER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11733-2026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46084</v>
      </c>
      <c r="E223" s="1" t="n">
        <v>46299</v>
      </c>
      <c r="F223" t="inlineStr">
        <is>
          <t>DALARNAS LÄN</t>
        </is>
      </c>
      <c r="G223" t="inlineStr">
        <is>
          <t>SÄTER</t>
        </is>
      </c>
      <c r="H223" t="inlineStr">
        <is>
          <t>Kommuner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46087</v>
      </c>
      <c r="E224" s="1" t="n">
        <v>46299</v>
      </c>
      <c r="F224" t="inlineStr">
        <is>
          <t>DALARNAS LÄN</t>
        </is>
      </c>
      <c r="G224" t="inlineStr">
        <is>
          <t>SÄTER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46034</v>
      </c>
      <c r="E225" s="1" t="n">
        <v>46299</v>
      </c>
      <c r="F225" t="inlineStr">
        <is>
          <t>DALARNAS LÄN</t>
        </is>
      </c>
      <c r="G225" t="inlineStr">
        <is>
          <t>SÄTER</t>
        </is>
      </c>
      <c r="I225" t="n">
        <v>8.1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43610-2025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46299</v>
      </c>
      <c r="F226" t="inlineStr">
        <is>
          <t>DALARNAS LÄN</t>
        </is>
      </c>
      <c r="G226" t="inlineStr">
        <is>
          <t>SÄTER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46299</v>
      </c>
      <c r="F227" t="inlineStr">
        <is>
          <t>DALARNAS LÄN</t>
        </is>
      </c>
      <c r="G227" t="inlineStr">
        <is>
          <t>SÄTER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36549-2025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45870</v>
      </c>
      <c r="E228" s="1" t="n">
        <v>46299</v>
      </c>
      <c r="F228" t="inlineStr">
        <is>
          <t>DALARNAS LÄN</t>
        </is>
      </c>
      <c r="G228" t="inlineStr">
        <is>
          <t>SÄTER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46299</v>
      </c>
      <c r="F229" t="inlineStr">
        <is>
          <t>DALARNAS LÄN</t>
        </is>
      </c>
      <c r="G229" t="inlineStr">
        <is>
          <t>SÄTER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6318-2026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46051</v>
      </c>
      <c r="E230" s="1" t="n">
        <v>46299</v>
      </c>
      <c r="F230" t="inlineStr">
        <is>
          <t>DALARNAS LÄN</t>
        </is>
      </c>
      <c r="G230" t="inlineStr">
        <is>
          <t>SÄTER</t>
        </is>
      </c>
      <c r="H230" t="inlineStr">
        <is>
          <t>Kommuner</t>
        </is>
      </c>
      <c r="I230" t="n">
        <v>42.6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21859-2022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44711</v>
      </c>
      <c r="E231" s="1" t="n">
        <v>46299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13510-2023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46299</v>
      </c>
      <c r="F232" t="inlineStr">
        <is>
          <t>DALARNAS LÄN</t>
        </is>
      </c>
      <c r="G232" t="inlineStr">
        <is>
          <t>SÄTER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42225-2022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44830</v>
      </c>
      <c r="E233" s="1" t="n">
        <v>46299</v>
      </c>
      <c r="F233" t="inlineStr">
        <is>
          <t>DALARNAS LÄN</t>
        </is>
      </c>
      <c r="G233" t="inlineStr">
        <is>
          <t>SÄTER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12646-2026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46091</v>
      </c>
      <c r="E234" s="1" t="n">
        <v>46299</v>
      </c>
      <c r="F234" t="inlineStr">
        <is>
          <t>DALARNAS LÄN</t>
        </is>
      </c>
      <c r="G234" t="inlineStr">
        <is>
          <t>SÄTER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44935</v>
      </c>
      <c r="E235" s="1" t="n">
        <v>46299</v>
      </c>
      <c r="F235" t="inlineStr">
        <is>
          <t>DALARNAS LÄN</t>
        </is>
      </c>
      <c r="G235" t="inlineStr">
        <is>
          <t>SÄTER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4050-2026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46044</v>
      </c>
      <c r="E236" s="1" t="n">
        <v>46299</v>
      </c>
      <c r="F236" t="inlineStr">
        <is>
          <t>DALARNAS LÄN</t>
        </is>
      </c>
      <c r="G236" t="inlineStr">
        <is>
          <t>SÄTER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22148-2026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46153</v>
      </c>
      <c r="E237" s="1" t="n">
        <v>46299</v>
      </c>
      <c r="F237" t="inlineStr">
        <is>
          <t>DALARNAS LÄN</t>
        </is>
      </c>
      <c r="G237" t="inlineStr">
        <is>
          <t>SÄTER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22028-2026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46153</v>
      </c>
      <c r="E238" s="1" t="n">
        <v>46299</v>
      </c>
      <c r="F238" t="inlineStr">
        <is>
          <t>DALARNAS LÄN</t>
        </is>
      </c>
      <c r="G238" t="inlineStr">
        <is>
          <t>SÄTER</t>
        </is>
      </c>
      <c r="I238" t="n">
        <v>10.1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46154</v>
      </c>
      <c r="E239" s="1" t="n">
        <v>46299</v>
      </c>
      <c r="F239" t="inlineStr">
        <is>
          <t>DALARNAS LÄN</t>
        </is>
      </c>
      <c r="G239" t="inlineStr">
        <is>
          <t>SÄTER</t>
        </is>
      </c>
      <c r="I239" t="n">
        <v>9.6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44869</v>
      </c>
      <c r="E240" s="1" t="n">
        <v>46299</v>
      </c>
      <c r="F240" t="inlineStr">
        <is>
          <t>DALARNAS LÄN</t>
        </is>
      </c>
      <c r="G240" t="inlineStr">
        <is>
          <t>SÄTER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45216</v>
      </c>
      <c r="E241" s="1" t="n">
        <v>46299</v>
      </c>
      <c r="F241" t="inlineStr">
        <is>
          <t>DALARNAS LÄN</t>
        </is>
      </c>
      <c r="G241" t="inlineStr">
        <is>
          <t>SÄTER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37075-2025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45875</v>
      </c>
      <c r="E242" s="1" t="n">
        <v>46299</v>
      </c>
      <c r="F242" t="inlineStr">
        <is>
          <t>DALARNAS LÄN</t>
        </is>
      </c>
      <c r="G242" t="inlineStr">
        <is>
          <t>SÄTER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45321</v>
      </c>
      <c r="E243" s="1" t="n">
        <v>46299</v>
      </c>
      <c r="F243" t="inlineStr">
        <is>
          <t>DALARNAS LÄN</t>
        </is>
      </c>
      <c r="G243" t="inlineStr">
        <is>
          <t>SÄTER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45628</v>
      </c>
      <c r="E244" s="1" t="n">
        <v>46299</v>
      </c>
      <c r="F244" t="inlineStr">
        <is>
          <t>DALARNAS LÄN</t>
        </is>
      </c>
      <c r="G244" t="inlineStr">
        <is>
          <t>SÄTER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41643-2023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45175</v>
      </c>
      <c r="E245" s="1" t="n">
        <v>46299</v>
      </c>
      <c r="F245" t="inlineStr">
        <is>
          <t>DALARNAS LÄN</t>
        </is>
      </c>
      <c r="G245" t="inlineStr">
        <is>
          <t>SÄTER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46087</v>
      </c>
      <c r="E246" s="1" t="n">
        <v>46299</v>
      </c>
      <c r="F246" t="inlineStr">
        <is>
          <t>DALARNAS LÄN</t>
        </is>
      </c>
      <c r="G246" t="inlineStr">
        <is>
          <t>SÄTER</t>
        </is>
      </c>
      <c r="H246" t="inlineStr">
        <is>
          <t>Kommuner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51320-2024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45604</v>
      </c>
      <c r="E247" s="1" t="n">
        <v>46299</v>
      </c>
      <c r="F247" t="inlineStr">
        <is>
          <t>DALARNAS LÄN</t>
        </is>
      </c>
      <c r="G247" t="inlineStr">
        <is>
          <t>SÄTER</t>
        </is>
      </c>
      <c r="I247" t="n">
        <v>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51324-2024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45604</v>
      </c>
      <c r="E248" s="1" t="n">
        <v>46299</v>
      </c>
      <c r="F248" t="inlineStr">
        <is>
          <t>DALARNAS LÄN</t>
        </is>
      </c>
      <c r="G248" t="inlineStr">
        <is>
          <t>SÄTER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23547-2026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46299</v>
      </c>
      <c r="F249" t="inlineStr">
        <is>
          <t>DALARNAS LÄN</t>
        </is>
      </c>
      <c r="G249" t="inlineStr">
        <is>
          <t>SÄTER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23735-2026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46299</v>
      </c>
      <c r="F250" t="inlineStr">
        <is>
          <t>DALARNAS LÄN</t>
        </is>
      </c>
      <c r="G250" t="inlineStr">
        <is>
          <t>SÄTER</t>
        </is>
      </c>
      <c r="H250" t="inlineStr">
        <is>
          <t>Bergvik skog väst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23736-2026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46163</v>
      </c>
      <c r="E251" s="1" t="n">
        <v>46299</v>
      </c>
      <c r="F251" t="inlineStr">
        <is>
          <t>DALARNAS LÄN</t>
        </is>
      </c>
      <c r="G251" t="inlineStr">
        <is>
          <t>SÄTER</t>
        </is>
      </c>
      <c r="H251" t="inlineStr">
        <is>
          <t>Bergvik skog väst AB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23736-2026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46299</v>
      </c>
      <c r="F252" t="inlineStr">
        <is>
          <t>DALARNAS LÄN</t>
        </is>
      </c>
      <c r="G252" t="inlineStr">
        <is>
          <t>SÄTER</t>
        </is>
      </c>
      <c r="H252" t="inlineStr">
        <is>
          <t>Bergvik skog väst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23737-2026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46299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29635-2024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45484</v>
      </c>
      <c r="E254" s="1" t="n">
        <v>46299</v>
      </c>
      <c r="F254" t="inlineStr">
        <is>
          <t>DALARNAS LÄN</t>
        </is>
      </c>
      <c r="G254" t="inlineStr">
        <is>
          <t>SÄTER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23679-2026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46164</v>
      </c>
      <c r="E255" s="1" t="n">
        <v>46299</v>
      </c>
      <c r="F255" t="inlineStr">
        <is>
          <t>DALARNAS LÄN</t>
        </is>
      </c>
      <c r="G255" t="inlineStr">
        <is>
          <t>SÄTER</t>
        </is>
      </c>
      <c r="I255" t="n">
        <v>10.1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45638</v>
      </c>
      <c r="E256" s="1" t="n">
        <v>46299</v>
      </c>
      <c r="F256" t="inlineStr">
        <is>
          <t>DALARNAS LÄN</t>
        </is>
      </c>
      <c r="G256" t="inlineStr">
        <is>
          <t>SÄTER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51323-2024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45604</v>
      </c>
      <c r="E257" s="1" t="n">
        <v>46299</v>
      </c>
      <c r="F257" t="inlineStr">
        <is>
          <t>DALARNAS LÄN</t>
        </is>
      </c>
      <c r="G257" t="inlineStr">
        <is>
          <t>SÄTER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34990-2024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45527</v>
      </c>
      <c r="E258" s="1" t="n">
        <v>46299</v>
      </c>
      <c r="F258" t="inlineStr">
        <is>
          <t>DALARNAS LÄN</t>
        </is>
      </c>
      <c r="G258" t="inlineStr">
        <is>
          <t>SÄTER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34991-2024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45527</v>
      </c>
      <c r="E259" s="1" t="n">
        <v>46299</v>
      </c>
      <c r="F259" t="inlineStr">
        <is>
          <t>DALARNAS LÄN</t>
        </is>
      </c>
      <c r="G259" t="inlineStr">
        <is>
          <t>SÄTER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24376-2026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46167</v>
      </c>
      <c r="E260" s="1" t="n">
        <v>46299</v>
      </c>
      <c r="F260" t="inlineStr">
        <is>
          <t>DALARNAS LÄN</t>
        </is>
      </c>
      <c r="G260" t="inlineStr">
        <is>
          <t>SÄTER</t>
        </is>
      </c>
      <c r="I260" t="n">
        <v>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11164-2023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44992</v>
      </c>
      <c r="E261" s="1" t="n">
        <v>46299</v>
      </c>
      <c r="F261" t="inlineStr">
        <is>
          <t>DALARNAS LÄN</t>
        </is>
      </c>
      <c r="G261" t="inlineStr">
        <is>
          <t>SÄTER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51468-2024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45604</v>
      </c>
      <c r="E262" s="1" t="n">
        <v>46299</v>
      </c>
      <c r="F262" t="inlineStr">
        <is>
          <t>DALARNAS LÄN</t>
        </is>
      </c>
      <c r="G262" t="inlineStr">
        <is>
          <t>SÄTER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35005-2024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45527</v>
      </c>
      <c r="E263" s="1" t="n">
        <v>46299</v>
      </c>
      <c r="F263" t="inlineStr">
        <is>
          <t>DALARNAS LÄN</t>
        </is>
      </c>
      <c r="G263" t="inlineStr">
        <is>
          <t>SÄTER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6767-2024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45342</v>
      </c>
      <c r="E264" s="1" t="n">
        <v>46299</v>
      </c>
      <c r="F264" t="inlineStr">
        <is>
          <t>DALARNAS LÄN</t>
        </is>
      </c>
      <c r="G264" t="inlineStr">
        <is>
          <t>SÄTER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44729-2024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45574</v>
      </c>
      <c r="E265" s="1" t="n">
        <v>46299</v>
      </c>
      <c r="F265" t="inlineStr">
        <is>
          <t>DALARNAS LÄN</t>
        </is>
      </c>
      <c r="G265" t="inlineStr">
        <is>
          <t>SÄTER</t>
        </is>
      </c>
      <c r="H265" t="inlineStr">
        <is>
          <t>Bergvik skog väst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38264-2025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45883</v>
      </c>
      <c r="E266" s="1" t="n">
        <v>46299</v>
      </c>
      <c r="F266" t="inlineStr">
        <is>
          <t>DALARNAS LÄN</t>
        </is>
      </c>
      <c r="G266" t="inlineStr">
        <is>
          <t>SÄTER</t>
        </is>
      </c>
      <c r="I266" t="n">
        <v>10.8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61743-2023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45265</v>
      </c>
      <c r="E267" s="1" t="n">
        <v>46299</v>
      </c>
      <c r="F267" t="inlineStr">
        <is>
          <t>DALARNAS LÄN</t>
        </is>
      </c>
      <c r="G267" t="inlineStr">
        <is>
          <t>SÄTER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45953</v>
      </c>
      <c r="E268" s="1" t="n">
        <v>46299</v>
      </c>
      <c r="F268" t="inlineStr">
        <is>
          <t>DALARNAS LÄN</t>
        </is>
      </c>
      <c r="G268" t="inlineStr">
        <is>
          <t>SÄTER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46010</v>
      </c>
      <c r="E269" s="1" t="n">
        <v>46299</v>
      </c>
      <c r="F269" t="inlineStr">
        <is>
          <t>DALARNAS LÄN</t>
        </is>
      </c>
      <c r="G269" t="inlineStr">
        <is>
          <t>SÄTER</t>
        </is>
      </c>
      <c r="H269" t="inlineStr">
        <is>
          <t>Övriga statliga verk och myndigheter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36847-2023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45154</v>
      </c>
      <c r="E270" s="1" t="n">
        <v>46299</v>
      </c>
      <c r="F270" t="inlineStr">
        <is>
          <t>DALARNAS LÄN</t>
        </is>
      </c>
      <c r="G270" t="inlineStr">
        <is>
          <t>SÄTER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46076</v>
      </c>
      <c r="E271" s="1" t="n">
        <v>46299</v>
      </c>
      <c r="F271" t="inlineStr">
        <is>
          <t>DALARNAS LÄN</t>
        </is>
      </c>
      <c r="G271" t="inlineStr">
        <is>
          <t>SÄTER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62533-2023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45268</v>
      </c>
      <c r="E272" s="1" t="n">
        <v>46299</v>
      </c>
      <c r="F272" t="inlineStr">
        <is>
          <t>DALARNAS LÄN</t>
        </is>
      </c>
      <c r="G272" t="inlineStr">
        <is>
          <t>SÄTER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45330</v>
      </c>
      <c r="E273" s="1" t="n">
        <v>46299</v>
      </c>
      <c r="F273" t="inlineStr">
        <is>
          <t>DALARNAS LÄN</t>
        </is>
      </c>
      <c r="G273" t="inlineStr">
        <is>
          <t>SÄTER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45411</v>
      </c>
      <c r="E274" s="1" t="n">
        <v>46299</v>
      </c>
      <c r="F274" t="inlineStr">
        <is>
          <t>DALARNAS LÄN</t>
        </is>
      </c>
      <c r="G274" t="inlineStr">
        <is>
          <t>SÄTER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16843-2024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45411</v>
      </c>
      <c r="E275" s="1" t="n">
        <v>46299</v>
      </c>
      <c r="F275" t="inlineStr">
        <is>
          <t>DALARNAS LÄN</t>
        </is>
      </c>
      <c r="G275" t="inlineStr">
        <is>
          <t>SÄTER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45225-2022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44840</v>
      </c>
      <c r="E276" s="1" t="n">
        <v>46299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10.2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45476-2024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45576</v>
      </c>
      <c r="E277" s="1" t="n">
        <v>46299</v>
      </c>
      <c r="F277" t="inlineStr">
        <is>
          <t>DALARNAS LÄN</t>
        </is>
      </c>
      <c r="G277" t="inlineStr">
        <is>
          <t>SÄTER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45411</v>
      </c>
      <c r="E278" s="1" t="n">
        <v>46299</v>
      </c>
      <c r="F278" t="inlineStr">
        <is>
          <t>DALARNAS LÄN</t>
        </is>
      </c>
      <c r="G278" t="inlineStr">
        <is>
          <t>SÄTER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16840-2024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45411</v>
      </c>
      <c r="E279" s="1" t="n">
        <v>46299</v>
      </c>
      <c r="F279" t="inlineStr">
        <is>
          <t>DALARNAS LÄN</t>
        </is>
      </c>
      <c r="G279" t="inlineStr">
        <is>
          <t>SÄTER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46299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7.5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14931-2024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45398</v>
      </c>
      <c r="E281" s="1" t="n">
        <v>46299</v>
      </c>
      <c r="F281" t="inlineStr">
        <is>
          <t>DALARNAS LÄN</t>
        </is>
      </c>
      <c r="G281" t="inlineStr">
        <is>
          <t>SÄTER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7188-2023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46299</v>
      </c>
      <c r="F282" t="inlineStr">
        <is>
          <t>DALARNAS LÄN</t>
        </is>
      </c>
      <c r="G282" t="inlineStr">
        <is>
          <t>SÄTER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56823-2024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45628</v>
      </c>
      <c r="E283" s="1" t="n">
        <v>46299</v>
      </c>
      <c r="F283" t="inlineStr">
        <is>
          <t>DALARNAS LÄN</t>
        </is>
      </c>
      <c r="G283" t="inlineStr">
        <is>
          <t>SÄTER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34652-2024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45526</v>
      </c>
      <c r="E284" s="1" t="n">
        <v>46299</v>
      </c>
      <c r="F284" t="inlineStr">
        <is>
          <t>DALARNAS LÄN</t>
        </is>
      </c>
      <c r="G284" t="inlineStr">
        <is>
          <t>SÄTER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27771-2026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46299</v>
      </c>
      <c r="F285" t="inlineStr">
        <is>
          <t>DALARNAS LÄN</t>
        </is>
      </c>
      <c r="G285" t="inlineStr">
        <is>
          <t>SÄTER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12965-2026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46299</v>
      </c>
      <c r="F286" t="inlineStr">
        <is>
          <t>DALARNAS LÄN</t>
        </is>
      </c>
      <c r="G286" t="inlineStr">
        <is>
          <t>SÄTER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45264</v>
      </c>
      <c r="E287" s="1" t="n">
        <v>46299</v>
      </c>
      <c r="F287" t="inlineStr">
        <is>
          <t>DALARNAS LÄN</t>
        </is>
      </c>
      <c r="G287" t="inlineStr">
        <is>
          <t>SÄTER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18974-2024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45427</v>
      </c>
      <c r="E288" s="1" t="n">
        <v>46299</v>
      </c>
      <c r="F288" t="inlineStr">
        <is>
          <t>DALARNAS LÄN</t>
        </is>
      </c>
      <c r="G288" t="inlineStr">
        <is>
          <t>SÄTER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21697-2023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45063</v>
      </c>
      <c r="E289" s="1" t="n">
        <v>46299</v>
      </c>
      <c r="F289" t="inlineStr">
        <is>
          <t>DALARNAS LÄN</t>
        </is>
      </c>
      <c r="G289" t="inlineStr">
        <is>
          <t>SÄTER</t>
        </is>
      </c>
      <c r="H289" t="inlineStr">
        <is>
          <t>Kommuner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30515-2026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46204</v>
      </c>
      <c r="E290" s="1" t="n">
        <v>46299</v>
      </c>
      <c r="F290" t="inlineStr">
        <is>
          <t>DALARNAS LÄN</t>
        </is>
      </c>
      <c r="G290" t="inlineStr">
        <is>
          <t>SÄTER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30256-2023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45110</v>
      </c>
      <c r="E291" s="1" t="n">
        <v>46299</v>
      </c>
      <c r="F291" t="inlineStr">
        <is>
          <t>DALARNAS LÄN</t>
        </is>
      </c>
      <c r="G291" t="inlineStr">
        <is>
          <t>SÄTER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8810-2026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46066</v>
      </c>
      <c r="E292" s="1" t="n">
        <v>46299</v>
      </c>
      <c r="F292" t="inlineStr">
        <is>
          <t>DALARNAS LÄN</t>
        </is>
      </c>
      <c r="G292" t="inlineStr">
        <is>
          <t>SÄTER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23810-2024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45455</v>
      </c>
      <c r="E293" s="1" t="n">
        <v>46299</v>
      </c>
      <c r="F293" t="inlineStr">
        <is>
          <t>DALARNAS LÄN</t>
        </is>
      </c>
      <c r="G293" t="inlineStr">
        <is>
          <t>SÄTER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30706-2026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46211</v>
      </c>
      <c r="E294" s="1" t="n">
        <v>46299</v>
      </c>
      <c r="F294" t="inlineStr">
        <is>
          <t>DALARNAS LÄN</t>
        </is>
      </c>
      <c r="G294" t="inlineStr">
        <is>
          <t>SÄTER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45432</v>
      </c>
      <c r="E295" s="1" t="n">
        <v>46299</v>
      </c>
      <c r="F295" t="inlineStr">
        <is>
          <t>DALARNAS LÄN</t>
        </is>
      </c>
      <c r="G295" t="inlineStr">
        <is>
          <t>SÄTER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35385-2026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46261</v>
      </c>
      <c r="E296" s="1" t="n">
        <v>46299</v>
      </c>
      <c r="F296" t="inlineStr">
        <is>
          <t>DALARNAS LÄN</t>
        </is>
      </c>
      <c r="G296" t="inlineStr">
        <is>
          <t>SÄTER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10540-2024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45366</v>
      </c>
      <c r="E297" s="1" t="n">
        <v>46299</v>
      </c>
      <c r="F297" t="inlineStr">
        <is>
          <t>DALARNAS LÄN</t>
        </is>
      </c>
      <c r="G297" t="inlineStr">
        <is>
          <t>SÄTER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38240-2022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44812</v>
      </c>
      <c r="E298" s="1" t="n">
        <v>46299</v>
      </c>
      <c r="F298" t="inlineStr">
        <is>
          <t>DALARNAS LÄN</t>
        </is>
      </c>
      <c r="G298" t="inlineStr">
        <is>
          <t>SÄTER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19162-2022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44691</v>
      </c>
      <c r="E299" s="1" t="n">
        <v>46299</v>
      </c>
      <c r="F299" t="inlineStr">
        <is>
          <t>DALARNAS LÄN</t>
        </is>
      </c>
      <c r="G299" t="inlineStr">
        <is>
          <t>SÄTER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35564-2026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46262</v>
      </c>
      <c r="E300" s="1" t="n">
        <v>46299</v>
      </c>
      <c r="F300" t="inlineStr">
        <is>
          <t>DALARNAS LÄN</t>
        </is>
      </c>
      <c r="G300" t="inlineStr">
        <is>
          <t>SÄTER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46299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59707-2022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44908</v>
      </c>
      <c r="E302" s="1" t="n">
        <v>46299</v>
      </c>
      <c r="F302" t="inlineStr">
        <is>
          <t>DALARNAS LÄN</t>
        </is>
      </c>
      <c r="G302" t="inlineStr">
        <is>
          <t>SÄTER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13339-2023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45005</v>
      </c>
      <c r="E303" s="1" t="n">
        <v>46299</v>
      </c>
      <c r="F303" t="inlineStr">
        <is>
          <t>DALARNAS LÄN</t>
        </is>
      </c>
      <c r="G303" t="inlineStr">
        <is>
          <t>SÄTER</t>
        </is>
      </c>
      <c r="I303" t="n">
        <v>8.6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69744-2021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44532</v>
      </c>
      <c r="E304" s="1" t="n">
        <v>46299</v>
      </c>
      <c r="F304" t="inlineStr">
        <is>
          <t>DALARNAS LÄN</t>
        </is>
      </c>
      <c r="G304" t="inlineStr">
        <is>
          <t>SÄTER</t>
        </is>
      </c>
      <c r="H304" t="inlineStr">
        <is>
          <t>Bergvik skog väst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26456-2024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45469</v>
      </c>
      <c r="E305" s="1" t="n">
        <v>46299</v>
      </c>
      <c r="F305" t="inlineStr">
        <is>
          <t>DALARNAS LÄN</t>
        </is>
      </c>
      <c r="G305" t="inlineStr">
        <is>
          <t>SÄTER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847-2025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45665</v>
      </c>
      <c r="E306" s="1" t="n">
        <v>46299</v>
      </c>
      <c r="F306" t="inlineStr">
        <is>
          <t>DALARNAS LÄN</t>
        </is>
      </c>
      <c r="G306" t="inlineStr">
        <is>
          <t>SÄTER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5543-2022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44595</v>
      </c>
      <c r="E307" s="1" t="n">
        <v>46299</v>
      </c>
      <c r="F307" t="inlineStr">
        <is>
          <t>DALARNAS LÄN</t>
        </is>
      </c>
      <c r="G307" t="inlineStr">
        <is>
          <t>SÄTER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60655-2024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45644</v>
      </c>
      <c r="E308" s="1" t="n">
        <v>46299</v>
      </c>
      <c r="F308" t="inlineStr">
        <is>
          <t>DALARNAS LÄN</t>
        </is>
      </c>
      <c r="G308" t="inlineStr">
        <is>
          <t>SÄTER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36969-2026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46273</v>
      </c>
      <c r="E309" s="1" t="n">
        <v>46299</v>
      </c>
      <c r="F309" t="inlineStr">
        <is>
          <t>DALARNAS LÄN</t>
        </is>
      </c>
      <c r="G309" t="inlineStr">
        <is>
          <t>SÄTER</t>
        </is>
      </c>
      <c r="H309" t="inlineStr">
        <is>
          <t>Bergvik skog väst AB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37429-2026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46275</v>
      </c>
      <c r="E310" s="1" t="n">
        <v>46299</v>
      </c>
      <c r="F310" t="inlineStr">
        <is>
          <t>DALARNAS LÄN</t>
        </is>
      </c>
      <c r="G310" t="inlineStr">
        <is>
          <t>SÄTER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32122-2026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46234</v>
      </c>
      <c r="E311" s="1" t="n">
        <v>46299</v>
      </c>
      <c r="F311" t="inlineStr">
        <is>
          <t>DALARNAS LÄN</t>
        </is>
      </c>
      <c r="G311" t="inlineStr">
        <is>
          <t>SÄTER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37502-2026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46275</v>
      </c>
      <c r="E312" s="1" t="n">
        <v>46299</v>
      </c>
      <c r="F312" t="inlineStr">
        <is>
          <t>DALARNAS LÄN</t>
        </is>
      </c>
      <c r="G312" t="inlineStr">
        <is>
          <t>SÄTER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59445-2024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45638</v>
      </c>
      <c r="E313" s="1" t="n">
        <v>46299</v>
      </c>
      <c r="F313" t="inlineStr">
        <is>
          <t>DALARNAS LÄN</t>
        </is>
      </c>
      <c r="G313" t="inlineStr">
        <is>
          <t>SÄTER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45719</v>
      </c>
      <c r="E314" s="1" t="n">
        <v>46299</v>
      </c>
      <c r="F314" t="inlineStr">
        <is>
          <t>DALARNAS LÄN</t>
        </is>
      </c>
      <c r="G314" t="inlineStr">
        <is>
          <t>SÄTER</t>
        </is>
      </c>
      <c r="H314" t="inlineStr">
        <is>
          <t>Bergvik skog väst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38700-2023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45163</v>
      </c>
      <c r="E315" s="1" t="n">
        <v>46299</v>
      </c>
      <c r="F315" t="inlineStr">
        <is>
          <t>DALARNAS LÄN</t>
        </is>
      </c>
      <c r="G315" t="inlineStr">
        <is>
          <t>SÄTER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46283</v>
      </c>
      <c r="E316" s="1" t="n">
        <v>46299</v>
      </c>
      <c r="F316" t="inlineStr">
        <is>
          <t>DALARNAS LÄN</t>
        </is>
      </c>
      <c r="G316" t="inlineStr">
        <is>
          <t>SÄTER</t>
        </is>
      </c>
      <c r="H316" t="inlineStr">
        <is>
          <t>Bergvik skog väst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39487-2022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44817</v>
      </c>
      <c r="E317" s="1" t="n">
        <v>46299</v>
      </c>
      <c r="F317" t="inlineStr">
        <is>
          <t>DALARNAS LÄN</t>
        </is>
      </c>
      <c r="G317" t="inlineStr">
        <is>
          <t>SÄTER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45334</v>
      </c>
      <c r="E318" s="1" t="n">
        <v>46299</v>
      </c>
      <c r="F318" t="inlineStr">
        <is>
          <t>DALARNAS LÄN</t>
        </is>
      </c>
      <c r="G318" t="inlineStr">
        <is>
          <t>SÄTER</t>
        </is>
      </c>
      <c r="H318" t="inlineStr">
        <is>
          <t>Kommuner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26503-2022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44739</v>
      </c>
      <c r="E319" s="1" t="n">
        <v>46299</v>
      </c>
      <c r="F319" t="inlineStr">
        <is>
          <t>DALARNAS LÄN</t>
        </is>
      </c>
      <c r="G319" t="inlineStr">
        <is>
          <t>SÄTER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38521-2024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46299</v>
      </c>
      <c r="F320" t="inlineStr">
        <is>
          <t>DALARNAS LÄN</t>
        </is>
      </c>
      <c r="G320" t="inlineStr">
        <is>
          <t>SÄTER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37440-2022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44809</v>
      </c>
      <c r="E321" s="1" t="n">
        <v>46299</v>
      </c>
      <c r="F321" t="inlineStr">
        <is>
          <t>DALARNAS LÄN</t>
        </is>
      </c>
      <c r="G321" t="inlineStr">
        <is>
          <t>SÄTER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55497-2024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45622</v>
      </c>
      <c r="E322" s="1" t="n">
        <v>46299</v>
      </c>
      <c r="F322" t="inlineStr">
        <is>
          <t>DALARNAS LÄN</t>
        </is>
      </c>
      <c r="G322" t="inlineStr">
        <is>
          <t>SÄTER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32904-2022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44784</v>
      </c>
      <c r="E323" s="1" t="n">
        <v>46299</v>
      </c>
      <c r="F323" t="inlineStr">
        <is>
          <t>DALARNAS LÄN</t>
        </is>
      </c>
      <c r="G323" t="inlineStr">
        <is>
          <t>SÄTER</t>
        </is>
      </c>
      <c r="H323" t="inlineStr">
        <is>
          <t>Bergvik skog väst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39890-2026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46290</v>
      </c>
      <c r="E324" s="1" t="n">
        <v>46299</v>
      </c>
      <c r="F324" t="inlineStr">
        <is>
          <t>DALARNAS LÄN</t>
        </is>
      </c>
      <c r="G324" t="inlineStr">
        <is>
          <t>SÄTER</t>
        </is>
      </c>
      <c r="H324" t="inlineStr">
        <is>
          <t>Bergvik skog väst AB</t>
        </is>
      </c>
      <c r="I324" t="n">
        <v>9.199999999999999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57824-2023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45247</v>
      </c>
      <c r="E325" s="1" t="n">
        <v>46299</v>
      </c>
      <c r="F325" t="inlineStr">
        <is>
          <t>DALARNAS LÄN</t>
        </is>
      </c>
      <c r="G325" t="inlineStr">
        <is>
          <t>SÄTER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47044-2023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45201</v>
      </c>
      <c r="E326" s="1" t="n">
        <v>46299</v>
      </c>
      <c r="F326" t="inlineStr">
        <is>
          <t>DALARNAS LÄN</t>
        </is>
      </c>
      <c r="G326" t="inlineStr">
        <is>
          <t>SÄTER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39714-2026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46290</v>
      </c>
      <c r="E327" s="1" t="n">
        <v>46299</v>
      </c>
      <c r="F327" t="inlineStr">
        <is>
          <t>DALARNAS LÄN</t>
        </is>
      </c>
      <c r="G327" t="inlineStr">
        <is>
          <t>SÄTER</t>
        </is>
      </c>
      <c r="H327" t="inlineStr">
        <is>
          <t>Bergvik skog väst AB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39883-2026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46290</v>
      </c>
      <c r="E328" s="1" t="n">
        <v>46299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40059-2026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46293</v>
      </c>
      <c r="E329" s="1" t="n">
        <v>46299</v>
      </c>
      <c r="F329" t="inlineStr">
        <is>
          <t>DALARNAS LÄN</t>
        </is>
      </c>
      <c r="G329" t="inlineStr">
        <is>
          <t>SÄTER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28281-2026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46196</v>
      </c>
      <c r="E330" s="1" t="n">
        <v>46299</v>
      </c>
      <c r="F330" t="inlineStr">
        <is>
          <t>DALARNAS LÄN</t>
        </is>
      </c>
      <c r="G330" t="inlineStr">
        <is>
          <t>SÄTER</t>
        </is>
      </c>
      <c r="H330" t="inlineStr">
        <is>
          <t>Sveaskog</t>
        </is>
      </c>
      <c r="I330" t="n">
        <v>19.8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51333-2024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45604</v>
      </c>
      <c r="E331" s="1" t="n">
        <v>46299</v>
      </c>
      <c r="F331" t="inlineStr">
        <is>
          <t>DALARNAS LÄN</t>
        </is>
      </c>
      <c r="G331" t="inlineStr">
        <is>
          <t>SÄTER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19979-2025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45771</v>
      </c>
      <c r="E332" s="1" t="n">
        <v>46299</v>
      </c>
      <c r="F332" t="inlineStr">
        <is>
          <t>DALARNAS LÄN</t>
        </is>
      </c>
      <c r="G332" t="inlineStr">
        <is>
          <t>SÄTER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39998-2026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46293</v>
      </c>
      <c r="E333" s="1" t="n">
        <v>46299</v>
      </c>
      <c r="F333" t="inlineStr">
        <is>
          <t>DALARNAS LÄN</t>
        </is>
      </c>
      <c r="G333" t="inlineStr">
        <is>
          <t>SÄTER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32892-2022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44784</v>
      </c>
      <c r="E334" s="1" t="n">
        <v>46299</v>
      </c>
      <c r="F334" t="inlineStr">
        <is>
          <t>DALARNAS LÄN</t>
        </is>
      </c>
      <c r="G334" t="inlineStr">
        <is>
          <t>SÄTER</t>
        </is>
      </c>
      <c r="I334" t="n">
        <v>6.8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34497-2023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45140</v>
      </c>
      <c r="E335" s="1" t="n">
        <v>46299</v>
      </c>
      <c r="F335" t="inlineStr">
        <is>
          <t>DALARNAS LÄN</t>
        </is>
      </c>
      <c r="G335" t="inlineStr">
        <is>
          <t>SÄTER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34357-2026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46254</v>
      </c>
      <c r="E336" s="1" t="n">
        <v>46299</v>
      </c>
      <c r="F336" t="inlineStr">
        <is>
          <t>DALARNAS LÄN</t>
        </is>
      </c>
      <c r="G336" t="inlineStr">
        <is>
          <t>SÄTER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23262-2024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45453</v>
      </c>
      <c r="E337" s="1" t="n">
        <v>46299</v>
      </c>
      <c r="F337" t="inlineStr">
        <is>
          <t>DALARNAS LÄN</t>
        </is>
      </c>
      <c r="G337" t="inlineStr">
        <is>
          <t>SÄTER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37923-2022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44811</v>
      </c>
      <c r="E338" s="1" t="n">
        <v>46299</v>
      </c>
      <c r="F338" t="inlineStr">
        <is>
          <t>DALARNAS LÄN</t>
        </is>
      </c>
      <c r="G338" t="inlineStr">
        <is>
          <t>SÄTER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16834-2024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45411</v>
      </c>
      <c r="E339" s="1" t="n">
        <v>46299</v>
      </c>
      <c r="F339" t="inlineStr">
        <is>
          <t>DALARNAS LÄN</t>
        </is>
      </c>
      <c r="G339" t="inlineStr">
        <is>
          <t>SÄTER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34993-2024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45527</v>
      </c>
      <c r="E340" s="1" t="n">
        <v>46299</v>
      </c>
      <c r="F340" t="inlineStr">
        <is>
          <t>DALARNAS LÄN</t>
        </is>
      </c>
      <c r="G340" t="inlineStr">
        <is>
          <t>SÄTER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21766-2024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45442</v>
      </c>
      <c r="E341" s="1" t="n">
        <v>46299</v>
      </c>
      <c r="F341" t="inlineStr">
        <is>
          <t>DALARNAS LÄN</t>
        </is>
      </c>
      <c r="G341" t="inlineStr">
        <is>
          <t>SÄTER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12957-2022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44643</v>
      </c>
      <c r="E342" s="1" t="n">
        <v>46299</v>
      </c>
      <c r="F342" t="inlineStr">
        <is>
          <t>DALARNAS LÄN</t>
        </is>
      </c>
      <c r="G342" t="inlineStr">
        <is>
          <t>SÄTER</t>
        </is>
      </c>
      <c r="I342" t="n">
        <v>8.1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56827-2024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45628</v>
      </c>
      <c r="E343" s="1" t="n">
        <v>46299</v>
      </c>
      <c r="F343" t="inlineStr">
        <is>
          <t>DALARNAS LÄN</t>
        </is>
      </c>
      <c r="G343" t="inlineStr">
        <is>
          <t>SÄTER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54312-2023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45232</v>
      </c>
      <c r="E344" s="1" t="n">
        <v>46299</v>
      </c>
      <c r="F344" t="inlineStr">
        <is>
          <t>DALARNAS LÄN</t>
        </is>
      </c>
      <c r="G344" t="inlineStr">
        <is>
          <t>SÄTER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44953</v>
      </c>
      <c r="E345" s="1" t="n">
        <v>46299</v>
      </c>
      <c r="F345" t="inlineStr">
        <is>
          <t>DALARNAS LÄN</t>
        </is>
      </c>
      <c r="G345" t="inlineStr">
        <is>
          <t>SÄTER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5981-2023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44964</v>
      </c>
      <c r="E346" s="1" t="n">
        <v>46299</v>
      </c>
      <c r="F346" t="inlineStr">
        <is>
          <t>DALARNAS LÄN</t>
        </is>
      </c>
      <c r="G346" t="inlineStr">
        <is>
          <t>SÄTER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33872-2024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45520</v>
      </c>
      <c r="E347" s="1" t="n">
        <v>46299</v>
      </c>
      <c r="F347" t="inlineStr">
        <is>
          <t>DALARNAS LÄN</t>
        </is>
      </c>
      <c r="G347" t="inlineStr">
        <is>
          <t>SÄTER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42998-2023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45182</v>
      </c>
      <c r="E348" s="1" t="n">
        <v>46299</v>
      </c>
      <c r="F348" t="inlineStr">
        <is>
          <t>DALARNAS LÄN</t>
        </is>
      </c>
      <c r="G348" t="inlineStr">
        <is>
          <t>SÄTER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51847-2024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45604</v>
      </c>
      <c r="E349" s="1" t="n">
        <v>46299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54310-2023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45232</v>
      </c>
      <c r="E350" s="1" t="n">
        <v>46299</v>
      </c>
      <c r="F350" t="inlineStr">
        <is>
          <t>DALARNAS LÄN</t>
        </is>
      </c>
      <c r="G350" t="inlineStr">
        <is>
          <t>SÄTER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33473-2022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44788</v>
      </c>
      <c r="E351" s="1" t="n">
        <v>46299</v>
      </c>
      <c r="F351" t="inlineStr">
        <is>
          <t>DALARNAS LÄN</t>
        </is>
      </c>
      <c r="G351" t="inlineStr">
        <is>
          <t>SÄTER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28549-2022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44748</v>
      </c>
      <c r="E352" s="1" t="n">
        <v>46299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41471-2023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45171</v>
      </c>
      <c r="E353" s="1" t="n">
        <v>46299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21583-2025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45783</v>
      </c>
      <c r="E354" s="1" t="n">
        <v>46299</v>
      </c>
      <c r="F354" t="inlineStr">
        <is>
          <t>DALARNAS LÄN</t>
        </is>
      </c>
      <c r="G354" t="inlineStr">
        <is>
          <t>SÄTER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49684-2024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45596</v>
      </c>
      <c r="E355" s="1" t="n">
        <v>46299</v>
      </c>
      <c r="F355" t="inlineStr">
        <is>
          <t>DALARNAS LÄN</t>
        </is>
      </c>
      <c r="G355" t="inlineStr">
        <is>
          <t>SÄTER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19322-2024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45428</v>
      </c>
      <c r="E356" s="1" t="n">
        <v>46299</v>
      </c>
      <c r="F356" t="inlineStr">
        <is>
          <t>DALARNAS LÄN</t>
        </is>
      </c>
      <c r="G356" t="inlineStr">
        <is>
          <t>SÄTER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45432</v>
      </c>
      <c r="E357" s="1" t="n">
        <v>46299</v>
      </c>
      <c r="F357" t="inlineStr">
        <is>
          <t>DALARNAS LÄN</t>
        </is>
      </c>
      <c r="G357" t="inlineStr">
        <is>
          <t>SÄTER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2585-2020</t>
        </is>
      </c>
      <c r="B358" t="inlineStr">
        <is>
          <t>samrådsanmälan</t>
        </is>
      </c>
      <c r="C358" t="n">
        <v/>
      </c>
      <c r="D358" s="1" t="n">
        <v>44155</v>
      </c>
      <c r="E358" s="1" t="n">
        <v>46299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1868-2020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44071</v>
      </c>
      <c r="E359" s="1" t="n">
        <v>46299</v>
      </c>
      <c r="F359" t="inlineStr">
        <is>
          <t>DALARNAS LÄN</t>
        </is>
      </c>
      <c r="G359" t="inlineStr">
        <is>
          <t>SÄTER</t>
        </is>
      </c>
      <c r="I359" t="n">
        <v>29.2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3057-2023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45182</v>
      </c>
      <c r="E360" s="1" t="n">
        <v>46299</v>
      </c>
      <c r="F360" t="inlineStr">
        <is>
          <t>DALARNAS LÄN</t>
        </is>
      </c>
      <c r="G360" t="inlineStr">
        <is>
          <t>SÄTER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405-2022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44585</v>
      </c>
      <c r="E361" s="1" t="n">
        <v>46299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79.09999999999999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1098-2024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45391</v>
      </c>
      <c r="E362" s="1" t="n">
        <v>46299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189.2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705-2025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45720</v>
      </c>
      <c r="E363" s="1" t="n">
        <v>46299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21.7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2939-2025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45951</v>
      </c>
      <c r="E364" s="1" t="n">
        <v>46299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2964-2025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45952</v>
      </c>
      <c r="E365" s="1" t="n">
        <v>46299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>
      <c r="A366" t="inlineStr">
        <is>
          <t>S 611-2026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46085</v>
      </c>
      <c r="E366" s="1" t="n">
        <v>46299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44.7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2026-10-04T01:55:36Z</dcterms:created>
  <dcterms:modified xmlns:dcterms="http://purl.org/dc/terms/" xmlns:xsi="http://www.w3.org/2001/XMLSchema-instance" xsi:type="dcterms:W3CDTF">2026-10-04T01:55:37Z</dcterms:modified>
</cp:coreProperties>
</file>