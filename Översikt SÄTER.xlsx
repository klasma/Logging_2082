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374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Fynd</t>
        </is>
      </c>
      <c r="U1" t="inlineStr">
        <is>
          <t>Nya fynd</t>
        </is>
      </c>
      <c r="V1" t="inlineStr">
        <is>
          <t>Artnamn</t>
        </is>
      </c>
      <c r="W1" t="inlineStr">
        <is>
          <t>Artfyndslänk</t>
        </is>
      </c>
      <c r="X1" t="inlineStr">
        <is>
          <t>Kartlänk</t>
        </is>
      </c>
      <c r="Y1" t="inlineStr">
        <is>
          <t>Geotifflänk</t>
        </is>
      </c>
      <c r="Z1" t="inlineStr">
        <is>
          <t>Knärotsbuffertlänk</t>
        </is>
      </c>
      <c r="AA1" t="inlineStr">
        <is>
          <t>Klagomålslänk</t>
        </is>
      </c>
      <c r="AB1" t="inlineStr">
        <is>
          <t>Klagomålsmaillänk</t>
        </is>
      </c>
      <c r="AC1" t="inlineStr">
        <is>
          <t>Tillsynsbegäranslänk</t>
        </is>
      </c>
      <c r="AD1" t="inlineStr">
        <is>
          <t>Tillsynsbegäransmaillänk</t>
        </is>
      </c>
      <c r="AE1" t="inlineStr">
        <is>
          <t>Fågeltillsynsbegäranslänk</t>
        </is>
      </c>
    </row>
    <row r="2" ht="15" customHeight="1">
      <c r="A2" t="inlineStr">
        <is>
          <t>A 8524-2026</t>
        </is>
      </c>
      <c r="B2" t="inlineStr">
        <is>
          <t>avverkningsanmälan</t>
        </is>
      </c>
      <c r="C2" t="inlineStr">
        <is>
          <t>Föryngringsavverkning</t>
        </is>
      </c>
      <c r="D2" s="1" t="n">
        <v>46065</v>
      </c>
      <c r="E2" s="1" t="n">
        <v>46232</v>
      </c>
      <c r="F2" t="inlineStr">
        <is>
          <t>DALARNAS LÄN</t>
        </is>
      </c>
      <c r="G2" t="inlineStr">
        <is>
          <t>SÄTER</t>
        </is>
      </c>
      <c r="I2" t="n">
        <v>23.9</v>
      </c>
      <c r="J2" t="n">
        <v>5</v>
      </c>
      <c r="K2" t="n">
        <v>2</v>
      </c>
      <c r="L2" t="n">
        <v>8</v>
      </c>
      <c r="M2" t="n">
        <v>1</v>
      </c>
      <c r="N2" t="n">
        <v>0</v>
      </c>
      <c r="O2" t="n">
        <v>0</v>
      </c>
      <c r="P2" t="n">
        <v>0</v>
      </c>
      <c r="Q2" t="n">
        <v>9</v>
      </c>
      <c r="R2" t="n">
        <v>1</v>
      </c>
      <c r="S2" t="n">
        <v>15</v>
      </c>
      <c r="T2" t="n">
        <v>75</v>
      </c>
      <c r="U2" t="n">
        <v>75</v>
      </c>
      <c r="V2" s="2" t="inlineStr">
        <is>
          <t>Knärot
Aspskinn
Doftskinn
Dropptaggsvamp
Dvärgbägarlav
Kortskaftad ärgspik
Nordtagging
Talltita
Vedskivlav
Mindre märgborre
Vedticka
Spillkråka
Timmerticka
Tjäder
Revlummer</t>
        </is>
      </c>
      <c r="W2">
        <f>HYPERLINK("https://klasma.github.io/Logging_2082/artfynd/A 8524-2026 artfynd.xlsx", "A 8524-2026")</f>
        <v/>
      </c>
      <c r="X2">
        <f>HYPERLINK("https://klasma.github.io/Logging_2082/kartor/A 8524-2026 karta.png", "A 8524-2026")</f>
        <v/>
      </c>
      <c r="Y2">
        <f>HYPERLINK("https://klasma.github.io/Logging_2082/kartor_geotiff/A 8524-2026 georefererad karta.tif", "A 8524-2026")</f>
        <v/>
      </c>
      <c r="Z2">
        <f>HYPERLINK("https://klasma.github.io/Logging_2082/knärot/A 8524-2026 karta knärot.png", "A 8524-2026")</f>
        <v/>
      </c>
      <c r="AA2">
        <f>HYPERLINK("https://klasma.github.io/Logging_2082/klagomål/A 8524-2026 FSC-klagomål.docx", "A 8524-2026")</f>
        <v/>
      </c>
      <c r="AB2">
        <f>HYPERLINK("https://klasma.github.io/Logging_2082/klagomålsmail/A 8524-2026 FSC-klagomål mail.docx", "A 8524-2026")</f>
        <v/>
      </c>
      <c r="AC2">
        <f>HYPERLINK("https://klasma.github.io/Logging_2082/tillsyn/A 8524-2026 tillsynsbegäran.docx", "A 8524-2026")</f>
        <v/>
      </c>
      <c r="AD2">
        <f>HYPERLINK("https://klasma.github.io/Logging_2082/tillsynsmail/A 8524-2026 tillsynsbegäran mail.docx", "A 8524-2026")</f>
        <v/>
      </c>
      <c r="AE2">
        <f>HYPERLINK("https://klasma.github.io/Logging_2082/fåglar/A 8524-2026 prioriterade fågelarter.docx", "A 8524-2026")</f>
        <v/>
      </c>
    </row>
    <row r="3" ht="15" customHeight="1">
      <c r="A3" t="inlineStr">
        <is>
          <t>A 35146-2025</t>
        </is>
      </c>
      <c r="B3" t="inlineStr">
        <is>
          <t>avverkningsanmälan</t>
        </is>
      </c>
      <c r="C3" t="inlineStr">
        <is>
          <t>Föryngringsavverkning</t>
        </is>
      </c>
      <c r="D3" s="1" t="n">
        <v>45852</v>
      </c>
      <c r="E3" s="1" t="n">
        <v>46232</v>
      </c>
      <c r="F3" t="inlineStr">
        <is>
          <t>DALARNAS LÄN</t>
        </is>
      </c>
      <c r="G3" t="inlineStr">
        <is>
          <t>SÄTER</t>
        </is>
      </c>
      <c r="H3" t="inlineStr">
        <is>
          <t>Bergvik skog väst AB</t>
        </is>
      </c>
      <c r="I3" t="n">
        <v>2.2</v>
      </c>
      <c r="J3" t="n">
        <v>3</v>
      </c>
      <c r="K3" t="n">
        <v>3</v>
      </c>
      <c r="L3" t="n">
        <v>4</v>
      </c>
      <c r="M3" t="n">
        <v>2</v>
      </c>
      <c r="N3" t="n">
        <v>1</v>
      </c>
      <c r="O3" t="n">
        <v>0</v>
      </c>
      <c r="P3" t="n">
        <v>0</v>
      </c>
      <c r="Q3" t="n">
        <v>7</v>
      </c>
      <c r="R3" t="n">
        <v>3</v>
      </c>
      <c r="S3" t="n">
        <v>12</v>
      </c>
      <c r="T3" t="n">
        <v>30</v>
      </c>
      <c r="U3" t="n">
        <v>30</v>
      </c>
      <c r="V3" s="2" t="inlineStr">
        <is>
          <t>Skogsalm
Grangråticka
Gräddticka
Barrviolspindling
Gransotdyna
Rynkskinn
Ullticka
Grön sköldmossa
Svavelriska
Tibast
Blåsippa
Vanlig groda</t>
        </is>
      </c>
      <c r="W3">
        <f>HYPERLINK("https://klasma.github.io/Logging_2082/artfynd/A 35146-2025 artfynd.xlsx", "A 35146-2025")</f>
        <v/>
      </c>
      <c r="X3">
        <f>HYPERLINK("https://klasma.github.io/Logging_2082/kartor/A 35146-2025 karta.png", "A 35146-2025")</f>
        <v/>
      </c>
      <c r="Y3">
        <f>HYPERLINK("https://klasma.github.io/Logging_2082/kartor_geotiff/A 35146-2025 georefererad karta.tif", "A 35146-2025")</f>
        <v/>
      </c>
      <c r="AA3">
        <f>HYPERLINK("https://klasma.github.io/Logging_2082/klagomål/A 35146-2025 FSC-klagomål.docx", "A 35146-2025")</f>
        <v/>
      </c>
      <c r="AB3">
        <f>HYPERLINK("https://klasma.github.io/Logging_2082/klagomålsmail/A 35146-2025 FSC-klagomål mail.docx", "A 35146-2025")</f>
        <v/>
      </c>
      <c r="AC3">
        <f>HYPERLINK("https://klasma.github.io/Logging_2082/tillsyn/A 35146-2025 tillsynsbegäran.docx", "A 35146-2025")</f>
        <v/>
      </c>
      <c r="AD3">
        <f>HYPERLINK("https://klasma.github.io/Logging_2082/tillsynsmail/A 35146-2025 tillsynsbegäran mail.docx", "A 35146-2025")</f>
        <v/>
      </c>
    </row>
    <row r="4" ht="15" customHeight="1">
      <c r="A4" t="inlineStr">
        <is>
          <t>A 57833-2023</t>
        </is>
      </c>
      <c r="B4" t="inlineStr">
        <is>
          <t>avverkningsanmälan</t>
        </is>
      </c>
      <c r="C4" t="inlineStr">
        <is>
          <t>Föryngringsavverkning</t>
        </is>
      </c>
      <c r="D4" s="1" t="n">
        <v>45247</v>
      </c>
      <c r="E4" s="1" t="n">
        <v>46232</v>
      </c>
      <c r="F4" t="inlineStr">
        <is>
          <t>DALARNAS LÄN</t>
        </is>
      </c>
      <c r="G4" t="inlineStr">
        <is>
          <t>SÄTER</t>
        </is>
      </c>
      <c r="I4" t="n">
        <v>6.4</v>
      </c>
      <c r="J4" t="n">
        <v>4</v>
      </c>
      <c r="K4" t="n">
        <v>1</v>
      </c>
      <c r="L4" t="n">
        <v>4</v>
      </c>
      <c r="M4" t="n">
        <v>1</v>
      </c>
      <c r="N4" t="n">
        <v>0</v>
      </c>
      <c r="O4" t="n">
        <v>0</v>
      </c>
      <c r="P4" t="n">
        <v>0</v>
      </c>
      <c r="Q4" t="n">
        <v>5</v>
      </c>
      <c r="R4" t="n">
        <v>1</v>
      </c>
      <c r="S4" t="n">
        <v>9</v>
      </c>
      <c r="T4" t="n">
        <v>32</v>
      </c>
      <c r="U4" t="n">
        <v>32</v>
      </c>
      <c r="V4" s="2" t="inlineStr">
        <is>
          <t>Knärot
Dropptaggsvamp
Motaggsvamp
Talltita
Vedskivlav
Mindre märgborre
Spillkråka
Timmerticka
Revlummer</t>
        </is>
      </c>
      <c r="W4">
        <f>HYPERLINK("https://klasma.github.io/Logging_2082/artfynd/A 57833-2023 artfynd.xlsx", "A 57833-2023")</f>
        <v/>
      </c>
      <c r="X4">
        <f>HYPERLINK("https://klasma.github.io/Logging_2082/kartor/A 57833-2023 karta.png", "A 57833-2023")</f>
        <v/>
      </c>
      <c r="Y4">
        <f>HYPERLINK("https://klasma.github.io/Logging_2082/kartor_geotiff/A 57833-2023 georefererad karta.tif", "A 57833-2023")</f>
        <v/>
      </c>
      <c r="Z4">
        <f>HYPERLINK("https://klasma.github.io/Logging_2082/knärot/A 57833-2023 karta knärot.png", "A 57833-2023")</f>
        <v/>
      </c>
      <c r="AA4">
        <f>HYPERLINK("https://klasma.github.io/Logging_2082/klagomål/A 57833-2023 FSC-klagomål.docx", "A 57833-2023")</f>
        <v/>
      </c>
      <c r="AB4">
        <f>HYPERLINK("https://klasma.github.io/Logging_2082/klagomålsmail/A 57833-2023 FSC-klagomål mail.docx", "A 57833-2023")</f>
        <v/>
      </c>
      <c r="AC4">
        <f>HYPERLINK("https://klasma.github.io/Logging_2082/tillsyn/A 57833-2023 tillsynsbegäran.docx", "A 57833-2023")</f>
        <v/>
      </c>
      <c r="AD4">
        <f>HYPERLINK("https://klasma.github.io/Logging_2082/tillsynsmail/A 57833-2023 tillsynsbegäran mail.docx", "A 57833-2023")</f>
        <v/>
      </c>
      <c r="AE4">
        <f>HYPERLINK("https://klasma.github.io/Logging_2082/fåglar/A 57833-2023 prioriterade fågelarter.docx", "A 57833-2023")</f>
        <v/>
      </c>
    </row>
    <row r="5" ht="15" customHeight="1">
      <c r="A5" t="inlineStr">
        <is>
          <t>S 5932-2022</t>
        </is>
      </c>
      <c r="B5" t="inlineStr">
        <is>
          <t>samrådsanmälan</t>
        </is>
      </c>
      <c r="C5" t="n">
        <v/>
      </c>
      <c r="D5" s="1" t="n">
        <v>44855</v>
      </c>
      <c r="E5" s="1" t="n">
        <v>46232</v>
      </c>
      <c r="F5" t="inlineStr">
        <is>
          <t>DALARNAS LÄN</t>
        </is>
      </c>
      <c r="G5" t="inlineStr">
        <is>
          <t>SÄTER</t>
        </is>
      </c>
      <c r="H5" t="inlineStr">
        <is>
          <t>Bergvik skog väst AB</t>
        </is>
      </c>
      <c r="I5" t="n">
        <v>4.3</v>
      </c>
      <c r="J5" t="n">
        <v>4</v>
      </c>
      <c r="K5" t="n">
        <v>3</v>
      </c>
      <c r="L5" t="n">
        <v>2</v>
      </c>
      <c r="M5" t="n">
        <v>0</v>
      </c>
      <c r="N5" t="n">
        <v>1</v>
      </c>
      <c r="O5" t="n">
        <v>0</v>
      </c>
      <c r="P5" t="n">
        <v>0</v>
      </c>
      <c r="Q5" t="n">
        <v>3</v>
      </c>
      <c r="R5" t="n">
        <v>1</v>
      </c>
      <c r="S5" t="n">
        <v>9</v>
      </c>
      <c r="T5" t="n">
        <v>13</v>
      </c>
      <c r="U5" t="n">
        <v>8</v>
      </c>
      <c r="V5" s="2" t="inlineStr">
        <is>
          <t>Skogsalm
Dofttaggsvamp
Kandelabersvamp
Scharlakansskål
Trådticka
Tvåblad
Blåsippa
Buskmus
Gullviva</t>
        </is>
      </c>
      <c r="W5">
        <f>HYPERLINK("https://klasma.github.io/Logging_2082/artfynd/S 5932-2022 artfynd.xlsx", "S 5932-2022")</f>
        <v/>
      </c>
      <c r="X5">
        <f>HYPERLINK("https://klasma.github.io/Logging_2082/kartor/S 5932-2022 karta.png", "S 5932-2022")</f>
        <v/>
      </c>
      <c r="Y5">
        <f>HYPERLINK("https://klasma.github.io/Logging_2082/kartor_geotiff/S 5932-2022 georefererad karta.tif", "S 5932-2022")</f>
        <v/>
      </c>
      <c r="AA5">
        <f>HYPERLINK("https://klasma.github.io/Logging_2082/klagomål/S 5932-2022 FSC-klagomål.docx", "S 5932-2022")</f>
        <v/>
      </c>
      <c r="AB5">
        <f>HYPERLINK("https://klasma.github.io/Logging_2082/klagomålsmail/S 5932-2022 FSC-klagomål mail.docx", "S 5932-2022")</f>
        <v/>
      </c>
      <c r="AC5">
        <f>HYPERLINK("https://klasma.github.io/Logging_2082/tillsyn/S 5932-2022 tillsynsbegäran.docx", "S 5932-2022")</f>
        <v/>
      </c>
      <c r="AD5">
        <f>HYPERLINK("https://klasma.github.io/Logging_2082/tillsynsmail/S 5932-2022 tillsynsbegäran mail.docx", "S 5932-2022")</f>
        <v/>
      </c>
    </row>
    <row r="6" ht="15" customHeight="1">
      <c r="A6" t="inlineStr">
        <is>
          <t>A 35411-2025</t>
        </is>
      </c>
      <c r="B6" t="inlineStr">
        <is>
          <t>avverkningsanmälan</t>
        </is>
      </c>
      <c r="C6" t="inlineStr">
        <is>
          <t>Föryngringsavverkning</t>
        </is>
      </c>
      <c r="D6" s="1" t="n">
        <v>45855</v>
      </c>
      <c r="E6" s="1" t="n">
        <v>46232</v>
      </c>
      <c r="F6" t="inlineStr">
        <is>
          <t>DALARNAS LÄN</t>
        </is>
      </c>
      <c r="G6" t="inlineStr">
        <is>
          <t>SÄTER</t>
        </is>
      </c>
      <c r="I6" t="n">
        <v>8.4</v>
      </c>
      <c r="J6" t="n">
        <v>3</v>
      </c>
      <c r="K6" t="n">
        <v>1</v>
      </c>
      <c r="L6" t="n">
        <v>3</v>
      </c>
      <c r="M6" t="n">
        <v>2</v>
      </c>
      <c r="N6" t="n">
        <v>0</v>
      </c>
      <c r="O6" t="n">
        <v>0</v>
      </c>
      <c r="P6" t="n">
        <v>0</v>
      </c>
      <c r="Q6" t="n">
        <v>5</v>
      </c>
      <c r="R6" t="n">
        <v>2</v>
      </c>
      <c r="S6" t="n">
        <v>8</v>
      </c>
      <c r="T6" t="n">
        <v>24</v>
      </c>
      <c r="U6" t="n">
        <v>24</v>
      </c>
      <c r="V6" s="2" t="inlineStr">
        <is>
          <t>Knärot
Laxporing
Rosenticka
Rynkskinn
Ullticka
Trådticka
Spillkråka
Vanlig padda</t>
        </is>
      </c>
      <c r="W6">
        <f>HYPERLINK("https://klasma.github.io/Logging_2082/artfynd/A 35411-2025 artfynd.xlsx", "A 35411-2025")</f>
        <v/>
      </c>
      <c r="X6">
        <f>HYPERLINK("https://klasma.github.io/Logging_2082/kartor/A 35411-2025 karta.png", "A 35411-2025")</f>
        <v/>
      </c>
      <c r="Y6">
        <f>HYPERLINK("https://klasma.github.io/Logging_2082/kartor_geotiff/A 35411-2025 georefererad karta.tif", "A 35411-2025")</f>
        <v/>
      </c>
      <c r="Z6">
        <f>HYPERLINK("https://klasma.github.io/Logging_2082/knärot/A 35411-2025 karta knärot.png", "A 35411-2025")</f>
        <v/>
      </c>
      <c r="AA6">
        <f>HYPERLINK("https://klasma.github.io/Logging_2082/klagomål/A 35411-2025 FSC-klagomål.docx", "A 35411-2025")</f>
        <v/>
      </c>
      <c r="AB6">
        <f>HYPERLINK("https://klasma.github.io/Logging_2082/klagomålsmail/A 35411-2025 FSC-klagomål mail.docx", "A 35411-2025")</f>
        <v/>
      </c>
      <c r="AC6">
        <f>HYPERLINK("https://klasma.github.io/Logging_2082/tillsyn/A 35411-2025 tillsynsbegäran.docx", "A 35411-2025")</f>
        <v/>
      </c>
      <c r="AD6">
        <f>HYPERLINK("https://klasma.github.io/Logging_2082/tillsynsmail/A 35411-2025 tillsynsbegäran mail.docx", "A 35411-2025")</f>
        <v/>
      </c>
      <c r="AE6">
        <f>HYPERLINK("https://klasma.github.io/Logging_2082/fåglar/A 35411-2025 prioriterade fågelarter.docx", "A 35411-2025")</f>
        <v/>
      </c>
    </row>
    <row r="7" ht="15" customHeight="1">
      <c r="A7" t="inlineStr">
        <is>
          <t>A 8533-2026</t>
        </is>
      </c>
      <c r="B7" t="inlineStr">
        <is>
          <t>avverkningsanmälan</t>
        </is>
      </c>
      <c r="C7" t="inlineStr">
        <is>
          <t>Föryngringsavverkning</t>
        </is>
      </c>
      <c r="D7" s="1" t="n">
        <v>46065</v>
      </c>
      <c r="E7" s="1" t="n">
        <v>46232</v>
      </c>
      <c r="F7" t="inlineStr">
        <is>
          <t>DALARNAS LÄN</t>
        </is>
      </c>
      <c r="G7" t="inlineStr">
        <is>
          <t>SÄTER</t>
        </is>
      </c>
      <c r="I7" t="n">
        <v>9.9</v>
      </c>
      <c r="J7" t="n">
        <v>3</v>
      </c>
      <c r="K7" t="n">
        <v>1</v>
      </c>
      <c r="L7" t="n">
        <v>3</v>
      </c>
      <c r="M7" t="n">
        <v>1</v>
      </c>
      <c r="N7" t="n">
        <v>0</v>
      </c>
      <c r="O7" t="n">
        <v>0</v>
      </c>
      <c r="P7" t="n">
        <v>0</v>
      </c>
      <c r="Q7" t="n">
        <v>4</v>
      </c>
      <c r="R7" t="n">
        <v>1</v>
      </c>
      <c r="S7" t="n">
        <v>8</v>
      </c>
      <c r="T7" t="n">
        <v>22</v>
      </c>
      <c r="U7" t="n">
        <v>17</v>
      </c>
      <c r="V7" s="2" t="inlineStr">
        <is>
          <t>Ostticka
Dropptaggsvamp
Talltita
Vedskivlav
Mindre märgborre
Spillkråka
Timmerticka
Revlummer</t>
        </is>
      </c>
      <c r="W7">
        <f>HYPERLINK("https://klasma.github.io/Logging_2082/artfynd/A 8533-2026 artfynd.xlsx", "A 8533-2026")</f>
        <v/>
      </c>
      <c r="X7">
        <f>HYPERLINK("https://klasma.github.io/Logging_2082/kartor/A 8533-2026 karta.png", "A 8533-2026")</f>
        <v/>
      </c>
      <c r="Y7">
        <f>HYPERLINK("https://klasma.github.io/Logging_2082/kartor_geotiff/A 8533-2026 georefererad karta.tif", "A 8533-2026")</f>
        <v/>
      </c>
      <c r="AA7">
        <f>HYPERLINK("https://klasma.github.io/Logging_2082/klagomål/A 8533-2026 FSC-klagomål.docx", "A 8533-2026")</f>
        <v/>
      </c>
      <c r="AB7">
        <f>HYPERLINK("https://klasma.github.io/Logging_2082/klagomålsmail/A 8533-2026 FSC-klagomål mail.docx", "A 8533-2026")</f>
        <v/>
      </c>
      <c r="AC7">
        <f>HYPERLINK("https://klasma.github.io/Logging_2082/tillsyn/A 8533-2026 tillsynsbegäran.docx", "A 8533-2026")</f>
        <v/>
      </c>
      <c r="AD7">
        <f>HYPERLINK("https://klasma.github.io/Logging_2082/tillsynsmail/A 8533-2026 tillsynsbegäran mail.docx", "A 8533-2026")</f>
        <v/>
      </c>
      <c r="AE7">
        <f>HYPERLINK("https://klasma.github.io/Logging_2082/fåglar/A 8533-2026 prioriterade fågelarter.docx", "A 8533-2026")</f>
        <v/>
      </c>
    </row>
    <row r="8" ht="15" customHeight="1">
      <c r="A8" t="inlineStr">
        <is>
          <t>S 3187-2024</t>
        </is>
      </c>
      <c r="B8" t="inlineStr">
        <is>
          <t>samrådsanmälan</t>
        </is>
      </c>
      <c r="C8" t="inlineStr">
        <is>
          <t>Annan skogsbruksåtgärd</t>
        </is>
      </c>
      <c r="D8" s="1" t="n">
        <v>45524</v>
      </c>
      <c r="E8" s="1" t="n">
        <v>46232</v>
      </c>
      <c r="F8" t="inlineStr">
        <is>
          <t>DALARNAS LÄN</t>
        </is>
      </c>
      <c r="G8" t="inlineStr">
        <is>
          <t>SÄTER</t>
        </is>
      </c>
      <c r="H8" t="inlineStr">
        <is>
          <t>Bergvik skog väst AB</t>
        </is>
      </c>
      <c r="I8" t="n">
        <v>3.8</v>
      </c>
      <c r="J8" t="n">
        <v>0</v>
      </c>
      <c r="K8" t="n">
        <v>2</v>
      </c>
      <c r="L8" t="n">
        <v>3</v>
      </c>
      <c r="M8" t="n">
        <v>2</v>
      </c>
      <c r="N8" t="n">
        <v>0</v>
      </c>
      <c r="O8" t="n">
        <v>0</v>
      </c>
      <c r="P8" t="n">
        <v>0</v>
      </c>
      <c r="Q8" t="n">
        <v>5</v>
      </c>
      <c r="R8" t="n">
        <v>2</v>
      </c>
      <c r="S8" t="n">
        <v>7</v>
      </c>
      <c r="T8" t="n">
        <v>9</v>
      </c>
      <c r="U8" t="n">
        <v>9</v>
      </c>
      <c r="V8" s="2" t="inlineStr">
        <is>
          <t>Gul taggsvamp
Tvillingspindling
Dofttaggsvamp
Kandelabersvamp
Rovspindling
Svavelriska
Trådticka</t>
        </is>
      </c>
      <c r="W8">
        <f>HYPERLINK("https://klasma.github.io/Logging_2082/artfynd/S 3187-2024 artfynd.xlsx", "S 3187-2024")</f>
        <v/>
      </c>
      <c r="X8">
        <f>HYPERLINK("https://klasma.github.io/Logging_2082/kartor/S 3187-2024 karta.png", "S 3187-2024")</f>
        <v/>
      </c>
      <c r="Y8">
        <f>HYPERLINK("https://klasma.github.io/Logging_2082/kartor_geotiff/S 3187-2024 georefererad karta.tif", "S 3187-2024")</f>
        <v/>
      </c>
      <c r="AA8">
        <f>HYPERLINK("https://klasma.github.io/Logging_2082/klagomål/S 3187-2024 FSC-klagomål.docx", "S 3187-2024")</f>
        <v/>
      </c>
      <c r="AB8">
        <f>HYPERLINK("https://klasma.github.io/Logging_2082/klagomålsmail/S 3187-2024 FSC-klagomål mail.docx", "S 3187-2024")</f>
        <v/>
      </c>
      <c r="AC8">
        <f>HYPERLINK("https://klasma.github.io/Logging_2082/tillsyn/S 3187-2024 tillsynsbegäran.docx", "S 3187-2024")</f>
        <v/>
      </c>
      <c r="AD8">
        <f>HYPERLINK("https://klasma.github.io/Logging_2082/tillsynsmail/S 3187-2024 tillsynsbegäran mail.docx", "S 3187-2024")</f>
        <v/>
      </c>
    </row>
    <row r="9" ht="15" customHeight="1">
      <c r="A9" t="inlineStr">
        <is>
          <t>A 23464-2023</t>
        </is>
      </c>
      <c r="B9" t="inlineStr">
        <is>
          <t>avverkningsanmälan</t>
        </is>
      </c>
      <c r="C9" t="inlineStr">
        <is>
          <t>Föryngringsavverkning</t>
        </is>
      </c>
      <c r="D9" s="1" t="n">
        <v>45076</v>
      </c>
      <c r="E9" s="1" t="n">
        <v>46232</v>
      </c>
      <c r="F9" t="inlineStr">
        <is>
          <t>DALARNAS LÄN</t>
        </is>
      </c>
      <c r="G9" t="inlineStr">
        <is>
          <t>SÄTER</t>
        </is>
      </c>
      <c r="I9" t="n">
        <v>4.6</v>
      </c>
      <c r="J9" t="n">
        <v>0</v>
      </c>
      <c r="K9" t="n">
        <v>2</v>
      </c>
      <c r="L9" t="n">
        <v>3</v>
      </c>
      <c r="M9" t="n">
        <v>1</v>
      </c>
      <c r="N9" t="n">
        <v>0</v>
      </c>
      <c r="O9" t="n">
        <v>0</v>
      </c>
      <c r="P9" t="n">
        <v>0</v>
      </c>
      <c r="Q9" t="n">
        <v>4</v>
      </c>
      <c r="R9" t="n">
        <v>1</v>
      </c>
      <c r="S9" t="n">
        <v>6</v>
      </c>
      <c r="T9" t="n">
        <v>23</v>
      </c>
      <c r="U9" t="n">
        <v>2</v>
      </c>
      <c r="V9" s="2" t="inlineStr">
        <is>
          <t>Lammticka
Dropptaggsvamp
Skarp dropptaggsvamp
Tallfingersvamp
Rökmusseron
Smal svampklubba</t>
        </is>
      </c>
      <c r="W9">
        <f>HYPERLINK("https://klasma.github.io/Logging_2082/artfynd/A 23464-2023 artfynd.xlsx", "A 23464-2023")</f>
        <v/>
      </c>
      <c r="X9">
        <f>HYPERLINK("https://klasma.github.io/Logging_2082/kartor/A 23464-2023 karta.png", "A 23464-2023")</f>
        <v/>
      </c>
      <c r="Y9">
        <f>HYPERLINK("https://klasma.github.io/Logging_2082/kartor_geotiff/A 23464-2023 georefererad karta.tif", "A 23464-2023")</f>
        <v/>
      </c>
      <c r="AA9">
        <f>HYPERLINK("https://klasma.github.io/Logging_2082/klagomål/A 23464-2023 FSC-klagomål.docx", "A 23464-2023")</f>
        <v/>
      </c>
      <c r="AB9">
        <f>HYPERLINK("https://klasma.github.io/Logging_2082/klagomålsmail/A 23464-2023 FSC-klagomål mail.docx", "A 23464-2023")</f>
        <v/>
      </c>
      <c r="AC9">
        <f>HYPERLINK("https://klasma.github.io/Logging_2082/tillsyn/A 23464-2023 tillsynsbegäran.docx", "A 23464-2023")</f>
        <v/>
      </c>
      <c r="AD9">
        <f>HYPERLINK("https://klasma.github.io/Logging_2082/tillsynsmail/A 23464-2023 tillsynsbegäran mail.docx", "A 23464-2023")</f>
        <v/>
      </c>
    </row>
    <row r="10" ht="15" customHeight="1">
      <c r="A10" t="inlineStr">
        <is>
          <t>S 2128-2025</t>
        </is>
      </c>
      <c r="B10" t="inlineStr">
        <is>
          <t>samrådsanmälan</t>
        </is>
      </c>
      <c r="C10" t="inlineStr">
        <is>
          <t>Askåterföring</t>
        </is>
      </c>
      <c r="D10" s="1" t="n">
        <v>45846</v>
      </c>
      <c r="E10" s="1" t="n">
        <v>46232</v>
      </c>
      <c r="F10" t="inlineStr">
        <is>
          <t>DALARNAS LÄN</t>
        </is>
      </c>
      <c r="G10" t="inlineStr">
        <is>
          <t>SÄTER</t>
        </is>
      </c>
      <c r="H10" t="inlineStr">
        <is>
          <t>Kommuner</t>
        </is>
      </c>
      <c r="I10" t="n">
        <v>46.8</v>
      </c>
      <c r="J10" t="n">
        <v>1</v>
      </c>
      <c r="K10" t="n">
        <v>2</v>
      </c>
      <c r="L10" t="n">
        <v>3</v>
      </c>
      <c r="M10" t="n">
        <v>1</v>
      </c>
      <c r="N10" t="n">
        <v>0</v>
      </c>
      <c r="O10" t="n">
        <v>0</v>
      </c>
      <c r="P10" t="n">
        <v>0</v>
      </c>
      <c r="Q10" t="n">
        <v>4</v>
      </c>
      <c r="R10" t="n">
        <v>1</v>
      </c>
      <c r="S10" t="n">
        <v>6</v>
      </c>
      <c r="T10" t="n">
        <v>7</v>
      </c>
      <c r="U10" t="n">
        <v>5</v>
      </c>
      <c r="V10" s="2" t="inlineStr">
        <is>
          <t>Knärot
Fjällig taggsvamp s.str.
Rynkskinn
Ullticka
Brandticka
Grönpyrola</t>
        </is>
      </c>
      <c r="W10">
        <f>HYPERLINK("https://klasma.github.io/Logging_2082/artfynd/S 2128-2025 artfynd.xlsx", "S 2128-2025")</f>
        <v/>
      </c>
      <c r="X10">
        <f>HYPERLINK("https://klasma.github.io/Logging_2082/kartor/S 2128-2025 karta.png", "S 2128-2025")</f>
        <v/>
      </c>
      <c r="Y10">
        <f>HYPERLINK("https://klasma.github.io/Logging_2082/kartor_geotiff/S 2128-2025 georefererad karta.tif", "S 2128-2025")</f>
        <v/>
      </c>
      <c r="Z10">
        <f>HYPERLINK("https://klasma.github.io/Logging_2082/knärot/S 2128-2025 karta knärot.png", "S 2128-2025")</f>
        <v/>
      </c>
      <c r="AA10">
        <f>HYPERLINK("https://klasma.github.io/Logging_2082/klagomål/S 2128-2025 FSC-klagomål.docx", "S 2128-2025")</f>
        <v/>
      </c>
      <c r="AB10">
        <f>HYPERLINK("https://klasma.github.io/Logging_2082/klagomålsmail/S 2128-2025 FSC-klagomål mail.docx", "S 2128-2025")</f>
        <v/>
      </c>
      <c r="AC10">
        <f>HYPERLINK("https://klasma.github.io/Logging_2082/tillsyn/S 2128-2025 tillsynsbegäran.docx", "S 2128-2025")</f>
        <v/>
      </c>
      <c r="AD10">
        <f>HYPERLINK("https://klasma.github.io/Logging_2082/tillsynsmail/S 2128-2025 tillsynsbegäran mail.docx", "S 2128-2025")</f>
        <v/>
      </c>
    </row>
    <row r="11" ht="15" customHeight="1">
      <c r="A11" t="inlineStr">
        <is>
          <t>A 25699-2022</t>
        </is>
      </c>
      <c r="B11" t="inlineStr">
        <is>
          <t>avverkningsanmälan</t>
        </is>
      </c>
      <c r="C11" t="inlineStr">
        <is>
          <t>Föryngringsavverkning</t>
        </is>
      </c>
      <c r="D11" s="1" t="n">
        <v>44732</v>
      </c>
      <c r="E11" s="1" t="n">
        <v>46232</v>
      </c>
      <c r="F11" t="inlineStr">
        <is>
          <t>DALARNAS LÄN</t>
        </is>
      </c>
      <c r="G11" t="inlineStr">
        <is>
          <t>SÄTER</t>
        </is>
      </c>
      <c r="H11" t="inlineStr">
        <is>
          <t>Bergvik skog väst AB</t>
        </is>
      </c>
      <c r="I11" t="n">
        <v>22</v>
      </c>
      <c r="J11" t="n">
        <v>3</v>
      </c>
      <c r="K11" t="n">
        <v>1</v>
      </c>
      <c r="L11" t="n">
        <v>2</v>
      </c>
      <c r="M11" t="n">
        <v>0</v>
      </c>
      <c r="N11" t="n">
        <v>0</v>
      </c>
      <c r="O11" t="n">
        <v>0</v>
      </c>
      <c r="P11" t="n">
        <v>0</v>
      </c>
      <c r="Q11" t="n">
        <v>2</v>
      </c>
      <c r="R11" t="n">
        <v>0</v>
      </c>
      <c r="S11" t="n">
        <v>5</v>
      </c>
      <c r="T11" t="n">
        <v>5</v>
      </c>
      <c r="U11" t="n">
        <v>0</v>
      </c>
      <c r="V11" s="2" t="inlineStr">
        <is>
          <t>Jungfrulin
Slåtterfibbla
Tvåblad
Blåsippa
Fläcknycklar</t>
        </is>
      </c>
      <c r="W11">
        <f>HYPERLINK("https://klasma.github.io/Logging_2082/artfynd/A 25699-2022 artfynd.xlsx", "A 25699-2022")</f>
        <v/>
      </c>
      <c r="X11">
        <f>HYPERLINK("https://klasma.github.io/Logging_2082/kartor/A 25699-2022 karta.png", "A 25699-2022")</f>
        <v/>
      </c>
      <c r="Y11">
        <f>HYPERLINK("https://klasma.github.io/Logging_2082/kartor_geotiff/A 25699-2022 georefererad karta.tif", "A 25699-2022")</f>
        <v/>
      </c>
      <c r="AA11">
        <f>HYPERLINK("https://klasma.github.io/Logging_2082/klagomål/A 25699-2022 FSC-klagomål.docx", "A 25699-2022")</f>
        <v/>
      </c>
      <c r="AB11">
        <f>HYPERLINK("https://klasma.github.io/Logging_2082/klagomålsmail/A 25699-2022 FSC-klagomål mail.docx", "A 25699-2022")</f>
        <v/>
      </c>
      <c r="AC11">
        <f>HYPERLINK("https://klasma.github.io/Logging_2082/tillsyn/A 25699-2022 tillsynsbegäran.docx", "A 25699-2022")</f>
        <v/>
      </c>
      <c r="AD11">
        <f>HYPERLINK("https://klasma.github.io/Logging_2082/tillsynsmail/A 25699-2022 tillsynsbegäran mail.docx", "A 25699-2022")</f>
        <v/>
      </c>
    </row>
    <row r="12" ht="15" customHeight="1">
      <c r="A12" t="inlineStr">
        <is>
          <t>A 42492-2025</t>
        </is>
      </c>
      <c r="B12" t="inlineStr">
        <is>
          <t>avverkningsanmälan</t>
        </is>
      </c>
      <c r="C12" t="inlineStr">
        <is>
          <t>Föryngringsavverkning</t>
        </is>
      </c>
      <c r="D12" s="1" t="n">
        <v>45904</v>
      </c>
      <c r="E12" s="1" t="n">
        <v>46232</v>
      </c>
      <c r="F12" t="inlineStr">
        <is>
          <t>DALARNAS LÄN</t>
        </is>
      </c>
      <c r="G12" t="inlineStr">
        <is>
          <t>SÄTER</t>
        </is>
      </c>
      <c r="H12" t="inlineStr">
        <is>
          <t>Bergvik skog väst AB</t>
        </is>
      </c>
      <c r="I12" t="n">
        <v>14.9</v>
      </c>
      <c r="J12" t="n">
        <v>1</v>
      </c>
      <c r="K12" t="n">
        <v>1</v>
      </c>
      <c r="L12" t="n">
        <v>2</v>
      </c>
      <c r="M12" t="n">
        <v>0</v>
      </c>
      <c r="N12" t="n">
        <v>0</v>
      </c>
      <c r="O12" t="n">
        <v>0</v>
      </c>
      <c r="P12" t="n">
        <v>0</v>
      </c>
      <c r="Q12" t="n">
        <v>2</v>
      </c>
      <c r="R12" t="n">
        <v>0</v>
      </c>
      <c r="S12" t="n">
        <v>4</v>
      </c>
      <c r="T12" t="n">
        <v>4</v>
      </c>
      <c r="U12" t="n">
        <v>3</v>
      </c>
      <c r="V12" s="2" t="inlineStr">
        <is>
          <t>Rynkskinn
Ullticka
Stuplav
Kungsfågel</t>
        </is>
      </c>
      <c r="W12">
        <f>HYPERLINK("https://klasma.github.io/Logging_2082/artfynd/A 42492-2025 artfynd.xlsx", "A 42492-2025")</f>
        <v/>
      </c>
      <c r="X12">
        <f>HYPERLINK("https://klasma.github.io/Logging_2082/kartor/A 42492-2025 karta.png", "A 42492-2025")</f>
        <v/>
      </c>
      <c r="Y12">
        <f>HYPERLINK("https://klasma.github.io/Logging_2082/kartor_geotiff/A 42492-2025 georefererad karta.tif", "A 42492-2025")</f>
        <v/>
      </c>
      <c r="AA12">
        <f>HYPERLINK("https://klasma.github.io/Logging_2082/klagomål/A 42492-2025 FSC-klagomål.docx", "A 42492-2025")</f>
        <v/>
      </c>
      <c r="AB12">
        <f>HYPERLINK("https://klasma.github.io/Logging_2082/klagomålsmail/A 42492-2025 FSC-klagomål mail.docx", "A 42492-2025")</f>
        <v/>
      </c>
      <c r="AC12">
        <f>HYPERLINK("https://klasma.github.io/Logging_2082/tillsyn/A 42492-2025 tillsynsbegäran.docx", "A 42492-2025")</f>
        <v/>
      </c>
      <c r="AD12">
        <f>HYPERLINK("https://klasma.github.io/Logging_2082/tillsynsmail/A 42492-2025 tillsynsbegäran mail.docx", "A 42492-2025")</f>
        <v/>
      </c>
    </row>
    <row r="13" ht="15" customHeight="1">
      <c r="A13" t="inlineStr">
        <is>
          <t>A 51825-2025</t>
        </is>
      </c>
      <c r="B13" t="inlineStr">
        <is>
          <t>avverkningsanmälan</t>
        </is>
      </c>
      <c r="C13" t="inlineStr">
        <is>
          <t>Föryngringsavverkning</t>
        </is>
      </c>
      <c r="D13" s="1" t="n">
        <v>45951</v>
      </c>
      <c r="E13" s="1" t="n">
        <v>46232</v>
      </c>
      <c r="F13" t="inlineStr">
        <is>
          <t>DALARNAS LÄN</t>
        </is>
      </c>
      <c r="G13" t="inlineStr">
        <is>
          <t>SÄTER</t>
        </is>
      </c>
      <c r="H13" t="inlineStr">
        <is>
          <t>Bergvik skog väst AB</t>
        </is>
      </c>
      <c r="I13" t="n">
        <v>12.8</v>
      </c>
      <c r="J13" t="n">
        <v>1</v>
      </c>
      <c r="K13" t="n">
        <v>1</v>
      </c>
      <c r="L13" t="n">
        <v>2</v>
      </c>
      <c r="M13" t="n">
        <v>0</v>
      </c>
      <c r="N13" t="n">
        <v>0</v>
      </c>
      <c r="O13" t="n">
        <v>0</v>
      </c>
      <c r="P13" t="n">
        <v>0</v>
      </c>
      <c r="Q13" t="n">
        <v>2</v>
      </c>
      <c r="R13" t="n">
        <v>0</v>
      </c>
      <c r="S13" t="n">
        <v>4</v>
      </c>
      <c r="T13" t="n">
        <v>4</v>
      </c>
      <c r="U13" t="n">
        <v>2</v>
      </c>
      <c r="V13" s="2" t="inlineStr">
        <is>
          <t>Dofttaggsvamp
Gultoppig fingersvamp
Mörk husmossa
Tjäder</t>
        </is>
      </c>
      <c r="W13">
        <f>HYPERLINK("https://klasma.github.io/Logging_2082/artfynd/A 51825-2025 artfynd.xlsx", "A 51825-2025")</f>
        <v/>
      </c>
      <c r="X13">
        <f>HYPERLINK("https://klasma.github.io/Logging_2082/kartor/A 51825-2025 karta.png", "A 51825-2025")</f>
        <v/>
      </c>
      <c r="Y13">
        <f>HYPERLINK("https://klasma.github.io/Logging_2082/kartor_geotiff/A 51825-2025 georefererad karta.tif", "A 51825-2025")</f>
        <v/>
      </c>
      <c r="AA13">
        <f>HYPERLINK("https://klasma.github.io/Logging_2082/klagomål/A 51825-2025 FSC-klagomål.docx", "A 51825-2025")</f>
        <v/>
      </c>
      <c r="AB13">
        <f>HYPERLINK("https://klasma.github.io/Logging_2082/klagomålsmail/A 51825-2025 FSC-klagomål mail.docx", "A 51825-2025")</f>
        <v/>
      </c>
      <c r="AC13">
        <f>HYPERLINK("https://klasma.github.io/Logging_2082/tillsyn/A 51825-2025 tillsynsbegäran.docx", "A 51825-2025")</f>
        <v/>
      </c>
      <c r="AD13">
        <f>HYPERLINK("https://klasma.github.io/Logging_2082/tillsynsmail/A 51825-2025 tillsynsbegäran mail.docx", "A 51825-2025")</f>
        <v/>
      </c>
      <c r="AE13">
        <f>HYPERLINK("https://klasma.github.io/Logging_2082/fåglar/A 51825-2025 prioriterade fågelarter.docx", "A 51825-2025")</f>
        <v/>
      </c>
    </row>
    <row r="14" ht="15" customHeight="1">
      <c r="A14" t="inlineStr">
        <is>
          <t>A 27374-2022</t>
        </is>
      </c>
      <c r="B14" t="inlineStr">
        <is>
          <t>avverkningsanmälan</t>
        </is>
      </c>
      <c r="C14" t="inlineStr">
        <is>
          <t>Föryngringsavverkning</t>
        </is>
      </c>
      <c r="D14" s="1" t="n">
        <v>44742</v>
      </c>
      <c r="E14" s="1" t="n">
        <v>46232</v>
      </c>
      <c r="F14" t="inlineStr">
        <is>
          <t>DALARNAS LÄN</t>
        </is>
      </c>
      <c r="G14" t="inlineStr">
        <is>
          <t>SÄTER</t>
        </is>
      </c>
      <c r="H14" t="inlineStr">
        <is>
          <t>Kommuner</t>
        </is>
      </c>
      <c r="I14" t="n">
        <v>4.3</v>
      </c>
      <c r="J14" t="n">
        <v>2</v>
      </c>
      <c r="K14" t="n">
        <v>1</v>
      </c>
      <c r="L14" t="n">
        <v>0</v>
      </c>
      <c r="M14" t="n">
        <v>2</v>
      </c>
      <c r="N14" t="n">
        <v>0</v>
      </c>
      <c r="O14" t="n">
        <v>0</v>
      </c>
      <c r="P14" t="n">
        <v>0</v>
      </c>
      <c r="Q14" t="n">
        <v>2</v>
      </c>
      <c r="R14" t="n">
        <v>2</v>
      </c>
      <c r="S14" t="n">
        <v>3</v>
      </c>
      <c r="T14" t="n">
        <v>13</v>
      </c>
      <c r="U14" t="n">
        <v>0</v>
      </c>
      <c r="V14" s="2" t="inlineStr">
        <is>
          <t>Garnlav
Knärot
Nästrot</t>
        </is>
      </c>
      <c r="W14">
        <f>HYPERLINK("https://klasma.github.io/Logging_2082/artfynd/A 27374-2022 artfynd.xlsx", "A 27374-2022")</f>
        <v/>
      </c>
      <c r="X14">
        <f>HYPERLINK("https://klasma.github.io/Logging_2082/kartor/A 27374-2022 karta.png", "A 27374-2022")</f>
        <v/>
      </c>
      <c r="Y14">
        <f>HYPERLINK("https://klasma.github.io/Logging_2082/kartor_geotiff/A 27374-2022 georefererad karta.tif", "A 27374-2022")</f>
        <v/>
      </c>
      <c r="Z14">
        <f>HYPERLINK("https://klasma.github.io/Logging_2082/knärot/A 27374-2022 karta knärot.png", "A 27374-2022")</f>
        <v/>
      </c>
      <c r="AA14">
        <f>HYPERLINK("https://klasma.github.io/Logging_2082/klagomål/A 27374-2022 FSC-klagomål.docx", "A 27374-2022")</f>
        <v/>
      </c>
      <c r="AB14">
        <f>HYPERLINK("https://klasma.github.io/Logging_2082/klagomålsmail/A 27374-2022 FSC-klagomål mail.docx", "A 27374-2022")</f>
        <v/>
      </c>
      <c r="AC14">
        <f>HYPERLINK("https://klasma.github.io/Logging_2082/tillsyn/A 27374-2022 tillsynsbegäran.docx", "A 27374-2022")</f>
        <v/>
      </c>
      <c r="AD14">
        <f>HYPERLINK("https://klasma.github.io/Logging_2082/tillsynsmail/A 27374-2022 tillsynsbegäran mail.docx", "A 27374-2022")</f>
        <v/>
      </c>
    </row>
    <row r="15" ht="15" customHeight="1">
      <c r="A15" t="inlineStr">
        <is>
          <t>A 21382-2025</t>
        </is>
      </c>
      <c r="B15" t="inlineStr">
        <is>
          <t>avverkningsanmälan</t>
        </is>
      </c>
      <c r="C15" t="inlineStr">
        <is>
          <t>Föryngringsavverkning</t>
        </is>
      </c>
      <c r="D15" s="1" t="n">
        <v>45781</v>
      </c>
      <c r="E15" s="1" t="n">
        <v>46232</v>
      </c>
      <c r="F15" t="inlineStr">
        <is>
          <t>DALARNAS LÄN</t>
        </is>
      </c>
      <c r="G15" t="inlineStr">
        <is>
          <t>SÄTER</t>
        </is>
      </c>
      <c r="H15" t="inlineStr">
        <is>
          <t>Bergvik skog väst AB</t>
        </is>
      </c>
      <c r="I15" t="n">
        <v>37</v>
      </c>
      <c r="J15" t="n">
        <v>3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t="n">
        <v>0</v>
      </c>
      <c r="S15" t="n">
        <v>3</v>
      </c>
      <c r="T15" t="n">
        <v>3</v>
      </c>
      <c r="U15" t="n">
        <v>0</v>
      </c>
      <c r="V15" s="2" t="inlineStr">
        <is>
          <t>Brudsporre
Revlummer
Äkta lopplummer</t>
        </is>
      </c>
      <c r="W15">
        <f>HYPERLINK("https://klasma.github.io/Logging_2082/artfynd/A 21382-2025 artfynd.xlsx", "A 21382-2025")</f>
        <v/>
      </c>
      <c r="X15">
        <f>HYPERLINK("https://klasma.github.io/Logging_2082/kartor/A 21382-2025 karta.png", "A 21382-2025")</f>
        <v/>
      </c>
      <c r="Y15">
        <f>HYPERLINK("https://klasma.github.io/Logging_2082/kartor_geotiff/A 21382-2025 georefererad karta.tif", "A 21382-2025")</f>
        <v/>
      </c>
      <c r="AA15">
        <f>HYPERLINK("https://klasma.github.io/Logging_2082/klagomål/A 21382-2025 FSC-klagomål.docx", "A 21382-2025")</f>
        <v/>
      </c>
      <c r="AB15">
        <f>HYPERLINK("https://klasma.github.io/Logging_2082/klagomålsmail/A 21382-2025 FSC-klagomål mail.docx", "A 21382-2025")</f>
        <v/>
      </c>
      <c r="AC15">
        <f>HYPERLINK("https://klasma.github.io/Logging_2082/tillsyn/A 21382-2025 tillsynsbegäran.docx", "A 21382-2025")</f>
        <v/>
      </c>
      <c r="AD15">
        <f>HYPERLINK("https://klasma.github.io/Logging_2082/tillsynsmail/A 21382-2025 tillsynsbegäran mail.docx", "A 21382-2025")</f>
        <v/>
      </c>
    </row>
    <row r="16" ht="15" customHeight="1">
      <c r="A16" t="inlineStr">
        <is>
          <t>A 12817-2026</t>
        </is>
      </c>
      <c r="B16" t="inlineStr">
        <is>
          <t>avverkningsanmälan</t>
        </is>
      </c>
      <c r="C16" t="inlineStr">
        <is>
          <t>Föryngringsavverkning</t>
        </is>
      </c>
      <c r="D16" s="1" t="n">
        <v>46091</v>
      </c>
      <c r="E16" s="1" t="n">
        <v>46232</v>
      </c>
      <c r="F16" t="inlineStr">
        <is>
          <t>DALARNAS LÄN</t>
        </is>
      </c>
      <c r="G16" t="inlineStr">
        <is>
          <t>SÄTER</t>
        </is>
      </c>
      <c r="H16" t="inlineStr">
        <is>
          <t>Bergvik skog väst AB</t>
        </is>
      </c>
      <c r="I16" t="n">
        <v>28.2</v>
      </c>
      <c r="J16" t="n">
        <v>1</v>
      </c>
      <c r="K16" t="n">
        <v>0</v>
      </c>
      <c r="L16" t="n">
        <v>1</v>
      </c>
      <c r="M16" t="n">
        <v>0</v>
      </c>
      <c r="N16" t="n">
        <v>1</v>
      </c>
      <c r="O16" t="n">
        <v>0</v>
      </c>
      <c r="P16" t="n">
        <v>0</v>
      </c>
      <c r="Q16" t="n">
        <v>2</v>
      </c>
      <c r="R16" t="n">
        <v>1</v>
      </c>
      <c r="S16" t="n">
        <v>3</v>
      </c>
      <c r="T16" t="n">
        <v>3</v>
      </c>
      <c r="U16" t="n">
        <v>1</v>
      </c>
      <c r="V16" s="2" t="inlineStr">
        <is>
          <t>Ask
Grönsångare
Kransmossa</t>
        </is>
      </c>
      <c r="W16">
        <f>HYPERLINK("https://klasma.github.io/Logging_2082/artfynd/A 12817-2026 artfynd.xlsx", "A 12817-2026")</f>
        <v/>
      </c>
      <c r="X16">
        <f>HYPERLINK("https://klasma.github.io/Logging_2082/kartor/A 12817-2026 karta.png", "A 12817-2026")</f>
        <v/>
      </c>
      <c r="Y16">
        <f>HYPERLINK("https://klasma.github.io/Logging_2082/kartor_geotiff/A 12817-2026 georefererad karta.tif", "A 12817-2026")</f>
        <v/>
      </c>
      <c r="AA16">
        <f>HYPERLINK("https://klasma.github.io/Logging_2082/klagomål/A 12817-2026 FSC-klagomål.docx", "A 12817-2026")</f>
        <v/>
      </c>
      <c r="AB16">
        <f>HYPERLINK("https://klasma.github.io/Logging_2082/klagomålsmail/A 12817-2026 FSC-klagomål mail.docx", "A 12817-2026")</f>
        <v/>
      </c>
      <c r="AC16">
        <f>HYPERLINK("https://klasma.github.io/Logging_2082/tillsyn/A 12817-2026 tillsynsbegäran.docx", "A 12817-2026")</f>
        <v/>
      </c>
      <c r="AD16">
        <f>HYPERLINK("https://klasma.github.io/Logging_2082/tillsynsmail/A 12817-2026 tillsynsbegäran mail.docx", "A 12817-2026")</f>
        <v/>
      </c>
      <c r="AE16">
        <f>HYPERLINK("https://klasma.github.io/Logging_2082/fåglar/A 12817-2026 prioriterade fågelarter.docx", "A 12817-2026")</f>
        <v/>
      </c>
    </row>
    <row r="17" ht="15" customHeight="1">
      <c r="A17" t="inlineStr">
        <is>
          <t>A 35916-2022</t>
        </is>
      </c>
      <c r="B17" t="inlineStr">
        <is>
          <t>avverkningsanmälan</t>
        </is>
      </c>
      <c r="C17" t="inlineStr">
        <is>
          <t>Föryngringsavverkning</t>
        </is>
      </c>
      <c r="D17" s="1" t="n">
        <v>44802</v>
      </c>
      <c r="E17" s="1" t="n">
        <v>46232</v>
      </c>
      <c r="F17" t="inlineStr">
        <is>
          <t>DALARNAS LÄN</t>
        </is>
      </c>
      <c r="G17" t="inlineStr">
        <is>
          <t>SÄTER</t>
        </is>
      </c>
      <c r="H17" t="inlineStr">
        <is>
          <t>Bergvik skog väst AB</t>
        </is>
      </c>
      <c r="I17" t="n">
        <v>2.6</v>
      </c>
      <c r="J17" t="n">
        <v>1</v>
      </c>
      <c r="K17" t="n">
        <v>0</v>
      </c>
      <c r="L17" t="n">
        <v>1</v>
      </c>
      <c r="M17" t="n">
        <v>1</v>
      </c>
      <c r="N17" t="n">
        <v>0</v>
      </c>
      <c r="O17" t="n">
        <v>0</v>
      </c>
      <c r="P17" t="n">
        <v>0</v>
      </c>
      <c r="Q17" t="n">
        <v>2</v>
      </c>
      <c r="R17" t="n">
        <v>1</v>
      </c>
      <c r="S17" t="n">
        <v>3</v>
      </c>
      <c r="T17" t="n">
        <v>7</v>
      </c>
      <c r="U17" t="n">
        <v>1</v>
      </c>
      <c r="V17" s="2" t="inlineStr">
        <is>
          <t>Slåttergubbe
Slåtterfibbla
Huggorm</t>
        </is>
      </c>
      <c r="W17">
        <f>HYPERLINK("https://klasma.github.io/Logging_2082/artfynd/A 35916-2022 artfynd.xlsx", "A 35916-2022")</f>
        <v/>
      </c>
      <c r="X17">
        <f>HYPERLINK("https://klasma.github.io/Logging_2082/kartor/A 35916-2022 karta.png", "A 35916-2022")</f>
        <v/>
      </c>
      <c r="Y17">
        <f>HYPERLINK("https://klasma.github.io/Logging_2082/kartor_geotiff/A 35916-2022 georefererad karta.tif", "A 35916-2022")</f>
        <v/>
      </c>
      <c r="AA17">
        <f>HYPERLINK("https://klasma.github.io/Logging_2082/klagomål/A 35916-2022 FSC-klagomål.docx", "A 35916-2022")</f>
        <v/>
      </c>
      <c r="AB17">
        <f>HYPERLINK("https://klasma.github.io/Logging_2082/klagomålsmail/A 35916-2022 FSC-klagomål mail.docx", "A 35916-2022")</f>
        <v/>
      </c>
      <c r="AC17">
        <f>HYPERLINK("https://klasma.github.io/Logging_2082/tillsyn/A 35916-2022 tillsynsbegäran.docx", "A 35916-2022")</f>
        <v/>
      </c>
      <c r="AD17">
        <f>HYPERLINK("https://klasma.github.io/Logging_2082/tillsynsmail/A 35916-2022 tillsynsbegäran mail.docx", "A 35916-2022")</f>
        <v/>
      </c>
    </row>
    <row r="18" ht="15" customHeight="1">
      <c r="A18" t="inlineStr">
        <is>
          <t>S 5911-2021</t>
        </is>
      </c>
      <c r="B18" t="inlineStr">
        <is>
          <t>samrådsanmälan</t>
        </is>
      </c>
      <c r="C18" t="inlineStr">
        <is>
          <t>Askåterföring</t>
        </is>
      </c>
      <c r="D18" s="1" t="n">
        <v>44440</v>
      </c>
      <c r="E18" s="1" t="n">
        <v>46232</v>
      </c>
      <c r="F18" t="inlineStr">
        <is>
          <t>DALARNAS LÄN</t>
        </is>
      </c>
      <c r="G18" t="inlineStr">
        <is>
          <t>SÄTER</t>
        </is>
      </c>
      <c r="H18" t="inlineStr">
        <is>
          <t>Kommuner</t>
        </is>
      </c>
      <c r="I18" t="n">
        <v>126.6</v>
      </c>
      <c r="J18" t="n">
        <v>2</v>
      </c>
      <c r="K18" t="n">
        <v>1</v>
      </c>
      <c r="L18" t="n">
        <v>0</v>
      </c>
      <c r="M18" t="n">
        <v>1</v>
      </c>
      <c r="N18" t="n">
        <v>0</v>
      </c>
      <c r="O18" t="n">
        <v>0</v>
      </c>
      <c r="P18" t="n">
        <v>0</v>
      </c>
      <c r="Q18" t="n">
        <v>1</v>
      </c>
      <c r="R18" t="n">
        <v>1</v>
      </c>
      <c r="S18" t="n">
        <v>3</v>
      </c>
      <c r="T18" t="n">
        <v>5</v>
      </c>
      <c r="U18" t="n">
        <v>4</v>
      </c>
      <c r="V18" s="2" t="inlineStr">
        <is>
          <t>Knärot
Grovticka
Mattlummer</t>
        </is>
      </c>
      <c r="W18">
        <f>HYPERLINK("https://klasma.github.io/Logging_2082/artfynd/S 5911-2021 artfynd.xlsx", "S 5911-2021")</f>
        <v/>
      </c>
      <c r="X18">
        <f>HYPERLINK("https://klasma.github.io/Logging_2082/kartor/S 5911-2021 karta.png", "S 5911-2021")</f>
        <v/>
      </c>
      <c r="Y18">
        <f>HYPERLINK("https://klasma.github.io/Logging_2082/kartor_geotiff/S 5911-2021 georefererad karta.tif", "S 5911-2021")</f>
        <v/>
      </c>
      <c r="Z18">
        <f>HYPERLINK("https://klasma.github.io/Logging_2082/knärot/S 5911-2021 karta knärot.png", "S 5911-2021")</f>
        <v/>
      </c>
      <c r="AA18">
        <f>HYPERLINK("https://klasma.github.io/Logging_2082/klagomål/S 5911-2021 FSC-klagomål.docx", "S 5911-2021")</f>
        <v/>
      </c>
      <c r="AB18">
        <f>HYPERLINK("https://klasma.github.io/Logging_2082/klagomålsmail/S 5911-2021 FSC-klagomål mail.docx", "S 5911-2021")</f>
        <v/>
      </c>
      <c r="AC18">
        <f>HYPERLINK("https://klasma.github.io/Logging_2082/tillsyn/S 5911-2021 tillsynsbegäran.docx", "S 5911-2021")</f>
        <v/>
      </c>
      <c r="AD18">
        <f>HYPERLINK("https://klasma.github.io/Logging_2082/tillsynsmail/S 5911-2021 tillsynsbegäran mail.docx", "S 5911-2021")</f>
        <v/>
      </c>
    </row>
    <row r="19" ht="15" customHeight="1">
      <c r="A19" t="inlineStr">
        <is>
          <t>S 4799-2022</t>
        </is>
      </c>
      <c r="B19" t="inlineStr">
        <is>
          <t>samrådsanmälan</t>
        </is>
      </c>
      <c r="C19" t="inlineStr">
        <is>
          <t>Annan skogsbruksåtgärd</t>
        </is>
      </c>
      <c r="D19" s="1" t="n">
        <v>44803</v>
      </c>
      <c r="E19" s="1" t="n">
        <v>46232</v>
      </c>
      <c r="F19" t="inlineStr">
        <is>
          <t>DALARNAS LÄN</t>
        </is>
      </c>
      <c r="G19" t="inlineStr">
        <is>
          <t>SÄTER</t>
        </is>
      </c>
      <c r="I19" t="n">
        <v>0.7</v>
      </c>
      <c r="J19" t="n">
        <v>2</v>
      </c>
      <c r="K19" t="n">
        <v>0</v>
      </c>
      <c r="L19" t="n">
        <v>1</v>
      </c>
      <c r="M19" t="n">
        <v>1</v>
      </c>
      <c r="N19" t="n">
        <v>0</v>
      </c>
      <c r="O19" t="n">
        <v>0</v>
      </c>
      <c r="P19" t="n">
        <v>0</v>
      </c>
      <c r="Q19" t="n">
        <v>2</v>
      </c>
      <c r="R19" t="n">
        <v>1</v>
      </c>
      <c r="S19" t="n">
        <v>3</v>
      </c>
      <c r="T19" t="n">
        <v>5</v>
      </c>
      <c r="U19" t="n">
        <v>0</v>
      </c>
      <c r="V19" s="2" t="inlineStr">
        <is>
          <t>Knärot
Dropptaggsvamp
Blåsippa</t>
        </is>
      </c>
      <c r="W19">
        <f>HYPERLINK("https://klasma.github.io/Logging_2082/artfynd/S 4799-2022 artfynd.xlsx", "S 4799-2022")</f>
        <v/>
      </c>
      <c r="X19">
        <f>HYPERLINK("https://klasma.github.io/Logging_2082/kartor/S 4799-2022 karta.png", "S 4799-2022")</f>
        <v/>
      </c>
      <c r="Y19">
        <f>HYPERLINK("https://klasma.github.io/Logging_2082/kartor_geotiff/S 4799-2022 georefererad karta.tif", "S 4799-2022")</f>
        <v/>
      </c>
      <c r="Z19">
        <f>HYPERLINK("https://klasma.github.io/Logging_2082/knärot/S 4799-2022 karta knärot.png", "S 4799-2022")</f>
        <v/>
      </c>
      <c r="AA19">
        <f>HYPERLINK("https://klasma.github.io/Logging_2082/klagomål/S 4799-2022 FSC-klagomål.docx", "S 4799-2022")</f>
        <v/>
      </c>
      <c r="AB19">
        <f>HYPERLINK("https://klasma.github.io/Logging_2082/klagomålsmail/S 4799-2022 FSC-klagomål mail.docx", "S 4799-2022")</f>
        <v/>
      </c>
      <c r="AC19">
        <f>HYPERLINK("https://klasma.github.io/Logging_2082/tillsyn/S 4799-2022 tillsynsbegäran.docx", "S 4799-2022")</f>
        <v/>
      </c>
      <c r="AD19">
        <f>HYPERLINK("https://klasma.github.io/Logging_2082/tillsynsmail/S 4799-2022 tillsynsbegäran mail.docx", "S 4799-2022")</f>
        <v/>
      </c>
    </row>
    <row r="20" ht="15" customHeight="1">
      <c r="A20" t="inlineStr">
        <is>
          <t>A 53127-2022</t>
        </is>
      </c>
      <c r="B20" t="inlineStr">
        <is>
          <t>avverkningsanmälan</t>
        </is>
      </c>
      <c r="C20" t="inlineStr">
        <is>
          <t>Föryngringsavverkning</t>
        </is>
      </c>
      <c r="D20" s="1" t="n">
        <v>44876</v>
      </c>
      <c r="E20" s="1" t="n">
        <v>46232</v>
      </c>
      <c r="F20" t="inlineStr">
        <is>
          <t>DALARNAS LÄN</t>
        </is>
      </c>
      <c r="G20" t="inlineStr">
        <is>
          <t>SÄTER</t>
        </is>
      </c>
      <c r="H20" t="inlineStr">
        <is>
          <t>Kyrkan</t>
        </is>
      </c>
      <c r="I20" t="n">
        <v>8.5</v>
      </c>
      <c r="J20" t="n">
        <v>1</v>
      </c>
      <c r="K20" t="n">
        <v>0</v>
      </c>
      <c r="L20" t="n">
        <v>2</v>
      </c>
      <c r="M20" t="n">
        <v>0</v>
      </c>
      <c r="N20" t="n">
        <v>0</v>
      </c>
      <c r="O20" t="n">
        <v>0</v>
      </c>
      <c r="P20" t="n">
        <v>0</v>
      </c>
      <c r="Q20" t="n">
        <v>2</v>
      </c>
      <c r="R20" t="n">
        <v>0</v>
      </c>
      <c r="S20" t="n">
        <v>2</v>
      </c>
      <c r="T20" t="n">
        <v>2</v>
      </c>
      <c r="U20" t="n">
        <v>2</v>
      </c>
      <c r="V20" s="2" t="inlineStr">
        <is>
          <t>Motaggsvamp
Talltita</t>
        </is>
      </c>
      <c r="W20">
        <f>HYPERLINK("https://klasma.github.io/Logging_2082/artfynd/A 53127-2022 artfynd.xlsx", "A 53127-2022")</f>
        <v/>
      </c>
      <c r="X20">
        <f>HYPERLINK("https://klasma.github.io/Logging_2082/kartor/A 53127-2022 karta.png", "A 53127-2022")</f>
        <v/>
      </c>
      <c r="Y20">
        <f>HYPERLINK("https://klasma.github.io/Logging_2082/kartor_geotiff/A 53127-2022 georefererad karta.tif", "A 53127-2022")</f>
        <v/>
      </c>
      <c r="AA20">
        <f>HYPERLINK("https://klasma.github.io/Logging_2082/klagomål/A 53127-2022 FSC-klagomål.docx", "A 53127-2022")</f>
        <v/>
      </c>
      <c r="AB20">
        <f>HYPERLINK("https://klasma.github.io/Logging_2082/klagomålsmail/A 53127-2022 FSC-klagomål mail.docx", "A 53127-2022")</f>
        <v/>
      </c>
      <c r="AC20">
        <f>HYPERLINK("https://klasma.github.io/Logging_2082/tillsyn/A 53127-2022 tillsynsbegäran.docx", "A 53127-2022")</f>
        <v/>
      </c>
      <c r="AD20">
        <f>HYPERLINK("https://klasma.github.io/Logging_2082/tillsynsmail/A 53127-2022 tillsynsbegäran mail.docx", "A 53127-2022")</f>
        <v/>
      </c>
      <c r="AE20">
        <f>HYPERLINK("https://klasma.github.io/Logging_2082/fåglar/A 53127-2022 prioriterade fågelarter.docx", "A 53127-2022")</f>
        <v/>
      </c>
    </row>
    <row r="21" ht="15" customHeight="1">
      <c r="A21" t="inlineStr">
        <is>
          <t>A 23917-2024</t>
        </is>
      </c>
      <c r="B21" t="inlineStr">
        <is>
          <t>avverkningsanmälan</t>
        </is>
      </c>
      <c r="C21" t="inlineStr">
        <is>
          <t>Föryngringsavverkning</t>
        </is>
      </c>
      <c r="D21" s="1" t="n">
        <v>45455</v>
      </c>
      <c r="E21" s="1" t="n">
        <v>46232</v>
      </c>
      <c r="F21" t="inlineStr">
        <is>
          <t>DALARNAS LÄN</t>
        </is>
      </c>
      <c r="G21" t="inlineStr">
        <is>
          <t>SÄTER</t>
        </is>
      </c>
      <c r="I21" t="n">
        <v>1.2</v>
      </c>
      <c r="J21" t="n">
        <v>0</v>
      </c>
      <c r="K21" t="n">
        <v>1</v>
      </c>
      <c r="L21" t="n">
        <v>1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t="n">
        <v>0</v>
      </c>
      <c r="S21" t="n">
        <v>2</v>
      </c>
      <c r="T21" t="n">
        <v>2</v>
      </c>
      <c r="U21" t="n">
        <v>2</v>
      </c>
      <c r="V21" s="2" t="inlineStr">
        <is>
          <t>Ullticka
Svavelriska</t>
        </is>
      </c>
      <c r="W21">
        <f>HYPERLINK("https://klasma.github.io/Logging_2082/artfynd/A 23917-2024 artfynd.xlsx", "A 23917-2024")</f>
        <v/>
      </c>
      <c r="X21">
        <f>HYPERLINK("https://klasma.github.io/Logging_2082/kartor/A 23917-2024 karta.png", "A 23917-2024")</f>
        <v/>
      </c>
      <c r="Y21">
        <f>HYPERLINK("https://klasma.github.io/Logging_2082/kartor_geotiff/A 23917-2024 georefererad karta.tif", "A 23917-2024")</f>
        <v/>
      </c>
      <c r="AA21">
        <f>HYPERLINK("https://klasma.github.io/Logging_2082/klagomål/A 23917-2024 FSC-klagomål.docx", "A 23917-2024")</f>
        <v/>
      </c>
      <c r="AB21">
        <f>HYPERLINK("https://klasma.github.io/Logging_2082/klagomålsmail/A 23917-2024 FSC-klagomål mail.docx", "A 23917-2024")</f>
        <v/>
      </c>
      <c r="AC21">
        <f>HYPERLINK("https://klasma.github.io/Logging_2082/tillsyn/A 23917-2024 tillsynsbegäran.docx", "A 23917-2024")</f>
        <v/>
      </c>
      <c r="AD21">
        <f>HYPERLINK("https://klasma.github.io/Logging_2082/tillsynsmail/A 23917-2024 tillsynsbegäran mail.docx", "A 23917-2024")</f>
        <v/>
      </c>
    </row>
    <row r="22" ht="15" customHeight="1">
      <c r="A22" t="inlineStr">
        <is>
          <t>A 49656-2025</t>
        </is>
      </c>
      <c r="B22" t="inlineStr">
        <is>
          <t>avverkningsanmälan</t>
        </is>
      </c>
      <c r="C22" t="inlineStr">
        <is>
          <t>Föryngringsavverkning</t>
        </is>
      </c>
      <c r="D22" s="1" t="n">
        <v>45939</v>
      </c>
      <c r="E22" s="1" t="n">
        <v>46232</v>
      </c>
      <c r="F22" t="inlineStr">
        <is>
          <t>DALARNAS LÄN</t>
        </is>
      </c>
      <c r="G22" t="inlineStr">
        <is>
          <t>SÄTER</t>
        </is>
      </c>
      <c r="I22" t="n">
        <v>0.6</v>
      </c>
      <c r="J22" t="n">
        <v>1</v>
      </c>
      <c r="K22" t="n">
        <v>0</v>
      </c>
      <c r="L22" t="n">
        <v>1</v>
      </c>
      <c r="M22" t="n">
        <v>1</v>
      </c>
      <c r="N22" t="n">
        <v>0</v>
      </c>
      <c r="O22" t="n">
        <v>0</v>
      </c>
      <c r="P22" t="n">
        <v>0</v>
      </c>
      <c r="Q22" t="n">
        <v>2</v>
      </c>
      <c r="R22" t="n">
        <v>1</v>
      </c>
      <c r="S22" t="n">
        <v>2</v>
      </c>
      <c r="T22" t="n">
        <v>2</v>
      </c>
      <c r="U22" t="n">
        <v>2</v>
      </c>
      <c r="V22" s="2" t="inlineStr">
        <is>
          <t>Knärot
Motaggsvamp</t>
        </is>
      </c>
      <c r="W22">
        <f>HYPERLINK("https://klasma.github.io/Logging_2082/artfynd/A 49656-2025 artfynd.xlsx", "A 49656-2025")</f>
        <v/>
      </c>
      <c r="X22">
        <f>HYPERLINK("https://klasma.github.io/Logging_2082/kartor/A 49656-2025 karta.png", "A 49656-2025")</f>
        <v/>
      </c>
      <c r="Y22">
        <f>HYPERLINK("https://klasma.github.io/Logging_2082/kartor_geotiff/A 49656-2025 georefererad karta.tif", "A 49656-2025")</f>
        <v/>
      </c>
      <c r="Z22">
        <f>HYPERLINK("https://klasma.github.io/Logging_2082/knärot/A 49656-2025 karta knärot.png", "A 49656-2025")</f>
        <v/>
      </c>
      <c r="AA22">
        <f>HYPERLINK("https://klasma.github.io/Logging_2082/klagomål/A 49656-2025 FSC-klagomål.docx", "A 49656-2025")</f>
        <v/>
      </c>
      <c r="AB22">
        <f>HYPERLINK("https://klasma.github.io/Logging_2082/klagomålsmail/A 49656-2025 FSC-klagomål mail.docx", "A 49656-2025")</f>
        <v/>
      </c>
      <c r="AC22">
        <f>HYPERLINK("https://klasma.github.io/Logging_2082/tillsyn/A 49656-2025 tillsynsbegäran.docx", "A 49656-2025")</f>
        <v/>
      </c>
      <c r="AD22">
        <f>HYPERLINK("https://klasma.github.io/Logging_2082/tillsynsmail/A 49656-2025 tillsynsbegäran mail.docx", "A 49656-2025")</f>
        <v/>
      </c>
    </row>
    <row r="23" ht="15" customHeight="1">
      <c r="A23" t="inlineStr">
        <is>
          <t>A 16845-2024</t>
        </is>
      </c>
      <c r="B23" t="inlineStr">
        <is>
          <t>avverkningsanmälan</t>
        </is>
      </c>
      <c r="C23" t="inlineStr">
        <is>
          <t>Föryngringsavverkning</t>
        </is>
      </c>
      <c r="D23" s="1" t="n">
        <v>45411</v>
      </c>
      <c r="E23" s="1" t="n">
        <v>46232</v>
      </c>
      <c r="F23" t="inlineStr">
        <is>
          <t>DALARNAS LÄN</t>
        </is>
      </c>
      <c r="G23" t="inlineStr">
        <is>
          <t>SÄTER</t>
        </is>
      </c>
      <c r="I23" t="n">
        <v>1.4</v>
      </c>
      <c r="J23" t="n">
        <v>2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t="n">
        <v>0</v>
      </c>
      <c r="S23" t="n">
        <v>2</v>
      </c>
      <c r="T23" t="n">
        <v>2</v>
      </c>
      <c r="U23" t="n">
        <v>2</v>
      </c>
      <c r="V23" s="2" t="inlineStr">
        <is>
          <t>Järpe
Kungsfågel</t>
        </is>
      </c>
      <c r="W23">
        <f>HYPERLINK("https://klasma.github.io/Logging_2082/artfynd/A 16845-2024 artfynd.xlsx", "A 16845-2024")</f>
        <v/>
      </c>
      <c r="X23">
        <f>HYPERLINK("https://klasma.github.io/Logging_2082/kartor/A 16845-2024 karta.png", "A 16845-2024")</f>
        <v/>
      </c>
      <c r="Y23">
        <f>HYPERLINK("https://klasma.github.io/Logging_2082/kartor_geotiff/A 16845-2024 georefererad karta.tif", "A 16845-2024")</f>
        <v/>
      </c>
      <c r="AA23">
        <f>HYPERLINK("https://klasma.github.io/Logging_2082/klagomål/A 16845-2024 FSC-klagomål.docx", "A 16845-2024")</f>
        <v/>
      </c>
      <c r="AB23">
        <f>HYPERLINK("https://klasma.github.io/Logging_2082/klagomålsmail/A 16845-2024 FSC-klagomål mail.docx", "A 16845-2024")</f>
        <v/>
      </c>
      <c r="AC23">
        <f>HYPERLINK("https://klasma.github.io/Logging_2082/tillsyn/A 16845-2024 tillsynsbegäran.docx", "A 16845-2024")</f>
        <v/>
      </c>
      <c r="AD23">
        <f>HYPERLINK("https://klasma.github.io/Logging_2082/tillsynsmail/A 16845-2024 tillsynsbegäran mail.docx", "A 16845-2024")</f>
        <v/>
      </c>
      <c r="AE23">
        <f>HYPERLINK("https://klasma.github.io/Logging_2082/fåglar/A 16845-2024 prioriterade fågelarter.docx", "A 16845-2024")</f>
        <v/>
      </c>
    </row>
    <row r="24" ht="15" customHeight="1">
      <c r="A24" t="inlineStr">
        <is>
          <t>A 50079-2023</t>
        </is>
      </c>
      <c r="B24" t="inlineStr">
        <is>
          <t>avverkningsanmälan</t>
        </is>
      </c>
      <c r="C24" t="inlineStr">
        <is>
          <t>Föryngringsavverkning</t>
        </is>
      </c>
      <c r="D24" s="1" t="n">
        <v>45215</v>
      </c>
      <c r="E24" s="1" t="n">
        <v>46232</v>
      </c>
      <c r="F24" t="inlineStr">
        <is>
          <t>DALARNAS LÄN</t>
        </is>
      </c>
      <c r="G24" t="inlineStr">
        <is>
          <t>SÄTER</t>
        </is>
      </c>
      <c r="I24" t="n">
        <v>3.8</v>
      </c>
      <c r="J24" t="n">
        <v>1</v>
      </c>
      <c r="K24" t="n">
        <v>0</v>
      </c>
      <c r="L24" t="n">
        <v>1</v>
      </c>
      <c r="M24" t="n">
        <v>0</v>
      </c>
      <c r="N24" t="n">
        <v>0</v>
      </c>
      <c r="O24" t="n">
        <v>0</v>
      </c>
      <c r="P24" t="n">
        <v>0</v>
      </c>
      <c r="Q24" t="n">
        <v>1</v>
      </c>
      <c r="R24" t="n">
        <v>0</v>
      </c>
      <c r="S24" t="n">
        <v>2</v>
      </c>
      <c r="T24" t="n">
        <v>8</v>
      </c>
      <c r="U24" t="n">
        <v>1</v>
      </c>
      <c r="V24" s="2" t="inlineStr">
        <is>
          <t>Tallticka
Blåsippa</t>
        </is>
      </c>
      <c r="W24">
        <f>HYPERLINK("https://klasma.github.io/Logging_2082/artfynd/A 50079-2023 artfynd.xlsx", "A 50079-2023")</f>
        <v/>
      </c>
      <c r="X24">
        <f>HYPERLINK("https://klasma.github.io/Logging_2082/kartor/A 50079-2023 karta.png", "A 50079-2023")</f>
        <v/>
      </c>
      <c r="Y24">
        <f>HYPERLINK("https://klasma.github.io/Logging_2082/kartor_geotiff/A 50079-2023 georefererad karta.tif", "A 50079-2023")</f>
        <v/>
      </c>
      <c r="AA24">
        <f>HYPERLINK("https://klasma.github.io/Logging_2082/klagomål/A 50079-2023 FSC-klagomål.docx", "A 50079-2023")</f>
        <v/>
      </c>
      <c r="AB24">
        <f>HYPERLINK("https://klasma.github.io/Logging_2082/klagomålsmail/A 50079-2023 FSC-klagomål mail.docx", "A 50079-2023")</f>
        <v/>
      </c>
      <c r="AC24">
        <f>HYPERLINK("https://klasma.github.io/Logging_2082/tillsyn/A 50079-2023 tillsynsbegäran.docx", "A 50079-2023")</f>
        <v/>
      </c>
      <c r="AD24">
        <f>HYPERLINK("https://klasma.github.io/Logging_2082/tillsynsmail/A 50079-2023 tillsynsbegäran mail.docx", "A 50079-2023")</f>
        <v/>
      </c>
    </row>
    <row r="25" ht="15" customHeight="1">
      <c r="A25" t="inlineStr">
        <is>
          <t>A 52205-2021</t>
        </is>
      </c>
      <c r="B25" t="inlineStr">
        <is>
          <t>avverkningsanmälan</t>
        </is>
      </c>
      <c r="C25" t="inlineStr">
        <is>
          <t>Föryngringsavverkning</t>
        </is>
      </c>
      <c r="D25" s="1" t="n">
        <v>44462</v>
      </c>
      <c r="E25" s="1" t="n">
        <v>46232</v>
      </c>
      <c r="F25" t="inlineStr">
        <is>
          <t>DALARNAS LÄN</t>
        </is>
      </c>
      <c r="G25" t="inlineStr">
        <is>
          <t>SÄTER</t>
        </is>
      </c>
      <c r="H25" t="inlineStr">
        <is>
          <t>Bergvik skog väst AB</t>
        </is>
      </c>
      <c r="I25" t="n">
        <v>8.6</v>
      </c>
      <c r="J25" t="n">
        <v>0</v>
      </c>
      <c r="K25" t="n">
        <v>0</v>
      </c>
      <c r="L25" t="n">
        <v>2</v>
      </c>
      <c r="M25" t="n">
        <v>0</v>
      </c>
      <c r="N25" t="n">
        <v>0</v>
      </c>
      <c r="O25" t="n">
        <v>0</v>
      </c>
      <c r="P25" t="n">
        <v>0</v>
      </c>
      <c r="Q25" t="n">
        <v>2</v>
      </c>
      <c r="R25" t="n">
        <v>0</v>
      </c>
      <c r="S25" t="n">
        <v>2</v>
      </c>
      <c r="T25" t="n">
        <v>2</v>
      </c>
      <c r="U25" t="n">
        <v>2</v>
      </c>
      <c r="V25" s="2" t="inlineStr">
        <is>
          <t>Jungfrulin
Klasefibbla</t>
        </is>
      </c>
      <c r="W25">
        <f>HYPERLINK("https://klasma.github.io/Logging_2082/artfynd/A 52205-2021 artfynd.xlsx", "A 52205-2021")</f>
        <v/>
      </c>
      <c r="X25">
        <f>HYPERLINK("https://klasma.github.io/Logging_2082/kartor/A 52205-2021 karta.png", "A 52205-2021")</f>
        <v/>
      </c>
      <c r="Y25">
        <f>HYPERLINK("https://klasma.github.io/Logging_2082/kartor_geotiff/A 52205-2021 georefererad karta.tif", "A 52205-2021")</f>
        <v/>
      </c>
      <c r="AA25">
        <f>HYPERLINK("https://klasma.github.io/Logging_2082/klagomål/A 52205-2021 FSC-klagomål.docx", "A 52205-2021")</f>
        <v/>
      </c>
      <c r="AB25">
        <f>HYPERLINK("https://klasma.github.io/Logging_2082/klagomålsmail/A 52205-2021 FSC-klagomål mail.docx", "A 52205-2021")</f>
        <v/>
      </c>
      <c r="AC25">
        <f>HYPERLINK("https://klasma.github.io/Logging_2082/tillsyn/A 52205-2021 tillsynsbegäran.docx", "A 52205-2021")</f>
        <v/>
      </c>
      <c r="AD25">
        <f>HYPERLINK("https://klasma.github.io/Logging_2082/tillsynsmail/A 52205-2021 tillsynsbegäran mail.docx", "A 52205-2021")</f>
        <v/>
      </c>
    </row>
    <row r="26" ht="15" customHeight="1">
      <c r="A26" t="inlineStr">
        <is>
          <t>A 570-2024</t>
        </is>
      </c>
      <c r="B26" t="inlineStr">
        <is>
          <t>avverkningsanmälan</t>
        </is>
      </c>
      <c r="C26" t="inlineStr">
        <is>
          <t>Föryngringsavverkning</t>
        </is>
      </c>
      <c r="D26" s="1" t="n">
        <v>45299</v>
      </c>
      <c r="E26" s="1" t="n">
        <v>46232</v>
      </c>
      <c r="F26" t="inlineStr">
        <is>
          <t>DALARNAS LÄN</t>
        </is>
      </c>
      <c r="G26" t="inlineStr">
        <is>
          <t>SÄTER</t>
        </is>
      </c>
      <c r="H26" t="inlineStr">
        <is>
          <t>Kommuner</t>
        </is>
      </c>
      <c r="I26" t="n">
        <v>2.8</v>
      </c>
      <c r="J26" t="n">
        <v>0</v>
      </c>
      <c r="K26" t="n">
        <v>1</v>
      </c>
      <c r="L26" t="n">
        <v>1</v>
      </c>
      <c r="M26" t="n">
        <v>0</v>
      </c>
      <c r="N26" t="n">
        <v>0</v>
      </c>
      <c r="O26" t="n">
        <v>0</v>
      </c>
      <c r="P26" t="n">
        <v>0</v>
      </c>
      <c r="Q26" t="n">
        <v>1</v>
      </c>
      <c r="R26" t="n">
        <v>0</v>
      </c>
      <c r="S26" t="n">
        <v>2</v>
      </c>
      <c r="T26" t="n">
        <v>2</v>
      </c>
      <c r="U26" t="n">
        <v>1</v>
      </c>
      <c r="V26" s="2" t="inlineStr">
        <is>
          <t>Motaggsvamp
Svavelriska</t>
        </is>
      </c>
      <c r="W26">
        <f>HYPERLINK("https://klasma.github.io/Logging_2082/artfynd/A 570-2024 artfynd.xlsx", "A 570-2024")</f>
        <v/>
      </c>
      <c r="X26">
        <f>HYPERLINK("https://klasma.github.io/Logging_2082/kartor/A 570-2024 karta.png", "A 570-2024")</f>
        <v/>
      </c>
      <c r="Y26">
        <f>HYPERLINK("https://klasma.github.io/Logging_2082/kartor_geotiff/A 570-2024 georefererad karta.tif", "A 570-2024")</f>
        <v/>
      </c>
      <c r="AA26">
        <f>HYPERLINK("https://klasma.github.io/Logging_2082/klagomål/A 570-2024 FSC-klagomål.docx", "A 570-2024")</f>
        <v/>
      </c>
      <c r="AB26">
        <f>HYPERLINK("https://klasma.github.io/Logging_2082/klagomålsmail/A 570-2024 FSC-klagomål mail.docx", "A 570-2024")</f>
        <v/>
      </c>
      <c r="AC26">
        <f>HYPERLINK("https://klasma.github.io/Logging_2082/tillsyn/A 570-2024 tillsynsbegäran.docx", "A 570-2024")</f>
        <v/>
      </c>
      <c r="AD26">
        <f>HYPERLINK("https://klasma.github.io/Logging_2082/tillsynsmail/A 570-2024 tillsynsbegäran mail.docx", "A 570-2024")</f>
        <v/>
      </c>
    </row>
    <row r="27" ht="15" customHeight="1">
      <c r="A27" t="inlineStr">
        <is>
          <t>A 193-2022</t>
        </is>
      </c>
      <c r="B27" t="inlineStr">
        <is>
          <t>avverkningsanmälan</t>
        </is>
      </c>
      <c r="C27" t="inlineStr">
        <is>
          <t>Föryngringsavverkning</t>
        </is>
      </c>
      <c r="D27" s="1" t="n">
        <v>44564</v>
      </c>
      <c r="E27" s="1" t="n">
        <v>46232</v>
      </c>
      <c r="F27" t="inlineStr">
        <is>
          <t>DALARNAS LÄN</t>
        </is>
      </c>
      <c r="G27" t="inlineStr">
        <is>
          <t>SÄTER</t>
        </is>
      </c>
      <c r="I27" t="n">
        <v>1.9</v>
      </c>
      <c r="J27" t="n">
        <v>1</v>
      </c>
      <c r="K27" t="n">
        <v>0</v>
      </c>
      <c r="L27" t="n">
        <v>2</v>
      </c>
      <c r="M27" t="n">
        <v>0</v>
      </c>
      <c r="N27" t="n">
        <v>0</v>
      </c>
      <c r="O27" t="n">
        <v>0</v>
      </c>
      <c r="P27" t="n">
        <v>0</v>
      </c>
      <c r="Q27" t="n">
        <v>2</v>
      </c>
      <c r="R27" t="n">
        <v>0</v>
      </c>
      <c r="S27" t="n">
        <v>2</v>
      </c>
      <c r="T27" t="n">
        <v>4</v>
      </c>
      <c r="U27" t="n">
        <v>4</v>
      </c>
      <c r="V27" s="2" t="inlineStr">
        <is>
          <t>Dropptaggsvamp
Talltita</t>
        </is>
      </c>
      <c r="W27">
        <f>HYPERLINK("https://klasma.github.io/Logging_2082/artfynd/A 193-2022 artfynd.xlsx", "A 193-2022")</f>
        <v/>
      </c>
      <c r="X27">
        <f>HYPERLINK("https://klasma.github.io/Logging_2082/kartor/A 193-2022 karta.png", "A 193-2022")</f>
        <v/>
      </c>
      <c r="Y27">
        <f>HYPERLINK("https://klasma.github.io/Logging_2082/kartor_geotiff/A 193-2022 georefererad karta.tif", "A 193-2022")</f>
        <v/>
      </c>
      <c r="AA27">
        <f>HYPERLINK("https://klasma.github.io/Logging_2082/klagomål/A 193-2022 FSC-klagomål.docx", "A 193-2022")</f>
        <v/>
      </c>
      <c r="AB27">
        <f>HYPERLINK("https://klasma.github.io/Logging_2082/klagomålsmail/A 193-2022 FSC-klagomål mail.docx", "A 193-2022")</f>
        <v/>
      </c>
      <c r="AC27">
        <f>HYPERLINK("https://klasma.github.io/Logging_2082/tillsyn/A 193-2022 tillsynsbegäran.docx", "A 193-2022")</f>
        <v/>
      </c>
      <c r="AD27">
        <f>HYPERLINK("https://klasma.github.io/Logging_2082/tillsynsmail/A 193-2022 tillsynsbegäran mail.docx", "A 193-2022")</f>
        <v/>
      </c>
      <c r="AE27">
        <f>HYPERLINK("https://klasma.github.io/Logging_2082/fåglar/A 193-2022 prioriterade fågelarter.docx", "A 193-2022")</f>
        <v/>
      </c>
    </row>
    <row r="28" ht="15" customHeight="1">
      <c r="A28" t="inlineStr">
        <is>
          <t>S 2072-2022</t>
        </is>
      </c>
      <c r="B28" t="inlineStr">
        <is>
          <t>samrådsanmälan</t>
        </is>
      </c>
      <c r="C28" t="inlineStr">
        <is>
          <t>Askåterföring</t>
        </is>
      </c>
      <c r="D28" s="1" t="n">
        <v>44672</v>
      </c>
      <c r="E28" s="1" t="n">
        <v>46232</v>
      </c>
      <c r="F28" t="inlineStr">
        <is>
          <t>DALARNAS LÄN</t>
        </is>
      </c>
      <c r="G28" t="inlineStr">
        <is>
          <t>SÄTER</t>
        </is>
      </c>
      <c r="H28" t="inlineStr">
        <is>
          <t>Kommuner</t>
        </is>
      </c>
      <c r="I28" t="n">
        <v>125.6</v>
      </c>
      <c r="J28" t="n">
        <v>1</v>
      </c>
      <c r="K28" t="n">
        <v>1</v>
      </c>
      <c r="L28" t="n">
        <v>0</v>
      </c>
      <c r="M28" t="n">
        <v>1</v>
      </c>
      <c r="N28" t="n">
        <v>0</v>
      </c>
      <c r="O28" t="n">
        <v>0</v>
      </c>
      <c r="P28" t="n">
        <v>0</v>
      </c>
      <c r="Q28" t="n">
        <v>1</v>
      </c>
      <c r="R28" t="n">
        <v>1</v>
      </c>
      <c r="S28" t="n">
        <v>2</v>
      </c>
      <c r="T28" t="n">
        <v>2</v>
      </c>
      <c r="U28" t="n">
        <v>2</v>
      </c>
      <c r="V28" s="2" t="inlineStr">
        <is>
          <t>Knärot
Grovticka</t>
        </is>
      </c>
      <c r="W28">
        <f>HYPERLINK("https://klasma.github.io/Logging_2082/artfynd/S 2072-2022 artfynd.xlsx", "S 2072-2022")</f>
        <v/>
      </c>
      <c r="X28">
        <f>HYPERLINK("https://klasma.github.io/Logging_2082/kartor/S 2072-2022 karta.png", "S 2072-2022")</f>
        <v/>
      </c>
      <c r="Y28">
        <f>HYPERLINK("https://klasma.github.io/Logging_2082/kartor_geotiff/S 2072-2022 georefererad karta.tif", "S 2072-2022")</f>
        <v/>
      </c>
      <c r="Z28">
        <f>HYPERLINK("https://klasma.github.io/Logging_2082/knärot/S 2072-2022 karta knärot.png", "S 2072-2022")</f>
        <v/>
      </c>
      <c r="AA28">
        <f>HYPERLINK("https://klasma.github.io/Logging_2082/klagomål/S 2072-2022 FSC-klagomål.docx", "S 2072-2022")</f>
        <v/>
      </c>
      <c r="AB28">
        <f>HYPERLINK("https://klasma.github.io/Logging_2082/klagomålsmail/S 2072-2022 FSC-klagomål mail.docx", "S 2072-2022")</f>
        <v/>
      </c>
      <c r="AC28">
        <f>HYPERLINK("https://klasma.github.io/Logging_2082/tillsyn/S 2072-2022 tillsynsbegäran.docx", "S 2072-2022")</f>
        <v/>
      </c>
      <c r="AD28">
        <f>HYPERLINK("https://klasma.github.io/Logging_2082/tillsynsmail/S 2072-2022 tillsynsbegäran mail.docx", "S 2072-2022")</f>
        <v/>
      </c>
    </row>
    <row r="29" ht="15" customHeight="1">
      <c r="A29" t="inlineStr">
        <is>
          <t>S 4771-2024</t>
        </is>
      </c>
      <c r="B29" t="inlineStr">
        <is>
          <t>samrådsanmälan</t>
        </is>
      </c>
      <c r="C29" t="inlineStr">
        <is>
          <t>Annan skogsbruksåtgärd</t>
        </is>
      </c>
      <c r="D29" s="1" t="n">
        <v>45610</v>
      </c>
      <c r="E29" s="1" t="n">
        <v>46232</v>
      </c>
      <c r="F29" t="inlineStr">
        <is>
          <t>DALARNAS LÄN</t>
        </is>
      </c>
      <c r="G29" t="inlineStr">
        <is>
          <t>SÄTER</t>
        </is>
      </c>
      <c r="H29" t="inlineStr">
        <is>
          <t>Bergvik skog väst AB</t>
        </is>
      </c>
      <c r="I29" t="n">
        <v>6.3</v>
      </c>
      <c r="J29" t="n">
        <v>0</v>
      </c>
      <c r="K29" t="n">
        <v>1</v>
      </c>
      <c r="L29" t="n">
        <v>0</v>
      </c>
      <c r="M29" t="n">
        <v>0</v>
      </c>
      <c r="N29" t="n">
        <v>1</v>
      </c>
      <c r="O29" t="n">
        <v>0</v>
      </c>
      <c r="P29" t="n">
        <v>0</v>
      </c>
      <c r="Q29" t="n">
        <v>1</v>
      </c>
      <c r="R29" t="n">
        <v>1</v>
      </c>
      <c r="S29" t="n">
        <v>2</v>
      </c>
      <c r="T29" t="n">
        <v>4</v>
      </c>
      <c r="U29" t="n">
        <v>0</v>
      </c>
      <c r="V29" s="2" t="inlineStr">
        <is>
          <t>Skogsalm
Tibast</t>
        </is>
      </c>
      <c r="W29">
        <f>HYPERLINK("https://klasma.github.io/Logging_2082/artfynd/S 4771-2024 artfynd.xlsx", "S 4771-2024")</f>
        <v/>
      </c>
      <c r="X29">
        <f>HYPERLINK("https://klasma.github.io/Logging_2082/kartor/S 4771-2024 karta.png", "S 4771-2024")</f>
        <v/>
      </c>
      <c r="Y29">
        <f>HYPERLINK("https://klasma.github.io/Logging_2082/kartor_geotiff/S 4771-2024 georefererad karta.tif", "S 4771-2024")</f>
        <v/>
      </c>
      <c r="AA29">
        <f>HYPERLINK("https://klasma.github.io/Logging_2082/klagomål/S 4771-2024 FSC-klagomål.docx", "S 4771-2024")</f>
        <v/>
      </c>
      <c r="AB29">
        <f>HYPERLINK("https://klasma.github.io/Logging_2082/klagomålsmail/S 4771-2024 FSC-klagomål mail.docx", "S 4771-2024")</f>
        <v/>
      </c>
      <c r="AC29">
        <f>HYPERLINK("https://klasma.github.io/Logging_2082/tillsyn/S 4771-2024 tillsynsbegäran.docx", "S 4771-2024")</f>
        <v/>
      </c>
      <c r="AD29">
        <f>HYPERLINK("https://klasma.github.io/Logging_2082/tillsynsmail/S 4771-2024 tillsynsbegäran mail.docx", "S 4771-2024")</f>
        <v/>
      </c>
    </row>
    <row r="30" ht="15" customHeight="1">
      <c r="A30" t="inlineStr">
        <is>
          <t>A 27715-2023</t>
        </is>
      </c>
      <c r="B30" t="inlineStr">
        <is>
          <t>avverkningsanmälan</t>
        </is>
      </c>
      <c r="C30" t="inlineStr">
        <is>
          <t>Föryngringsavverkning</t>
        </is>
      </c>
      <c r="D30" s="1" t="n">
        <v>45098</v>
      </c>
      <c r="E30" s="1" t="n">
        <v>46232</v>
      </c>
      <c r="F30" t="inlineStr">
        <is>
          <t>DALARNAS LÄN</t>
        </is>
      </c>
      <c r="G30" t="inlineStr">
        <is>
          <t>SÄTER</t>
        </is>
      </c>
      <c r="I30" t="n">
        <v>1.4</v>
      </c>
      <c r="J30" t="n">
        <v>1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t="n">
        <v>0</v>
      </c>
      <c r="S30" t="n">
        <v>1</v>
      </c>
      <c r="T30" t="n">
        <v>1</v>
      </c>
      <c r="U30" t="n">
        <v>0</v>
      </c>
      <c r="V30" s="2" t="inlineStr">
        <is>
          <t>Mattlummer</t>
        </is>
      </c>
      <c r="W30">
        <f>HYPERLINK("https://klasma.github.io/Logging_2082/artfynd/A 27715-2023 artfynd.xlsx", "A 27715-2023")</f>
        <v/>
      </c>
      <c r="X30">
        <f>HYPERLINK("https://klasma.github.io/Logging_2082/kartor/A 27715-2023 karta.png", "A 27715-2023")</f>
        <v/>
      </c>
      <c r="Y30">
        <f>HYPERLINK("https://klasma.github.io/Logging_2082/kartor_geotiff/A 27715-2023 georefererad karta.tif", "A 27715-2023")</f>
        <v/>
      </c>
      <c r="AA30">
        <f>HYPERLINK("https://klasma.github.io/Logging_2082/klagomål/A 27715-2023 FSC-klagomål.docx", "A 27715-2023")</f>
        <v/>
      </c>
      <c r="AB30">
        <f>HYPERLINK("https://klasma.github.io/Logging_2082/klagomålsmail/A 27715-2023 FSC-klagomål mail.docx", "A 27715-2023")</f>
        <v/>
      </c>
      <c r="AC30">
        <f>HYPERLINK("https://klasma.github.io/Logging_2082/tillsyn/A 27715-2023 tillsynsbegäran.docx", "A 27715-2023")</f>
        <v/>
      </c>
      <c r="AD30">
        <f>HYPERLINK("https://klasma.github.io/Logging_2082/tillsynsmail/A 27715-2023 tillsynsbegäran mail.docx", "A 27715-2023")</f>
        <v/>
      </c>
    </row>
    <row r="31" ht="15" customHeight="1">
      <c r="A31" t="inlineStr">
        <is>
          <t>A 44992-2024</t>
        </is>
      </c>
      <c r="B31" t="inlineStr">
        <is>
          <t>avverkningsanmälan</t>
        </is>
      </c>
      <c r="C31" t="inlineStr">
        <is>
          <t>Föryngringsavverkning</t>
        </is>
      </c>
      <c r="D31" s="1" t="n">
        <v>45575</v>
      </c>
      <c r="E31" s="1" t="n">
        <v>46232</v>
      </c>
      <c r="F31" t="inlineStr">
        <is>
          <t>DALARNAS LÄN</t>
        </is>
      </c>
      <c r="G31" t="inlineStr">
        <is>
          <t>SÄTER</t>
        </is>
      </c>
      <c r="H31" t="inlineStr">
        <is>
          <t>Bergvik skog väst AB</t>
        </is>
      </c>
      <c r="I31" t="n">
        <v>9.9</v>
      </c>
      <c r="J31" t="n">
        <v>1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t="n">
        <v>0</v>
      </c>
      <c r="S31" t="n">
        <v>1</v>
      </c>
      <c r="T31" t="n">
        <v>1</v>
      </c>
      <c r="U31" t="n">
        <v>0</v>
      </c>
      <c r="V31" s="2" t="inlineStr">
        <is>
          <t>Blåsippa</t>
        </is>
      </c>
      <c r="W31">
        <f>HYPERLINK("https://klasma.github.io/Logging_2082/artfynd/A 44992-2024 artfynd.xlsx", "A 44992-2024")</f>
        <v/>
      </c>
      <c r="X31">
        <f>HYPERLINK("https://klasma.github.io/Logging_2082/kartor/A 44992-2024 karta.png", "A 44992-2024")</f>
        <v/>
      </c>
      <c r="Y31">
        <f>HYPERLINK("https://klasma.github.io/Logging_2082/kartor_geotiff/A 44992-2024 georefererad karta.tif", "A 44992-2024")</f>
        <v/>
      </c>
      <c r="AA31">
        <f>HYPERLINK("https://klasma.github.io/Logging_2082/klagomål/A 44992-2024 FSC-klagomål.docx", "A 44992-2024")</f>
        <v/>
      </c>
      <c r="AB31">
        <f>HYPERLINK("https://klasma.github.io/Logging_2082/klagomålsmail/A 44992-2024 FSC-klagomål mail.docx", "A 44992-2024")</f>
        <v/>
      </c>
      <c r="AC31">
        <f>HYPERLINK("https://klasma.github.io/Logging_2082/tillsyn/A 44992-2024 tillsynsbegäran.docx", "A 44992-2024")</f>
        <v/>
      </c>
      <c r="AD31">
        <f>HYPERLINK("https://klasma.github.io/Logging_2082/tillsynsmail/A 44992-2024 tillsynsbegäran mail.docx", "A 44992-2024")</f>
        <v/>
      </c>
    </row>
    <row r="32" ht="15" customHeight="1">
      <c r="A32" t="inlineStr">
        <is>
          <t>A 39406-2024</t>
        </is>
      </c>
      <c r="B32" t="inlineStr">
        <is>
          <t>avverkningsanmälan</t>
        </is>
      </c>
      <c r="C32" t="inlineStr">
        <is>
          <t>Föryngringsavverkning</t>
        </is>
      </c>
      <c r="D32" s="1" t="n">
        <v>45551</v>
      </c>
      <c r="E32" s="1" t="n">
        <v>46232</v>
      </c>
      <c r="F32" t="inlineStr">
        <is>
          <t>DALARNAS LÄN</t>
        </is>
      </c>
      <c r="G32" t="inlineStr">
        <is>
          <t>SÄTER</t>
        </is>
      </c>
      <c r="I32" t="n">
        <v>1</v>
      </c>
      <c r="J32" t="n">
        <v>0</v>
      </c>
      <c r="K32" t="n">
        <v>1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t="n">
        <v>0</v>
      </c>
      <c r="S32" t="n">
        <v>1</v>
      </c>
      <c r="T32" t="n">
        <v>1</v>
      </c>
      <c r="U32" t="n">
        <v>0</v>
      </c>
      <c r="V32" s="2" t="inlineStr">
        <is>
          <t>Sotriska</t>
        </is>
      </c>
      <c r="W32">
        <f>HYPERLINK("https://klasma.github.io/Logging_2082/artfynd/A 39406-2024 artfynd.xlsx", "A 39406-2024")</f>
        <v/>
      </c>
      <c r="X32">
        <f>HYPERLINK("https://klasma.github.io/Logging_2082/kartor/A 39406-2024 karta.png", "A 39406-2024")</f>
        <v/>
      </c>
      <c r="Y32">
        <f>HYPERLINK("https://klasma.github.io/Logging_2082/kartor_geotiff/A 39406-2024 georefererad karta.tif", "A 39406-2024")</f>
        <v/>
      </c>
      <c r="AA32">
        <f>HYPERLINK("https://klasma.github.io/Logging_2082/klagomål/A 39406-2024 FSC-klagomål.docx", "A 39406-2024")</f>
        <v/>
      </c>
      <c r="AB32">
        <f>HYPERLINK("https://klasma.github.io/Logging_2082/klagomålsmail/A 39406-2024 FSC-klagomål mail.docx", "A 39406-2024")</f>
        <v/>
      </c>
      <c r="AC32">
        <f>HYPERLINK("https://klasma.github.io/Logging_2082/tillsyn/A 39406-2024 tillsynsbegäran.docx", "A 39406-2024")</f>
        <v/>
      </c>
      <c r="AD32">
        <f>HYPERLINK("https://klasma.github.io/Logging_2082/tillsynsmail/A 39406-2024 tillsynsbegäran mail.docx", "A 39406-2024")</f>
        <v/>
      </c>
    </row>
    <row r="33" ht="15" customHeight="1">
      <c r="A33" t="inlineStr">
        <is>
          <t>A 34938-2025</t>
        </is>
      </c>
      <c r="B33" t="inlineStr">
        <is>
          <t>avverkningsanmälan</t>
        </is>
      </c>
      <c r="C33" t="inlineStr">
        <is>
          <t>Föryngringsavverkning</t>
        </is>
      </c>
      <c r="D33" s="1" t="n">
        <v>45849</v>
      </c>
      <c r="E33" s="1" t="n">
        <v>46232</v>
      </c>
      <c r="F33" t="inlineStr">
        <is>
          <t>DALARNAS LÄN</t>
        </is>
      </c>
      <c r="G33" t="inlineStr">
        <is>
          <t>SÄTER</t>
        </is>
      </c>
      <c r="I33" t="n">
        <v>2.3</v>
      </c>
      <c r="J33" t="n">
        <v>0</v>
      </c>
      <c r="K33" t="n">
        <v>0</v>
      </c>
      <c r="L33" t="n">
        <v>1</v>
      </c>
      <c r="M33" t="n">
        <v>0</v>
      </c>
      <c r="N33" t="n">
        <v>0</v>
      </c>
      <c r="O33" t="n">
        <v>0</v>
      </c>
      <c r="P33" t="n">
        <v>0</v>
      </c>
      <c r="Q33" t="n">
        <v>1</v>
      </c>
      <c r="R33" t="n">
        <v>0</v>
      </c>
      <c r="S33" t="n">
        <v>1</v>
      </c>
      <c r="T33" t="n">
        <v>1</v>
      </c>
      <c r="U33" t="n">
        <v>0</v>
      </c>
      <c r="V33" s="2" t="inlineStr">
        <is>
          <t>Ullticka</t>
        </is>
      </c>
      <c r="W33">
        <f>HYPERLINK("https://klasma.github.io/Logging_2082/artfynd/A 34938-2025 artfynd.xlsx", "A 34938-2025")</f>
        <v/>
      </c>
      <c r="X33">
        <f>HYPERLINK("https://klasma.github.io/Logging_2082/kartor/A 34938-2025 karta.png", "A 34938-2025")</f>
        <v/>
      </c>
      <c r="Y33">
        <f>HYPERLINK("https://klasma.github.io/Logging_2082/kartor_geotiff/A 34938-2025 georefererad karta.tif", "A 34938-2025")</f>
        <v/>
      </c>
      <c r="AA33">
        <f>HYPERLINK("https://klasma.github.io/Logging_2082/klagomål/A 34938-2025 FSC-klagomål.docx", "A 34938-2025")</f>
        <v/>
      </c>
      <c r="AB33">
        <f>HYPERLINK("https://klasma.github.io/Logging_2082/klagomålsmail/A 34938-2025 FSC-klagomål mail.docx", "A 34938-2025")</f>
        <v/>
      </c>
      <c r="AC33">
        <f>HYPERLINK("https://klasma.github.io/Logging_2082/tillsyn/A 34938-2025 tillsynsbegäran.docx", "A 34938-2025")</f>
        <v/>
      </c>
      <c r="AD33">
        <f>HYPERLINK("https://klasma.github.io/Logging_2082/tillsynsmail/A 34938-2025 tillsynsbegäran mail.docx", "A 34938-2025")</f>
        <v/>
      </c>
    </row>
    <row r="34" ht="15" customHeight="1">
      <c r="A34" t="inlineStr">
        <is>
          <t>A 35221-2025</t>
        </is>
      </c>
      <c r="B34" t="inlineStr">
        <is>
          <t>avverkningsanmälan</t>
        </is>
      </c>
      <c r="C34" t="inlineStr">
        <is>
          <t>Föryngringsavverkning</t>
        </is>
      </c>
      <c r="D34" s="1" t="n">
        <v>45853</v>
      </c>
      <c r="E34" s="1" t="n">
        <v>46232</v>
      </c>
      <c r="F34" t="inlineStr">
        <is>
          <t>DALARNAS LÄN</t>
        </is>
      </c>
      <c r="G34" t="inlineStr">
        <is>
          <t>SÄTER</t>
        </is>
      </c>
      <c r="I34" t="n">
        <v>9.5</v>
      </c>
      <c r="J34" t="n">
        <v>0</v>
      </c>
      <c r="K34" t="n">
        <v>0</v>
      </c>
      <c r="L34" t="n">
        <v>1</v>
      </c>
      <c r="M34" t="n">
        <v>0</v>
      </c>
      <c r="N34" t="n">
        <v>0</v>
      </c>
      <c r="O34" t="n">
        <v>0</v>
      </c>
      <c r="P34" t="n">
        <v>0</v>
      </c>
      <c r="Q34" t="n">
        <v>1</v>
      </c>
      <c r="R34" t="n">
        <v>0</v>
      </c>
      <c r="S34" t="n">
        <v>1</v>
      </c>
      <c r="T34" t="n">
        <v>1</v>
      </c>
      <c r="U34" t="n">
        <v>0</v>
      </c>
      <c r="V34" s="2" t="inlineStr">
        <is>
          <t>Vedskivlav</t>
        </is>
      </c>
      <c r="W34">
        <f>HYPERLINK("https://klasma.github.io/Logging_2082/artfynd/A 35221-2025 artfynd.xlsx", "A 35221-2025")</f>
        <v/>
      </c>
      <c r="X34">
        <f>HYPERLINK("https://klasma.github.io/Logging_2082/kartor/A 35221-2025 karta.png", "A 35221-2025")</f>
        <v/>
      </c>
      <c r="Y34">
        <f>HYPERLINK("https://klasma.github.io/Logging_2082/kartor_geotiff/A 35221-2025 georefererad karta.tif", "A 35221-2025")</f>
        <v/>
      </c>
      <c r="AA34">
        <f>HYPERLINK("https://klasma.github.io/Logging_2082/klagomål/A 35221-2025 FSC-klagomål.docx", "A 35221-2025")</f>
        <v/>
      </c>
      <c r="AB34">
        <f>HYPERLINK("https://klasma.github.io/Logging_2082/klagomålsmail/A 35221-2025 FSC-klagomål mail.docx", "A 35221-2025")</f>
        <v/>
      </c>
      <c r="AC34">
        <f>HYPERLINK("https://klasma.github.io/Logging_2082/tillsyn/A 35221-2025 tillsynsbegäran.docx", "A 35221-2025")</f>
        <v/>
      </c>
      <c r="AD34">
        <f>HYPERLINK("https://klasma.github.io/Logging_2082/tillsynsmail/A 35221-2025 tillsynsbegäran mail.docx", "A 35221-2025")</f>
        <v/>
      </c>
    </row>
    <row r="35" ht="15" customHeight="1">
      <c r="A35" t="inlineStr">
        <is>
          <t>A 47661-2025</t>
        </is>
      </c>
      <c r="B35" t="inlineStr">
        <is>
          <t>avverkningsanmälan</t>
        </is>
      </c>
      <c r="C35" t="inlineStr">
        <is>
          <t>Föryngringsavverkning</t>
        </is>
      </c>
      <c r="D35" s="1" t="n">
        <v>45931</v>
      </c>
      <c r="E35" s="1" t="n">
        <v>46232</v>
      </c>
      <c r="F35" t="inlineStr">
        <is>
          <t>DALARNAS LÄN</t>
        </is>
      </c>
      <c r="G35" t="inlineStr">
        <is>
          <t>SÄTER</t>
        </is>
      </c>
      <c r="H35" t="inlineStr">
        <is>
          <t>Bergvik skog väst AB</t>
        </is>
      </c>
      <c r="I35" t="n">
        <v>13.8</v>
      </c>
      <c r="J35" t="n">
        <v>1</v>
      </c>
      <c r="K35" t="n">
        <v>0</v>
      </c>
      <c r="L35" t="n">
        <v>1</v>
      </c>
      <c r="M35" t="n">
        <v>0</v>
      </c>
      <c r="N35" t="n">
        <v>0</v>
      </c>
      <c r="O35" t="n">
        <v>0</v>
      </c>
      <c r="P35" t="n">
        <v>0</v>
      </c>
      <c r="Q35" t="n">
        <v>1</v>
      </c>
      <c r="R35" t="n">
        <v>0</v>
      </c>
      <c r="S35" t="n">
        <v>1</v>
      </c>
      <c r="T35" t="n">
        <v>1</v>
      </c>
      <c r="U35" t="n">
        <v>0</v>
      </c>
      <c r="V35" s="2" t="inlineStr">
        <is>
          <t>Järnsparv</t>
        </is>
      </c>
      <c r="W35">
        <f>HYPERLINK("https://klasma.github.io/Logging_2082/artfynd/A 47661-2025 artfynd.xlsx", "A 47661-2025")</f>
        <v/>
      </c>
      <c r="X35">
        <f>HYPERLINK("https://klasma.github.io/Logging_2082/kartor/A 47661-2025 karta.png", "A 47661-2025")</f>
        <v/>
      </c>
      <c r="Y35">
        <f>HYPERLINK("https://klasma.github.io/Logging_2082/kartor_geotiff/A 47661-2025 georefererad karta.tif", "A 47661-2025")</f>
        <v/>
      </c>
      <c r="AA35">
        <f>HYPERLINK("https://klasma.github.io/Logging_2082/klagomål/A 47661-2025 FSC-klagomål.docx", "A 47661-2025")</f>
        <v/>
      </c>
      <c r="AB35">
        <f>HYPERLINK("https://klasma.github.io/Logging_2082/klagomålsmail/A 47661-2025 FSC-klagomål mail.docx", "A 47661-2025")</f>
        <v/>
      </c>
      <c r="AC35">
        <f>HYPERLINK("https://klasma.github.io/Logging_2082/tillsyn/A 47661-2025 tillsynsbegäran.docx", "A 47661-2025")</f>
        <v/>
      </c>
      <c r="AD35">
        <f>HYPERLINK("https://klasma.github.io/Logging_2082/tillsynsmail/A 47661-2025 tillsynsbegäran mail.docx", "A 47661-2025")</f>
        <v/>
      </c>
      <c r="AE35">
        <f>HYPERLINK("https://klasma.github.io/Logging_2082/fåglar/A 47661-2025 prioriterade fågelarter.docx", "A 47661-2025")</f>
        <v/>
      </c>
    </row>
    <row r="36" ht="15" customHeight="1">
      <c r="A36" t="inlineStr">
        <is>
          <t>A 49653-2025</t>
        </is>
      </c>
      <c r="B36" t="inlineStr">
        <is>
          <t>avverkningsanmälan</t>
        </is>
      </c>
      <c r="C36" t="inlineStr">
        <is>
          <t>Föryngringsavverkning</t>
        </is>
      </c>
      <c r="D36" s="1" t="n">
        <v>45939</v>
      </c>
      <c r="E36" s="1" t="n">
        <v>46232</v>
      </c>
      <c r="F36" t="inlineStr">
        <is>
          <t>DALARNAS LÄN</t>
        </is>
      </c>
      <c r="G36" t="inlineStr">
        <is>
          <t>SÄTER</t>
        </is>
      </c>
      <c r="I36" t="n">
        <v>0.8</v>
      </c>
      <c r="J36" t="n">
        <v>0</v>
      </c>
      <c r="K36" t="n">
        <v>0</v>
      </c>
      <c r="L36" t="n">
        <v>1</v>
      </c>
      <c r="M36" t="n">
        <v>0</v>
      </c>
      <c r="N36" t="n">
        <v>0</v>
      </c>
      <c r="O36" t="n">
        <v>0</v>
      </c>
      <c r="P36" t="n">
        <v>0</v>
      </c>
      <c r="Q36" t="n">
        <v>1</v>
      </c>
      <c r="R36" t="n">
        <v>0</v>
      </c>
      <c r="S36" t="n">
        <v>1</v>
      </c>
      <c r="T36" t="n">
        <v>1</v>
      </c>
      <c r="U36" t="n">
        <v>1</v>
      </c>
      <c r="V36" s="2" t="inlineStr">
        <is>
          <t>Ullticka</t>
        </is>
      </c>
      <c r="W36">
        <f>HYPERLINK("https://klasma.github.io/Logging_2082/artfynd/A 49653-2025 artfynd.xlsx", "A 49653-2025")</f>
        <v/>
      </c>
      <c r="X36">
        <f>HYPERLINK("https://klasma.github.io/Logging_2082/kartor/A 49653-2025 karta.png", "A 49653-2025")</f>
        <v/>
      </c>
      <c r="Y36">
        <f>HYPERLINK("https://klasma.github.io/Logging_2082/kartor_geotiff/A 49653-2025 georefererad karta.tif", "A 49653-2025")</f>
        <v/>
      </c>
      <c r="AA36">
        <f>HYPERLINK("https://klasma.github.io/Logging_2082/klagomål/A 49653-2025 FSC-klagomål.docx", "A 49653-2025")</f>
        <v/>
      </c>
      <c r="AB36">
        <f>HYPERLINK("https://klasma.github.io/Logging_2082/klagomålsmail/A 49653-2025 FSC-klagomål mail.docx", "A 49653-2025")</f>
        <v/>
      </c>
      <c r="AC36">
        <f>HYPERLINK("https://klasma.github.io/Logging_2082/tillsyn/A 49653-2025 tillsynsbegäran.docx", "A 49653-2025")</f>
        <v/>
      </c>
      <c r="AD36">
        <f>HYPERLINK("https://klasma.github.io/Logging_2082/tillsynsmail/A 49653-2025 tillsynsbegäran mail.docx", "A 49653-2025")</f>
        <v/>
      </c>
    </row>
    <row r="37" ht="15" customHeight="1">
      <c r="A37" t="inlineStr">
        <is>
          <t>A 61197-2025</t>
        </is>
      </c>
      <c r="B37" t="inlineStr">
        <is>
          <t>avverkningsanmälan</t>
        </is>
      </c>
      <c r="C37" t="inlineStr">
        <is>
          <t>Föryngringsavverkning</t>
        </is>
      </c>
      <c r="D37" s="1" t="n">
        <v>46000</v>
      </c>
      <c r="E37" s="1" t="n">
        <v>46232</v>
      </c>
      <c r="F37" t="inlineStr">
        <is>
          <t>DALARNAS LÄN</t>
        </is>
      </c>
      <c r="G37" t="inlineStr">
        <is>
          <t>SÄTER</t>
        </is>
      </c>
      <c r="I37" t="n">
        <v>4.1</v>
      </c>
      <c r="J37" t="n">
        <v>1</v>
      </c>
      <c r="K37" t="n">
        <v>0</v>
      </c>
      <c r="L37" t="n">
        <v>0</v>
      </c>
      <c r="M37" t="n">
        <v>1</v>
      </c>
      <c r="N37" t="n">
        <v>0</v>
      </c>
      <c r="O37" t="n">
        <v>0</v>
      </c>
      <c r="P37" t="n">
        <v>0</v>
      </c>
      <c r="Q37" t="n">
        <v>1</v>
      </c>
      <c r="R37" t="n">
        <v>1</v>
      </c>
      <c r="S37" t="n">
        <v>1</v>
      </c>
      <c r="T37" t="n">
        <v>1</v>
      </c>
      <c r="U37" t="n">
        <v>1</v>
      </c>
      <c r="V37" s="2" t="inlineStr">
        <is>
          <t>Knärot</t>
        </is>
      </c>
      <c r="W37">
        <f>HYPERLINK("https://klasma.github.io/Logging_2082/artfynd/A 61197-2025 artfynd.xlsx", "A 61197-2025")</f>
        <v/>
      </c>
      <c r="X37">
        <f>HYPERLINK("https://klasma.github.io/Logging_2082/kartor/A 61197-2025 karta.png", "A 61197-2025")</f>
        <v/>
      </c>
      <c r="Y37">
        <f>HYPERLINK("https://klasma.github.io/Logging_2082/kartor_geotiff/A 61197-2025 georefererad karta.tif", "A 61197-2025")</f>
        <v/>
      </c>
      <c r="Z37">
        <f>HYPERLINK("https://klasma.github.io/Logging_2082/knärot/A 61197-2025 karta knärot.png", "A 61197-2025")</f>
        <v/>
      </c>
      <c r="AA37">
        <f>HYPERLINK("https://klasma.github.io/Logging_2082/klagomål/A 61197-2025 FSC-klagomål.docx", "A 61197-2025")</f>
        <v/>
      </c>
      <c r="AB37">
        <f>HYPERLINK("https://klasma.github.io/Logging_2082/klagomålsmail/A 61197-2025 FSC-klagomål mail.docx", "A 61197-2025")</f>
        <v/>
      </c>
      <c r="AC37">
        <f>HYPERLINK("https://klasma.github.io/Logging_2082/tillsyn/A 61197-2025 tillsynsbegäran.docx", "A 61197-2025")</f>
        <v/>
      </c>
      <c r="AD37">
        <f>HYPERLINK("https://klasma.github.io/Logging_2082/tillsynsmail/A 61197-2025 tillsynsbegäran mail.docx", "A 61197-2025")</f>
        <v/>
      </c>
    </row>
    <row r="38" ht="15" customHeight="1">
      <c r="A38" t="inlineStr">
        <is>
          <t>A 9682-2025</t>
        </is>
      </c>
      <c r="B38" t="inlineStr">
        <is>
          <t>avverkningsanmälan</t>
        </is>
      </c>
      <c r="C38" t="inlineStr">
        <is>
          <t>Föryngringsavverkning</t>
        </is>
      </c>
      <c r="D38" s="1" t="n">
        <v>45716</v>
      </c>
      <c r="E38" s="1" t="n">
        <v>46232</v>
      </c>
      <c r="F38" t="inlineStr">
        <is>
          <t>DALARNAS LÄN</t>
        </is>
      </c>
      <c r="G38" t="inlineStr">
        <is>
          <t>SÄTER</t>
        </is>
      </c>
      <c r="I38" t="n">
        <v>6</v>
      </c>
      <c r="J38" t="n">
        <v>0</v>
      </c>
      <c r="K38" t="n">
        <v>1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t="n">
        <v>0</v>
      </c>
      <c r="S38" t="n">
        <v>1</v>
      </c>
      <c r="T38" t="n">
        <v>1</v>
      </c>
      <c r="U38" t="n">
        <v>0</v>
      </c>
      <c r="V38" s="2" t="inlineStr">
        <is>
          <t>Ögonpyrola</t>
        </is>
      </c>
      <c r="W38">
        <f>HYPERLINK("https://klasma.github.io/Logging_2082/artfynd/A 9682-2025 artfynd.xlsx", "A 9682-2025")</f>
        <v/>
      </c>
      <c r="X38">
        <f>HYPERLINK("https://klasma.github.io/Logging_2082/kartor/A 9682-2025 karta.png", "A 9682-2025")</f>
        <v/>
      </c>
      <c r="Y38">
        <f>HYPERLINK("https://klasma.github.io/Logging_2082/kartor_geotiff/A 9682-2025 georefererad karta.tif", "A 9682-2025")</f>
        <v/>
      </c>
      <c r="AA38">
        <f>HYPERLINK("https://klasma.github.io/Logging_2082/klagomål/A 9682-2025 FSC-klagomål.docx", "A 9682-2025")</f>
        <v/>
      </c>
      <c r="AB38">
        <f>HYPERLINK("https://klasma.github.io/Logging_2082/klagomålsmail/A 9682-2025 FSC-klagomål mail.docx", "A 9682-2025")</f>
        <v/>
      </c>
      <c r="AC38">
        <f>HYPERLINK("https://klasma.github.io/Logging_2082/tillsyn/A 9682-2025 tillsynsbegäran.docx", "A 9682-2025")</f>
        <v/>
      </c>
      <c r="AD38">
        <f>HYPERLINK("https://klasma.github.io/Logging_2082/tillsynsmail/A 9682-2025 tillsynsbegäran mail.docx", "A 9682-2025")</f>
        <v/>
      </c>
    </row>
    <row r="39" ht="15" customHeight="1">
      <c r="A39" t="inlineStr">
        <is>
          <t>A 32383-2022</t>
        </is>
      </c>
      <c r="B39" t="inlineStr">
        <is>
          <t>avverkningsanmälan</t>
        </is>
      </c>
      <c r="C39" t="inlineStr">
        <is>
          <t>Föryngringsavverkning</t>
        </is>
      </c>
      <c r="D39" s="1" t="n">
        <v>44781</v>
      </c>
      <c r="E39" s="1" t="n">
        <v>46232</v>
      </c>
      <c r="F39" t="inlineStr">
        <is>
          <t>DALARNAS LÄN</t>
        </is>
      </c>
      <c r="G39" t="inlineStr">
        <is>
          <t>SÄTER</t>
        </is>
      </c>
      <c r="H39" t="inlineStr">
        <is>
          <t>Bergvik skog väst AB</t>
        </is>
      </c>
      <c r="I39" t="n">
        <v>4.1</v>
      </c>
      <c r="J39" t="n">
        <v>1</v>
      </c>
      <c r="K39" t="n">
        <v>0</v>
      </c>
      <c r="L39" t="n">
        <v>0</v>
      </c>
      <c r="M39" t="n">
        <v>1</v>
      </c>
      <c r="N39" t="n">
        <v>0</v>
      </c>
      <c r="O39" t="n">
        <v>0</v>
      </c>
      <c r="P39" t="n">
        <v>0</v>
      </c>
      <c r="Q39" t="n">
        <v>1</v>
      </c>
      <c r="R39" t="n">
        <v>1</v>
      </c>
      <c r="S39" t="n">
        <v>1</v>
      </c>
      <c r="T39" t="n">
        <v>1</v>
      </c>
      <c r="U39" t="n">
        <v>1</v>
      </c>
      <c r="V39" s="2" t="inlineStr">
        <is>
          <t>Knärot</t>
        </is>
      </c>
      <c r="W39">
        <f>HYPERLINK("https://klasma.github.io/Logging_2082/artfynd/A 32383-2022 artfynd.xlsx", "A 32383-2022")</f>
        <v/>
      </c>
      <c r="X39">
        <f>HYPERLINK("https://klasma.github.io/Logging_2082/kartor/A 32383-2022 karta.png", "A 32383-2022")</f>
        <v/>
      </c>
      <c r="Y39">
        <f>HYPERLINK("https://klasma.github.io/Logging_2082/kartor_geotiff/A 32383-2022 georefererad karta.tif", "A 32383-2022")</f>
        <v/>
      </c>
      <c r="Z39">
        <f>HYPERLINK("https://klasma.github.io/Logging_2082/knärot/A 32383-2022 karta knärot.png", "A 32383-2022")</f>
        <v/>
      </c>
      <c r="AA39">
        <f>HYPERLINK("https://klasma.github.io/Logging_2082/klagomål/A 32383-2022 FSC-klagomål.docx", "A 32383-2022")</f>
        <v/>
      </c>
      <c r="AB39">
        <f>HYPERLINK("https://klasma.github.io/Logging_2082/klagomålsmail/A 32383-2022 FSC-klagomål mail.docx", "A 32383-2022")</f>
        <v/>
      </c>
      <c r="AC39">
        <f>HYPERLINK("https://klasma.github.io/Logging_2082/tillsyn/A 32383-2022 tillsynsbegäran.docx", "A 32383-2022")</f>
        <v/>
      </c>
      <c r="AD39">
        <f>HYPERLINK("https://klasma.github.io/Logging_2082/tillsynsmail/A 32383-2022 tillsynsbegäran mail.docx", "A 32383-2022")</f>
        <v/>
      </c>
    </row>
    <row r="40" ht="15" customHeight="1">
      <c r="A40" t="inlineStr">
        <is>
          <t>A 21111-2026</t>
        </is>
      </c>
      <c r="B40" t="inlineStr">
        <is>
          <t>avverkningsanmälan</t>
        </is>
      </c>
      <c r="C40" t="inlineStr">
        <is>
          <t>Föryngringsavverkning</t>
        </is>
      </c>
      <c r="D40" s="1" t="n">
        <v>46146</v>
      </c>
      <c r="E40" s="1" t="n">
        <v>46232</v>
      </c>
      <c r="F40" t="inlineStr">
        <is>
          <t>DALARNAS LÄN</t>
        </is>
      </c>
      <c r="G40" t="inlineStr">
        <is>
          <t>SÄTER</t>
        </is>
      </c>
      <c r="I40" t="n">
        <v>4.6</v>
      </c>
      <c r="J40" t="n">
        <v>0</v>
      </c>
      <c r="K40" t="n">
        <v>0</v>
      </c>
      <c r="L40" t="n">
        <v>1</v>
      </c>
      <c r="M40" t="n">
        <v>0</v>
      </c>
      <c r="N40" t="n">
        <v>0</v>
      </c>
      <c r="O40" t="n">
        <v>0</v>
      </c>
      <c r="P40" t="n">
        <v>0</v>
      </c>
      <c r="Q40" t="n">
        <v>1</v>
      </c>
      <c r="R40" t="n">
        <v>0</v>
      </c>
      <c r="S40" t="n">
        <v>1</v>
      </c>
      <c r="T40" t="n">
        <v>2</v>
      </c>
      <c r="U40" t="n">
        <v>0</v>
      </c>
      <c r="V40" s="2" t="inlineStr">
        <is>
          <t>Fjällig taggsvamp s.str.</t>
        </is>
      </c>
      <c r="W40">
        <f>HYPERLINK("https://klasma.github.io/Logging_2082/artfynd/A 21111-2026 artfynd.xlsx", "A 21111-2026")</f>
        <v/>
      </c>
      <c r="X40">
        <f>HYPERLINK("https://klasma.github.io/Logging_2082/kartor/A 21111-2026 karta.png", "A 21111-2026")</f>
        <v/>
      </c>
      <c r="Y40">
        <f>HYPERLINK("https://klasma.github.io/Logging_2082/kartor_geotiff/A 21111-2026 georefererad karta.tif", "A 21111-2026")</f>
        <v/>
      </c>
      <c r="AA40">
        <f>HYPERLINK("https://klasma.github.io/Logging_2082/klagomål/A 21111-2026 FSC-klagomål.docx", "A 21111-2026")</f>
        <v/>
      </c>
      <c r="AB40">
        <f>HYPERLINK("https://klasma.github.io/Logging_2082/klagomålsmail/A 21111-2026 FSC-klagomål mail.docx", "A 21111-2026")</f>
        <v/>
      </c>
      <c r="AC40">
        <f>HYPERLINK("https://klasma.github.io/Logging_2082/tillsyn/A 21111-2026 tillsynsbegäran.docx", "A 21111-2026")</f>
        <v/>
      </c>
      <c r="AD40">
        <f>HYPERLINK("https://klasma.github.io/Logging_2082/tillsynsmail/A 21111-2026 tillsynsbegäran mail.docx", "A 21111-2026")</f>
        <v/>
      </c>
    </row>
    <row r="41" ht="15" customHeight="1">
      <c r="A41" t="inlineStr">
        <is>
          <t>A 21120-2026</t>
        </is>
      </c>
      <c r="B41" t="inlineStr">
        <is>
          <t>avverkningsanmälan</t>
        </is>
      </c>
      <c r="C41" t="inlineStr">
        <is>
          <t>Föryngringsavverkning</t>
        </is>
      </c>
      <c r="D41" s="1" t="n">
        <v>46146</v>
      </c>
      <c r="E41" s="1" t="n">
        <v>46232</v>
      </c>
      <c r="F41" t="inlineStr">
        <is>
          <t>DALARNAS LÄN</t>
        </is>
      </c>
      <c r="G41" t="inlineStr">
        <is>
          <t>SÄTER</t>
        </is>
      </c>
      <c r="I41" t="n">
        <v>4.8</v>
      </c>
      <c r="J41" t="n">
        <v>1</v>
      </c>
      <c r="K41" t="n">
        <v>0</v>
      </c>
      <c r="L41" t="n">
        <v>0</v>
      </c>
      <c r="M41" t="n">
        <v>1</v>
      </c>
      <c r="N41" t="n">
        <v>0</v>
      </c>
      <c r="O41" t="n">
        <v>0</v>
      </c>
      <c r="P41" t="n">
        <v>0</v>
      </c>
      <c r="Q41" t="n">
        <v>1</v>
      </c>
      <c r="R41" t="n">
        <v>1</v>
      </c>
      <c r="S41" t="n">
        <v>1</v>
      </c>
      <c r="T41" t="n">
        <v>1</v>
      </c>
      <c r="U41" t="n">
        <v>0</v>
      </c>
      <c r="V41" s="2" t="inlineStr">
        <is>
          <t>Knärot</t>
        </is>
      </c>
      <c r="W41">
        <f>HYPERLINK("https://klasma.github.io/Logging_2082/artfynd/A 21120-2026 artfynd.xlsx", "A 21120-2026")</f>
        <v/>
      </c>
      <c r="X41">
        <f>HYPERLINK("https://klasma.github.io/Logging_2082/kartor/A 21120-2026 karta.png", "A 21120-2026")</f>
        <v/>
      </c>
      <c r="Y41">
        <f>HYPERLINK("https://klasma.github.io/Logging_2082/kartor_geotiff/A 21120-2026 georefererad karta.tif", "A 21120-2026")</f>
        <v/>
      </c>
      <c r="Z41">
        <f>HYPERLINK("https://klasma.github.io/Logging_2082/knärot/A 21120-2026 karta knärot.png", "A 21120-2026")</f>
        <v/>
      </c>
      <c r="AA41">
        <f>HYPERLINK("https://klasma.github.io/Logging_2082/klagomål/A 21120-2026 FSC-klagomål.docx", "A 21120-2026")</f>
        <v/>
      </c>
      <c r="AB41">
        <f>HYPERLINK("https://klasma.github.io/Logging_2082/klagomålsmail/A 21120-2026 FSC-klagomål mail.docx", "A 21120-2026")</f>
        <v/>
      </c>
      <c r="AC41">
        <f>HYPERLINK("https://klasma.github.io/Logging_2082/tillsyn/A 21120-2026 tillsynsbegäran.docx", "A 21120-2026")</f>
        <v/>
      </c>
      <c r="AD41">
        <f>HYPERLINK("https://klasma.github.io/Logging_2082/tillsynsmail/A 21120-2026 tillsynsbegäran mail.docx", "A 21120-2026")</f>
        <v/>
      </c>
    </row>
    <row r="42" ht="15" customHeight="1">
      <c r="A42" t="inlineStr">
        <is>
          <t>A 33605-2022</t>
        </is>
      </c>
      <c r="B42" t="inlineStr">
        <is>
          <t>avverkningsanmälan</t>
        </is>
      </c>
      <c r="C42" t="inlineStr">
        <is>
          <t>Föryngringsavverkning</t>
        </is>
      </c>
      <c r="D42" s="1" t="n">
        <v>44789</v>
      </c>
      <c r="E42" s="1" t="n">
        <v>46232</v>
      </c>
      <c r="F42" t="inlineStr">
        <is>
          <t>DALARNAS LÄN</t>
        </is>
      </c>
      <c r="G42" t="inlineStr">
        <is>
          <t>SÄTER</t>
        </is>
      </c>
      <c r="I42" t="n">
        <v>1.2</v>
      </c>
      <c r="J42" t="n">
        <v>0</v>
      </c>
      <c r="K42" t="n">
        <v>0</v>
      </c>
      <c r="L42" t="n">
        <v>1</v>
      </c>
      <c r="M42" t="n">
        <v>0</v>
      </c>
      <c r="N42" t="n">
        <v>0</v>
      </c>
      <c r="O42" t="n">
        <v>0</v>
      </c>
      <c r="P42" t="n">
        <v>0</v>
      </c>
      <c r="Q42" t="n">
        <v>1</v>
      </c>
      <c r="R42" t="n">
        <v>0</v>
      </c>
      <c r="S42" t="n">
        <v>1</v>
      </c>
      <c r="T42" t="n">
        <v>1</v>
      </c>
      <c r="U42" t="n">
        <v>1</v>
      </c>
      <c r="V42" s="2" t="inlineStr">
        <is>
          <t>Ullticka</t>
        </is>
      </c>
      <c r="W42">
        <f>HYPERLINK("https://klasma.github.io/Logging_2082/artfynd/A 33605-2022 artfynd.xlsx", "A 33605-2022")</f>
        <v/>
      </c>
      <c r="X42">
        <f>HYPERLINK("https://klasma.github.io/Logging_2082/kartor/A 33605-2022 karta.png", "A 33605-2022")</f>
        <v/>
      </c>
      <c r="Y42">
        <f>HYPERLINK("https://klasma.github.io/Logging_2082/kartor_geotiff/A 33605-2022 georefererad karta.tif", "A 33605-2022")</f>
        <v/>
      </c>
      <c r="AA42">
        <f>HYPERLINK("https://klasma.github.io/Logging_2082/klagomål/A 33605-2022 FSC-klagomål.docx", "A 33605-2022")</f>
        <v/>
      </c>
      <c r="AB42">
        <f>HYPERLINK("https://klasma.github.io/Logging_2082/klagomålsmail/A 33605-2022 FSC-klagomål mail.docx", "A 33605-2022")</f>
        <v/>
      </c>
      <c r="AC42">
        <f>HYPERLINK("https://klasma.github.io/Logging_2082/tillsyn/A 33605-2022 tillsynsbegäran.docx", "A 33605-2022")</f>
        <v/>
      </c>
      <c r="AD42">
        <f>HYPERLINK("https://klasma.github.io/Logging_2082/tillsynsmail/A 33605-2022 tillsynsbegäran mail.docx", "A 33605-2022")</f>
        <v/>
      </c>
    </row>
    <row r="43" ht="15" customHeight="1">
      <c r="A43" t="inlineStr">
        <is>
          <t>A 47064-2021</t>
        </is>
      </c>
      <c r="B43" t="inlineStr">
        <is>
          <t>avverkningsanmälan</t>
        </is>
      </c>
      <c r="C43" t="inlineStr">
        <is>
          <t>Föryngringsavverkning</t>
        </is>
      </c>
      <c r="D43" s="1" t="n">
        <v>44446</v>
      </c>
      <c r="E43" s="1" t="n">
        <v>46232</v>
      </c>
      <c r="F43" t="inlineStr">
        <is>
          <t>DALARNAS LÄN</t>
        </is>
      </c>
      <c r="G43" t="inlineStr">
        <is>
          <t>SÄTER</t>
        </is>
      </c>
      <c r="I43" t="n">
        <v>2.9</v>
      </c>
      <c r="J43" t="n">
        <v>1</v>
      </c>
      <c r="K43" t="n">
        <v>0</v>
      </c>
      <c r="L43" t="n">
        <v>1</v>
      </c>
      <c r="M43" t="n">
        <v>0</v>
      </c>
      <c r="N43" t="n">
        <v>0</v>
      </c>
      <c r="O43" t="n">
        <v>0</v>
      </c>
      <c r="P43" t="n">
        <v>0</v>
      </c>
      <c r="Q43" t="n">
        <v>1</v>
      </c>
      <c r="R43" t="n">
        <v>0</v>
      </c>
      <c r="S43" t="n">
        <v>1</v>
      </c>
      <c r="T43" t="n">
        <v>1</v>
      </c>
      <c r="U43" t="n">
        <v>1</v>
      </c>
      <c r="V43" s="2" t="inlineStr">
        <is>
          <t>Sädesärla</t>
        </is>
      </c>
      <c r="W43">
        <f>HYPERLINK("https://klasma.github.io/Logging_2082/artfynd/A 47064-2021 artfynd.xlsx", "A 47064-2021")</f>
        <v/>
      </c>
      <c r="X43">
        <f>HYPERLINK("https://klasma.github.io/Logging_2082/kartor/A 47064-2021 karta.png", "A 47064-2021")</f>
        <v/>
      </c>
      <c r="Y43">
        <f>HYPERLINK("https://klasma.github.io/Logging_2082/kartor_geotiff/A 47064-2021 georefererad karta.tif", "A 47064-2021")</f>
        <v/>
      </c>
      <c r="AA43">
        <f>HYPERLINK("https://klasma.github.io/Logging_2082/klagomål/A 47064-2021 FSC-klagomål.docx", "A 47064-2021")</f>
        <v/>
      </c>
      <c r="AB43">
        <f>HYPERLINK("https://klasma.github.io/Logging_2082/klagomålsmail/A 47064-2021 FSC-klagomål mail.docx", "A 47064-2021")</f>
        <v/>
      </c>
      <c r="AC43">
        <f>HYPERLINK("https://klasma.github.io/Logging_2082/tillsyn/A 47064-2021 tillsynsbegäran.docx", "A 47064-2021")</f>
        <v/>
      </c>
      <c r="AD43">
        <f>HYPERLINK("https://klasma.github.io/Logging_2082/tillsynsmail/A 47064-2021 tillsynsbegäran mail.docx", "A 47064-2021")</f>
        <v/>
      </c>
      <c r="AE43">
        <f>HYPERLINK("https://klasma.github.io/Logging_2082/fåglar/A 47064-2021 prioriterade fågelarter.docx", "A 47064-2021")</f>
        <v/>
      </c>
    </row>
    <row r="44" ht="15" customHeight="1">
      <c r="A44" t="inlineStr">
        <is>
          <t>A 68448-2021</t>
        </is>
      </c>
      <c r="B44" t="inlineStr">
        <is>
          <t>avverkningsanmälan</t>
        </is>
      </c>
      <c r="C44" t="inlineStr">
        <is>
          <t>Föryngringsavverkning</t>
        </is>
      </c>
      <c r="D44" s="1" t="n">
        <v>44529</v>
      </c>
      <c r="E44" s="1" t="n">
        <v>46232</v>
      </c>
      <c r="F44" t="inlineStr">
        <is>
          <t>DALARNAS LÄN</t>
        </is>
      </c>
      <c r="G44" t="inlineStr">
        <is>
          <t>SÄTER</t>
        </is>
      </c>
      <c r="I44" t="n">
        <v>1.4</v>
      </c>
      <c r="J44" t="n">
        <v>1</v>
      </c>
      <c r="K44" t="n">
        <v>0</v>
      </c>
      <c r="L44" t="n">
        <v>0</v>
      </c>
      <c r="M44" t="n">
        <v>1</v>
      </c>
      <c r="N44" t="n">
        <v>0</v>
      </c>
      <c r="O44" t="n">
        <v>0</v>
      </c>
      <c r="P44" t="n">
        <v>0</v>
      </c>
      <c r="Q44" t="n">
        <v>1</v>
      </c>
      <c r="R44" t="n">
        <v>1</v>
      </c>
      <c r="S44" t="n">
        <v>1</v>
      </c>
      <c r="T44" t="n">
        <v>1</v>
      </c>
      <c r="U44" t="n">
        <v>0</v>
      </c>
      <c r="V44" s="2" t="inlineStr">
        <is>
          <t>Knärot</t>
        </is>
      </c>
      <c r="W44">
        <f>HYPERLINK("https://klasma.github.io/Logging_2082/artfynd/A 68448-2021 artfynd.xlsx", "A 68448-2021")</f>
        <v/>
      </c>
      <c r="X44">
        <f>HYPERLINK("https://klasma.github.io/Logging_2082/kartor/A 68448-2021 karta.png", "A 68448-2021")</f>
        <v/>
      </c>
      <c r="Y44">
        <f>HYPERLINK("https://klasma.github.io/Logging_2082/kartor_geotiff/A 68448-2021 georefererad karta.tif", "A 68448-2021")</f>
        <v/>
      </c>
      <c r="Z44">
        <f>HYPERLINK("https://klasma.github.io/Logging_2082/knärot/A 68448-2021 karta knärot.png", "A 68448-2021")</f>
        <v/>
      </c>
      <c r="AA44">
        <f>HYPERLINK("https://klasma.github.io/Logging_2082/klagomål/A 68448-2021 FSC-klagomål.docx", "A 68448-2021")</f>
        <v/>
      </c>
      <c r="AB44">
        <f>HYPERLINK("https://klasma.github.io/Logging_2082/klagomålsmail/A 68448-2021 FSC-klagomål mail.docx", "A 68448-2021")</f>
        <v/>
      </c>
      <c r="AC44">
        <f>HYPERLINK("https://klasma.github.io/Logging_2082/tillsyn/A 68448-2021 tillsynsbegäran.docx", "A 68448-2021")</f>
        <v/>
      </c>
      <c r="AD44">
        <f>HYPERLINK("https://klasma.github.io/Logging_2082/tillsynsmail/A 68448-2021 tillsynsbegäran mail.docx", "A 68448-2021")</f>
        <v/>
      </c>
    </row>
    <row r="45" ht="15" customHeight="1">
      <c r="A45" t="inlineStr">
        <is>
          <t>A 57427-2022</t>
        </is>
      </c>
      <c r="B45" t="inlineStr">
        <is>
          <t>avverkningsanmälan</t>
        </is>
      </c>
      <c r="C45" t="inlineStr">
        <is>
          <t>Föryngringsavverkning</t>
        </is>
      </c>
      <c r="D45" s="1" t="n">
        <v>44896</v>
      </c>
      <c r="E45" s="1" t="n">
        <v>46232</v>
      </c>
      <c r="F45" t="inlineStr">
        <is>
          <t>DALARNAS LÄN</t>
        </is>
      </c>
      <c r="G45" t="inlineStr">
        <is>
          <t>SÄTER</t>
        </is>
      </c>
      <c r="I45" t="n">
        <v>3.3</v>
      </c>
      <c r="J45" t="n">
        <v>0</v>
      </c>
      <c r="K45" t="n">
        <v>0</v>
      </c>
      <c r="L45" t="n">
        <v>1</v>
      </c>
      <c r="M45" t="n">
        <v>0</v>
      </c>
      <c r="N45" t="n">
        <v>0</v>
      </c>
      <c r="O45" t="n">
        <v>0</v>
      </c>
      <c r="P45" t="n">
        <v>0</v>
      </c>
      <c r="Q45" t="n">
        <v>1</v>
      </c>
      <c r="R45" t="n">
        <v>0</v>
      </c>
      <c r="S45" t="n">
        <v>1</v>
      </c>
      <c r="T45" t="n">
        <v>1</v>
      </c>
      <c r="U45" t="n">
        <v>0</v>
      </c>
      <c r="V45" s="2" t="inlineStr">
        <is>
          <t>Dropptaggsvamp</t>
        </is>
      </c>
      <c r="W45">
        <f>HYPERLINK("https://klasma.github.io/Logging_2082/artfynd/A 57427-2022 artfynd.xlsx", "A 57427-2022")</f>
        <v/>
      </c>
      <c r="X45">
        <f>HYPERLINK("https://klasma.github.io/Logging_2082/kartor/A 57427-2022 karta.png", "A 57427-2022")</f>
        <v/>
      </c>
      <c r="Y45">
        <f>HYPERLINK("https://klasma.github.io/Logging_2082/kartor_geotiff/A 57427-2022 georefererad karta.tif", "A 57427-2022")</f>
        <v/>
      </c>
      <c r="AA45">
        <f>HYPERLINK("https://klasma.github.io/Logging_2082/klagomål/A 57427-2022 FSC-klagomål.docx", "A 57427-2022")</f>
        <v/>
      </c>
      <c r="AB45">
        <f>HYPERLINK("https://klasma.github.io/Logging_2082/klagomålsmail/A 57427-2022 FSC-klagomål mail.docx", "A 57427-2022")</f>
        <v/>
      </c>
      <c r="AC45">
        <f>HYPERLINK("https://klasma.github.io/Logging_2082/tillsyn/A 57427-2022 tillsynsbegäran.docx", "A 57427-2022")</f>
        <v/>
      </c>
      <c r="AD45">
        <f>HYPERLINK("https://klasma.github.io/Logging_2082/tillsynsmail/A 57427-2022 tillsynsbegäran mail.docx", "A 57427-2022")</f>
        <v/>
      </c>
    </row>
    <row r="46" ht="15" customHeight="1">
      <c r="A46" t="inlineStr">
        <is>
          <t>A 5232-2022</t>
        </is>
      </c>
      <c r="B46" t="inlineStr">
        <is>
          <t>avverkningsanmälan</t>
        </is>
      </c>
      <c r="C46" t="inlineStr">
        <is>
          <t>Föryngringsavverkning</t>
        </is>
      </c>
      <c r="D46" s="1" t="n">
        <v>44594</v>
      </c>
      <c r="E46" s="1" t="n">
        <v>46232</v>
      </c>
      <c r="F46" t="inlineStr">
        <is>
          <t>DALARNAS LÄN</t>
        </is>
      </c>
      <c r="G46" t="inlineStr">
        <is>
          <t>SÄTER</t>
        </is>
      </c>
      <c r="I46" t="n">
        <v>2.5</v>
      </c>
      <c r="J46" t="n">
        <v>1</v>
      </c>
      <c r="K46" t="n">
        <v>1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t="n">
        <v>0</v>
      </c>
      <c r="S46" t="n">
        <v>1</v>
      </c>
      <c r="T46" t="n">
        <v>1</v>
      </c>
      <c r="U46" t="n">
        <v>0</v>
      </c>
      <c r="V46" s="2" t="inlineStr">
        <is>
          <t>Tvåblad</t>
        </is>
      </c>
      <c r="W46">
        <f>HYPERLINK("https://klasma.github.io/Logging_2082/artfynd/A 5232-2022 artfynd.xlsx", "A 5232-2022")</f>
        <v/>
      </c>
      <c r="X46">
        <f>HYPERLINK("https://klasma.github.io/Logging_2082/kartor/A 5232-2022 karta.png", "A 5232-2022")</f>
        <v/>
      </c>
      <c r="Y46">
        <f>HYPERLINK("https://klasma.github.io/Logging_2082/kartor_geotiff/A 5232-2022 georefererad karta.tif", "A 5232-2022")</f>
        <v/>
      </c>
      <c r="AA46">
        <f>HYPERLINK("https://klasma.github.io/Logging_2082/klagomål/A 5232-2022 FSC-klagomål.docx", "A 5232-2022")</f>
        <v/>
      </c>
      <c r="AB46">
        <f>HYPERLINK("https://klasma.github.io/Logging_2082/klagomålsmail/A 5232-2022 FSC-klagomål mail.docx", "A 5232-2022")</f>
        <v/>
      </c>
      <c r="AC46">
        <f>HYPERLINK("https://klasma.github.io/Logging_2082/tillsyn/A 5232-2022 tillsynsbegäran.docx", "A 5232-2022")</f>
        <v/>
      </c>
      <c r="AD46">
        <f>HYPERLINK("https://klasma.github.io/Logging_2082/tillsynsmail/A 5232-2022 tillsynsbegäran mail.docx", "A 5232-2022")</f>
        <v/>
      </c>
    </row>
    <row r="47" ht="15" customHeight="1">
      <c r="A47" t="inlineStr">
        <is>
          <t>S 4834-2022</t>
        </is>
      </c>
      <c r="B47" t="inlineStr">
        <is>
          <t>samrådsanmälan</t>
        </is>
      </c>
      <c r="C47" t="inlineStr">
        <is>
          <t>Annan skogsbruksåtgärd</t>
        </is>
      </c>
      <c r="D47" s="1" t="n">
        <v>44804</v>
      </c>
      <c r="E47" s="1" t="n">
        <v>46232</v>
      </c>
      <c r="F47" t="inlineStr">
        <is>
          <t>DALARNAS LÄN</t>
        </is>
      </c>
      <c r="G47" t="inlineStr">
        <is>
          <t>SÄTER</t>
        </is>
      </c>
      <c r="I47" t="n">
        <v>0.5</v>
      </c>
      <c r="J47" t="n">
        <v>1</v>
      </c>
      <c r="K47" t="n">
        <v>0</v>
      </c>
      <c r="L47" t="n">
        <v>0</v>
      </c>
      <c r="M47" t="n">
        <v>1</v>
      </c>
      <c r="N47" t="n">
        <v>0</v>
      </c>
      <c r="O47" t="n">
        <v>0</v>
      </c>
      <c r="P47" t="n">
        <v>0</v>
      </c>
      <c r="Q47" t="n">
        <v>1</v>
      </c>
      <c r="R47" t="n">
        <v>1</v>
      </c>
      <c r="S47" t="n">
        <v>1</v>
      </c>
      <c r="T47" t="n">
        <v>3</v>
      </c>
      <c r="U47" t="n">
        <v>0</v>
      </c>
      <c r="V47" s="2" t="inlineStr">
        <is>
          <t>Knärot</t>
        </is>
      </c>
      <c r="W47">
        <f>HYPERLINK("https://klasma.github.io/Logging_2082/artfynd/S 4834-2022 artfynd.xlsx", "S 4834-2022")</f>
        <v/>
      </c>
      <c r="X47">
        <f>HYPERLINK("https://klasma.github.io/Logging_2082/kartor/S 4834-2022 karta.png", "S 4834-2022")</f>
        <v/>
      </c>
      <c r="Y47">
        <f>HYPERLINK("https://klasma.github.io/Logging_2082/kartor_geotiff/S 4834-2022 georefererad karta.tif", "S 4834-2022")</f>
        <v/>
      </c>
      <c r="Z47">
        <f>HYPERLINK("https://klasma.github.io/Logging_2082/knärot/S 4834-2022 karta knärot.png", "S 4834-2022")</f>
        <v/>
      </c>
      <c r="AA47">
        <f>HYPERLINK("https://klasma.github.io/Logging_2082/klagomål/S 4834-2022 FSC-klagomål.docx", "S 4834-2022")</f>
        <v/>
      </c>
      <c r="AB47">
        <f>HYPERLINK("https://klasma.github.io/Logging_2082/klagomålsmail/S 4834-2022 FSC-klagomål mail.docx", "S 4834-2022")</f>
        <v/>
      </c>
      <c r="AC47">
        <f>HYPERLINK("https://klasma.github.io/Logging_2082/tillsyn/S 4834-2022 tillsynsbegäran.docx", "S 4834-2022")</f>
        <v/>
      </c>
      <c r="AD47">
        <f>HYPERLINK("https://klasma.github.io/Logging_2082/tillsynsmail/S 4834-2022 tillsynsbegäran mail.docx", "S 4834-2022")</f>
        <v/>
      </c>
    </row>
    <row r="48" ht="15" customHeight="1">
      <c r="A48" t="inlineStr">
        <is>
          <t>S 2622-2023</t>
        </is>
      </c>
      <c r="B48" t="inlineStr">
        <is>
          <t>samrådsanmälan</t>
        </is>
      </c>
      <c r="C48" t="inlineStr">
        <is>
          <t>Askåterföring</t>
        </is>
      </c>
      <c r="D48" s="1" t="n">
        <v>45147</v>
      </c>
      <c r="E48" s="1" t="n">
        <v>46232</v>
      </c>
      <c r="F48" t="inlineStr">
        <is>
          <t>DALARNAS LÄN</t>
        </is>
      </c>
      <c r="G48" t="inlineStr">
        <is>
          <t>SÄTER</t>
        </is>
      </c>
      <c r="H48" t="inlineStr">
        <is>
          <t>Kommuner</t>
        </is>
      </c>
      <c r="I48" t="n">
        <v>46.1</v>
      </c>
      <c r="J48" t="n">
        <v>1</v>
      </c>
      <c r="K48" t="n">
        <v>0</v>
      </c>
      <c r="L48" t="n">
        <v>0</v>
      </c>
      <c r="M48" t="n">
        <v>1</v>
      </c>
      <c r="N48" t="n">
        <v>0</v>
      </c>
      <c r="O48" t="n">
        <v>0</v>
      </c>
      <c r="P48" t="n">
        <v>0</v>
      </c>
      <c r="Q48" t="n">
        <v>1</v>
      </c>
      <c r="R48" t="n">
        <v>1</v>
      </c>
      <c r="S48" t="n">
        <v>1</v>
      </c>
      <c r="T48" t="n">
        <v>2</v>
      </c>
      <c r="U48" t="n">
        <v>0</v>
      </c>
      <c r="V48" s="2" t="inlineStr">
        <is>
          <t>Knärot</t>
        </is>
      </c>
      <c r="W48">
        <f>HYPERLINK("https://klasma.github.io/Logging_2082/artfynd/S 2622-2023 artfynd.xlsx", "S 2622-2023")</f>
        <v/>
      </c>
      <c r="X48">
        <f>HYPERLINK("https://klasma.github.io/Logging_2082/kartor/S 2622-2023 karta.png", "S 2622-2023")</f>
        <v/>
      </c>
      <c r="Y48">
        <f>HYPERLINK("https://klasma.github.io/Logging_2082/kartor_geotiff/S 2622-2023 georefererad karta.tif", "S 2622-2023")</f>
        <v/>
      </c>
      <c r="Z48">
        <f>HYPERLINK("https://klasma.github.io/Logging_2082/knärot/S 2622-2023 karta knärot.png", "S 2622-2023")</f>
        <v/>
      </c>
      <c r="AA48">
        <f>HYPERLINK("https://klasma.github.io/Logging_2082/klagomål/S 2622-2023 FSC-klagomål.docx", "S 2622-2023")</f>
        <v/>
      </c>
      <c r="AB48">
        <f>HYPERLINK("https://klasma.github.io/Logging_2082/klagomålsmail/S 2622-2023 FSC-klagomål mail.docx", "S 2622-2023")</f>
        <v/>
      </c>
      <c r="AC48">
        <f>HYPERLINK("https://klasma.github.io/Logging_2082/tillsyn/S 2622-2023 tillsynsbegäran.docx", "S 2622-2023")</f>
        <v/>
      </c>
      <c r="AD48">
        <f>HYPERLINK("https://klasma.github.io/Logging_2082/tillsynsmail/S 2622-2023 tillsynsbegäran mail.docx", "S 2622-2023")</f>
        <v/>
      </c>
    </row>
    <row r="49" ht="15" customHeight="1">
      <c r="A49" t="inlineStr">
        <is>
          <t>A 49563-2021</t>
        </is>
      </c>
      <c r="B49" t="inlineStr">
        <is>
          <t>avverkningsanmälan</t>
        </is>
      </c>
      <c r="C49" t="inlineStr">
        <is>
          <t>Föryngringsavverkning</t>
        </is>
      </c>
      <c r="D49" s="1" t="n">
        <v>44455</v>
      </c>
      <c r="E49" s="1" t="n">
        <v>46232</v>
      </c>
      <c r="F49" t="inlineStr">
        <is>
          <t>DALARNAS LÄN</t>
        </is>
      </c>
      <c r="G49" t="inlineStr">
        <is>
          <t>SÄTER</t>
        </is>
      </c>
      <c r="I49" t="n">
        <v>1.2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t="n">
        <v>0</v>
      </c>
      <c r="S49" t="n">
        <v>0</v>
      </c>
      <c r="T49" t="n">
        <v>0</v>
      </c>
      <c r="U49" t="n">
        <v>0</v>
      </c>
      <c r="V49" s="2" t="inlineStr"/>
    </row>
    <row r="50" ht="15" customHeight="1">
      <c r="A50" t="inlineStr">
        <is>
          <t>A 47854-2021</t>
        </is>
      </c>
      <c r="B50" t="inlineStr">
        <is>
          <t>avverkningsanmälan</t>
        </is>
      </c>
      <c r="C50" t="inlineStr">
        <is>
          <t>Föryngringsavverkning</t>
        </is>
      </c>
      <c r="D50" s="1" t="n">
        <v>44448</v>
      </c>
      <c r="E50" s="1" t="n">
        <v>46232</v>
      </c>
      <c r="F50" t="inlineStr">
        <is>
          <t>DALARNAS LÄN</t>
        </is>
      </c>
      <c r="G50" t="inlineStr">
        <is>
          <t>SÄTER</t>
        </is>
      </c>
      <c r="I50" t="n">
        <v>0.7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t="n">
        <v>0</v>
      </c>
      <c r="S50" t="n">
        <v>0</v>
      </c>
      <c r="T50" t="n">
        <v>0</v>
      </c>
      <c r="U50" t="n">
        <v>0</v>
      </c>
      <c r="V50" s="2" t="inlineStr"/>
    </row>
    <row r="51" ht="15" customHeight="1">
      <c r="A51" t="inlineStr">
        <is>
          <t>A 45935-2022</t>
        </is>
      </c>
      <c r="B51" t="inlineStr">
        <is>
          <t>avverkningsanmälan</t>
        </is>
      </c>
      <c r="C51" t="inlineStr">
        <is>
          <t>Föryngringsavverkning</t>
        </is>
      </c>
      <c r="D51" s="1" t="n">
        <v>44846</v>
      </c>
      <c r="E51" s="1" t="n">
        <v>46232</v>
      </c>
      <c r="F51" t="inlineStr">
        <is>
          <t>DALARNAS LÄN</t>
        </is>
      </c>
      <c r="G51" t="inlineStr">
        <is>
          <t>SÄTER</t>
        </is>
      </c>
      <c r="I51" t="n">
        <v>8.5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t="n">
        <v>0</v>
      </c>
      <c r="S51" t="n">
        <v>0</v>
      </c>
      <c r="T51" t="n">
        <v>0</v>
      </c>
      <c r="U51" t="n">
        <v>0</v>
      </c>
      <c r="V51" s="2" t="inlineStr"/>
    </row>
    <row r="52" ht="15" customHeight="1">
      <c r="A52" t="inlineStr">
        <is>
          <t>A 26503-2022</t>
        </is>
      </c>
      <c r="B52" t="inlineStr">
        <is>
          <t>avverkningsanmälan</t>
        </is>
      </c>
      <c r="C52" t="inlineStr">
        <is>
          <t>Föryngringsavverkning</t>
        </is>
      </c>
      <c r="D52" s="1" t="n">
        <v>44739</v>
      </c>
      <c r="E52" s="1" t="n">
        <v>46232</v>
      </c>
      <c r="F52" t="inlineStr">
        <is>
          <t>DALARNAS LÄN</t>
        </is>
      </c>
      <c r="G52" t="inlineStr">
        <is>
          <t>SÄTER</t>
        </is>
      </c>
      <c r="I52" t="n">
        <v>1.4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t="n">
        <v>0</v>
      </c>
      <c r="S52" t="n">
        <v>0</v>
      </c>
      <c r="T52" t="n">
        <v>0</v>
      </c>
      <c r="U52" t="n">
        <v>0</v>
      </c>
      <c r="V52" s="2" t="inlineStr"/>
    </row>
    <row r="53" ht="15" customHeight="1">
      <c r="A53" t="inlineStr">
        <is>
          <t>A 24204-2022</t>
        </is>
      </c>
      <c r="B53" t="inlineStr">
        <is>
          <t>avverkningsanmälan</t>
        </is>
      </c>
      <c r="C53" t="inlineStr">
        <is>
          <t>Föryngringsavverkning</t>
        </is>
      </c>
      <c r="D53" s="1" t="n">
        <v>44725</v>
      </c>
      <c r="E53" s="1" t="n">
        <v>46232</v>
      </c>
      <c r="F53" t="inlineStr">
        <is>
          <t>DALARNAS LÄN</t>
        </is>
      </c>
      <c r="G53" t="inlineStr">
        <is>
          <t>SÄTER</t>
        </is>
      </c>
      <c r="H53" t="inlineStr">
        <is>
          <t>Bergvik skog väst AB</t>
        </is>
      </c>
      <c r="I53" t="n">
        <v>0.6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t="n">
        <v>0</v>
      </c>
      <c r="S53" t="n">
        <v>0</v>
      </c>
      <c r="T53" t="n">
        <v>0</v>
      </c>
      <c r="U53" t="n">
        <v>0</v>
      </c>
      <c r="V53" s="2" t="inlineStr"/>
    </row>
    <row r="54" ht="15" customHeight="1">
      <c r="A54" t="inlineStr">
        <is>
          <t>A 49883-2022</t>
        </is>
      </c>
      <c r="B54" t="inlineStr">
        <is>
          <t>avverkningsanmälan</t>
        </is>
      </c>
      <c r="C54" t="inlineStr">
        <is>
          <t>Föryngringsavverkning</t>
        </is>
      </c>
      <c r="D54" s="1" t="n">
        <v>44864</v>
      </c>
      <c r="E54" s="1" t="n">
        <v>46232</v>
      </c>
      <c r="F54" t="inlineStr">
        <is>
          <t>DALARNAS LÄN</t>
        </is>
      </c>
      <c r="G54" t="inlineStr">
        <is>
          <t>SÄTER</t>
        </is>
      </c>
      <c r="I54" t="n">
        <v>1.2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t="n">
        <v>0</v>
      </c>
      <c r="S54" t="n">
        <v>0</v>
      </c>
      <c r="T54" t="n">
        <v>0</v>
      </c>
      <c r="U54" t="n">
        <v>0</v>
      </c>
      <c r="V54" s="2" t="inlineStr"/>
    </row>
    <row r="55" ht="15" customHeight="1">
      <c r="A55" t="inlineStr">
        <is>
          <t>A 52262-2021</t>
        </is>
      </c>
      <c r="B55" t="inlineStr">
        <is>
          <t>avverkningsanmälan</t>
        </is>
      </c>
      <c r="C55" t="inlineStr">
        <is>
          <t>Föryngringsavverkning</t>
        </is>
      </c>
      <c r="D55" s="1" t="n">
        <v>44463</v>
      </c>
      <c r="E55" s="1" t="n">
        <v>46232</v>
      </c>
      <c r="F55" t="inlineStr">
        <is>
          <t>DALARNAS LÄN</t>
        </is>
      </c>
      <c r="G55" t="inlineStr">
        <is>
          <t>SÄTER</t>
        </is>
      </c>
      <c r="H55" t="inlineStr">
        <is>
          <t>Bergvik skog väst AB</t>
        </is>
      </c>
      <c r="I55" t="n">
        <v>2.1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t="n">
        <v>0</v>
      </c>
      <c r="S55" t="n">
        <v>0</v>
      </c>
      <c r="T55" t="n">
        <v>0</v>
      </c>
      <c r="U55" t="n">
        <v>0</v>
      </c>
      <c r="V55" s="2" t="inlineStr"/>
    </row>
    <row r="56" ht="15" customHeight="1">
      <c r="A56" t="inlineStr">
        <is>
          <t>A 41573-2021</t>
        </is>
      </c>
      <c r="B56" t="inlineStr">
        <is>
          <t>avverkningsanmälan</t>
        </is>
      </c>
      <c r="C56" t="inlineStr">
        <is>
          <t>Föryngringsavverkning</t>
        </is>
      </c>
      <c r="D56" s="1" t="n">
        <v>44425</v>
      </c>
      <c r="E56" s="1" t="n">
        <v>46232</v>
      </c>
      <c r="F56" t="inlineStr">
        <is>
          <t>DALARNAS LÄN</t>
        </is>
      </c>
      <c r="G56" t="inlineStr">
        <is>
          <t>SÄTER</t>
        </is>
      </c>
      <c r="I56" t="n">
        <v>0.5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t="n">
        <v>0</v>
      </c>
      <c r="S56" t="n">
        <v>0</v>
      </c>
      <c r="T56" t="n">
        <v>0</v>
      </c>
      <c r="U56" t="n">
        <v>0</v>
      </c>
      <c r="V56" s="2" t="inlineStr"/>
    </row>
    <row r="57" ht="15" customHeight="1">
      <c r="A57" t="inlineStr">
        <is>
          <t>A 72987-2021</t>
        </is>
      </c>
      <c r="B57" t="inlineStr">
        <is>
          <t>avverkningsanmälan</t>
        </is>
      </c>
      <c r="C57" t="inlineStr">
        <is>
          <t>Föryngringsavverkning</t>
        </is>
      </c>
      <c r="D57" s="1" t="n">
        <v>44549</v>
      </c>
      <c r="E57" s="1" t="n">
        <v>46232</v>
      </c>
      <c r="F57" t="inlineStr">
        <is>
          <t>DALARNAS LÄN</t>
        </is>
      </c>
      <c r="G57" t="inlineStr">
        <is>
          <t>SÄTER</t>
        </is>
      </c>
      <c r="I57" t="n">
        <v>1.2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t="n">
        <v>0</v>
      </c>
      <c r="S57" t="n">
        <v>0</v>
      </c>
      <c r="T57" t="n">
        <v>0</v>
      </c>
      <c r="U57" t="n">
        <v>0</v>
      </c>
      <c r="V57" s="2" t="inlineStr"/>
    </row>
    <row r="58" ht="15" customHeight="1">
      <c r="A58" t="inlineStr">
        <is>
          <t>A 65388-2021</t>
        </is>
      </c>
      <c r="B58" t="inlineStr">
        <is>
          <t>avverkningsanmälan</t>
        </is>
      </c>
      <c r="C58" t="inlineStr">
        <is>
          <t>Föryngringsavverkning</t>
        </is>
      </c>
      <c r="D58" s="1" t="n">
        <v>44515</v>
      </c>
      <c r="E58" s="1" t="n">
        <v>46232</v>
      </c>
      <c r="F58" t="inlineStr">
        <is>
          <t>DALARNAS LÄN</t>
        </is>
      </c>
      <c r="G58" t="inlineStr">
        <is>
          <t>SÄTER</t>
        </is>
      </c>
      <c r="I58" t="n">
        <v>0.1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t="n">
        <v>0</v>
      </c>
      <c r="S58" t="n">
        <v>0</v>
      </c>
      <c r="T58" t="n">
        <v>0</v>
      </c>
      <c r="U58" t="n">
        <v>0</v>
      </c>
      <c r="V58" s="2" t="inlineStr"/>
    </row>
    <row r="59" ht="15" customHeight="1">
      <c r="A59" t="inlineStr">
        <is>
          <t>A 64615-2021</t>
        </is>
      </c>
      <c r="B59" t="inlineStr">
        <is>
          <t>avverkningsanmälan</t>
        </is>
      </c>
      <c r="C59" t="inlineStr">
        <is>
          <t>Föryngringsavverkning</t>
        </is>
      </c>
      <c r="D59" s="1" t="n">
        <v>44511</v>
      </c>
      <c r="E59" s="1" t="n">
        <v>46232</v>
      </c>
      <c r="F59" t="inlineStr">
        <is>
          <t>DALARNAS LÄN</t>
        </is>
      </c>
      <c r="G59" t="inlineStr">
        <is>
          <t>SÄTER</t>
        </is>
      </c>
      <c r="I59" t="n">
        <v>1.1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t="n">
        <v>0</v>
      </c>
      <c r="S59" t="n">
        <v>0</v>
      </c>
      <c r="T59" t="n">
        <v>0</v>
      </c>
      <c r="U59" t="n">
        <v>0</v>
      </c>
      <c r="V59" s="2" t="inlineStr"/>
    </row>
    <row r="60" ht="15" customHeight="1">
      <c r="A60" t="inlineStr">
        <is>
          <t>A 26172-2022</t>
        </is>
      </c>
      <c r="B60" t="inlineStr">
        <is>
          <t>avverkningsanmälan</t>
        </is>
      </c>
      <c r="C60" t="inlineStr">
        <is>
          <t>Föryngringsavverkning</t>
        </is>
      </c>
      <c r="D60" s="1" t="n">
        <v>44735</v>
      </c>
      <c r="E60" s="1" t="n">
        <v>46232</v>
      </c>
      <c r="F60" t="inlineStr">
        <is>
          <t>DALARNAS LÄN</t>
        </is>
      </c>
      <c r="G60" t="inlineStr">
        <is>
          <t>SÄTER</t>
        </is>
      </c>
      <c r="I60" t="n">
        <v>1.6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t="n">
        <v>0</v>
      </c>
      <c r="S60" t="n">
        <v>0</v>
      </c>
      <c r="T60" t="n">
        <v>0</v>
      </c>
      <c r="U60" t="n">
        <v>0</v>
      </c>
      <c r="V60" s="2" t="inlineStr"/>
    </row>
    <row r="61" ht="15" customHeight="1">
      <c r="A61" t="inlineStr">
        <is>
          <t>A 39775-2021</t>
        </is>
      </c>
      <c r="B61" t="inlineStr">
        <is>
          <t>avverkningsanmälan</t>
        </is>
      </c>
      <c r="C61" t="inlineStr">
        <is>
          <t>Föryngringsavverkning</t>
        </is>
      </c>
      <c r="D61" s="1" t="n">
        <v>44417</v>
      </c>
      <c r="E61" s="1" t="n">
        <v>46232</v>
      </c>
      <c r="F61" t="inlineStr">
        <is>
          <t>DALARNAS LÄN</t>
        </is>
      </c>
      <c r="G61" t="inlineStr">
        <is>
          <t>SÄTER</t>
        </is>
      </c>
      <c r="I61" t="n">
        <v>0.8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t="n">
        <v>0</v>
      </c>
      <c r="S61" t="n">
        <v>0</v>
      </c>
      <c r="T61" t="n">
        <v>0</v>
      </c>
      <c r="U61" t="n">
        <v>0</v>
      </c>
      <c r="V61" s="2" t="inlineStr"/>
    </row>
    <row r="62" ht="15" customHeight="1">
      <c r="A62" t="inlineStr">
        <is>
          <t>A 18757-2022</t>
        </is>
      </c>
      <c r="B62" t="inlineStr">
        <is>
          <t>avverkningsanmälan</t>
        </is>
      </c>
      <c r="C62" t="inlineStr">
        <is>
          <t>Föryngringsavverkning</t>
        </is>
      </c>
      <c r="D62" s="1" t="n">
        <v>44688</v>
      </c>
      <c r="E62" s="1" t="n">
        <v>46232</v>
      </c>
      <c r="F62" t="inlineStr">
        <is>
          <t>DALARNAS LÄN</t>
        </is>
      </c>
      <c r="G62" t="inlineStr">
        <is>
          <t>SÄTER</t>
        </is>
      </c>
      <c r="H62" t="inlineStr">
        <is>
          <t>Bergvik skog väst AB</t>
        </is>
      </c>
      <c r="I62" t="n">
        <v>0.7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t="n">
        <v>0</v>
      </c>
      <c r="S62" t="n">
        <v>0</v>
      </c>
      <c r="T62" t="n">
        <v>0</v>
      </c>
      <c r="U62" t="n">
        <v>0</v>
      </c>
      <c r="V62" s="2" t="inlineStr"/>
    </row>
    <row r="63" ht="15" customHeight="1">
      <c r="A63" t="inlineStr">
        <is>
          <t>A 72518-2021</t>
        </is>
      </c>
      <c r="B63" t="inlineStr">
        <is>
          <t>avverkningsanmälan</t>
        </is>
      </c>
      <c r="C63" t="inlineStr">
        <is>
          <t>Föryngringsavverkning</t>
        </is>
      </c>
      <c r="D63" s="1" t="n">
        <v>44546</v>
      </c>
      <c r="E63" s="1" t="n">
        <v>46232</v>
      </c>
      <c r="F63" t="inlineStr">
        <is>
          <t>DALARNAS LÄN</t>
        </is>
      </c>
      <c r="G63" t="inlineStr">
        <is>
          <t>SÄTER</t>
        </is>
      </c>
      <c r="I63" t="n">
        <v>3.4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t="n">
        <v>0</v>
      </c>
      <c r="S63" t="n">
        <v>0</v>
      </c>
      <c r="T63" t="n">
        <v>0</v>
      </c>
      <c r="U63" t="n">
        <v>0</v>
      </c>
      <c r="V63" s="2" t="inlineStr"/>
    </row>
    <row r="64" ht="15" customHeight="1">
      <c r="A64" t="inlineStr">
        <is>
          <t>A 24253-2022</t>
        </is>
      </c>
      <c r="B64" t="inlineStr">
        <is>
          <t>avverkningsanmälan</t>
        </is>
      </c>
      <c r="C64" t="inlineStr">
        <is>
          <t>Föryngringsavverkning</t>
        </is>
      </c>
      <c r="D64" s="1" t="n">
        <v>44725</v>
      </c>
      <c r="E64" s="1" t="n">
        <v>46232</v>
      </c>
      <c r="F64" t="inlineStr">
        <is>
          <t>DALARNAS LÄN</t>
        </is>
      </c>
      <c r="G64" t="inlineStr">
        <is>
          <t>SÄTER</t>
        </is>
      </c>
      <c r="I64" t="n">
        <v>0.8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t="n">
        <v>0</v>
      </c>
      <c r="S64" t="n">
        <v>0</v>
      </c>
      <c r="T64" t="n">
        <v>0</v>
      </c>
      <c r="U64" t="n">
        <v>0</v>
      </c>
      <c r="V64" s="2" t="inlineStr"/>
    </row>
    <row r="65" ht="15" customHeight="1">
      <c r="A65" t="inlineStr">
        <is>
          <t>A 62389-2021</t>
        </is>
      </c>
      <c r="B65" t="inlineStr">
        <is>
          <t>avverkningsanmälan</t>
        </is>
      </c>
      <c r="C65" t="inlineStr">
        <is>
          <t>Föryngringsavverkning</t>
        </is>
      </c>
      <c r="D65" s="1" t="n">
        <v>44503</v>
      </c>
      <c r="E65" s="1" t="n">
        <v>46232</v>
      </c>
      <c r="F65" t="inlineStr">
        <is>
          <t>DALARNAS LÄN</t>
        </is>
      </c>
      <c r="G65" t="inlineStr">
        <is>
          <t>SÄTER</t>
        </is>
      </c>
      <c r="H65" t="inlineStr">
        <is>
          <t>Bergvik skog väst AB</t>
        </is>
      </c>
      <c r="I65" t="n">
        <v>1.6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t="n">
        <v>0</v>
      </c>
      <c r="S65" t="n">
        <v>0</v>
      </c>
      <c r="T65" t="n">
        <v>0</v>
      </c>
      <c r="U65" t="n">
        <v>0</v>
      </c>
      <c r="V65" s="2" t="inlineStr"/>
    </row>
    <row r="66" ht="15" customHeight="1">
      <c r="A66" t="inlineStr">
        <is>
          <t>A 61400-2021</t>
        </is>
      </c>
      <c r="B66" t="inlineStr">
        <is>
          <t>avverkningsanmälan</t>
        </is>
      </c>
      <c r="C66" t="inlineStr">
        <is>
          <t>Föryngringsavverkning</t>
        </is>
      </c>
      <c r="D66" s="1" t="n">
        <v>44500</v>
      </c>
      <c r="E66" s="1" t="n">
        <v>46232</v>
      </c>
      <c r="F66" t="inlineStr">
        <is>
          <t>DALARNAS LÄN</t>
        </is>
      </c>
      <c r="G66" t="inlineStr">
        <is>
          <t>SÄTER</t>
        </is>
      </c>
      <c r="I66" t="n">
        <v>0.6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t="n">
        <v>0</v>
      </c>
      <c r="S66" t="n">
        <v>0</v>
      </c>
      <c r="T66" t="n">
        <v>0</v>
      </c>
      <c r="U66" t="n">
        <v>0</v>
      </c>
      <c r="V66" s="2" t="inlineStr"/>
    </row>
    <row r="67" ht="15" customHeight="1">
      <c r="A67" t="inlineStr">
        <is>
          <t>A 61934-2021</t>
        </is>
      </c>
      <c r="B67" t="inlineStr">
        <is>
          <t>avverkningsanmälan</t>
        </is>
      </c>
      <c r="C67" t="inlineStr">
        <is>
          <t>Föryngringsavverkning</t>
        </is>
      </c>
      <c r="D67" s="1" t="n">
        <v>44502</v>
      </c>
      <c r="E67" s="1" t="n">
        <v>46232</v>
      </c>
      <c r="F67" t="inlineStr">
        <is>
          <t>DALARNAS LÄN</t>
        </is>
      </c>
      <c r="G67" t="inlineStr">
        <is>
          <t>SÄTER</t>
        </is>
      </c>
      <c r="H67" t="inlineStr">
        <is>
          <t>Bergvik skog väst AB</t>
        </is>
      </c>
      <c r="I67" t="n">
        <v>5.2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t="n">
        <v>0</v>
      </c>
      <c r="S67" t="n">
        <v>0</v>
      </c>
      <c r="T67" t="n">
        <v>0</v>
      </c>
      <c r="U67" t="n">
        <v>0</v>
      </c>
      <c r="V67" s="2" t="inlineStr"/>
    </row>
    <row r="68" ht="15" customHeight="1">
      <c r="A68" t="inlineStr">
        <is>
          <t>A 6466-2022</t>
        </is>
      </c>
      <c r="B68" t="inlineStr">
        <is>
          <t>avverkningsanmälan</t>
        </is>
      </c>
      <c r="C68" t="inlineStr">
        <is>
          <t>Föryngringsavverkning</t>
        </is>
      </c>
      <c r="D68" s="1" t="n">
        <v>44601</v>
      </c>
      <c r="E68" s="1" t="n">
        <v>46232</v>
      </c>
      <c r="F68" t="inlineStr">
        <is>
          <t>DALARNAS LÄN</t>
        </is>
      </c>
      <c r="G68" t="inlineStr">
        <is>
          <t>SÄTER</t>
        </is>
      </c>
      <c r="I68" t="n">
        <v>0.5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t="n">
        <v>0</v>
      </c>
      <c r="S68" t="n">
        <v>0</v>
      </c>
      <c r="T68" t="n">
        <v>0</v>
      </c>
      <c r="U68" t="n">
        <v>0</v>
      </c>
      <c r="V68" s="2" t="inlineStr"/>
    </row>
    <row r="69" ht="15" customHeight="1">
      <c r="A69" t="inlineStr">
        <is>
          <t>A 46494-2021</t>
        </is>
      </c>
      <c r="B69" t="inlineStr">
        <is>
          <t>avverkningsanmälan</t>
        </is>
      </c>
      <c r="C69" t="inlineStr">
        <is>
          <t>Föryngringsavverkning</t>
        </is>
      </c>
      <c r="D69" s="1" t="n">
        <v>44445</v>
      </c>
      <c r="E69" s="1" t="n">
        <v>46232</v>
      </c>
      <c r="F69" t="inlineStr">
        <is>
          <t>DALARNAS LÄN</t>
        </is>
      </c>
      <c r="G69" t="inlineStr">
        <is>
          <t>SÄTER</t>
        </is>
      </c>
      <c r="I69" t="n">
        <v>0.5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t="n">
        <v>0</v>
      </c>
      <c r="S69" t="n">
        <v>0</v>
      </c>
      <c r="T69" t="n">
        <v>0</v>
      </c>
      <c r="U69" t="n">
        <v>0</v>
      </c>
      <c r="V69" s="2" t="inlineStr"/>
    </row>
    <row r="70" ht="15" customHeight="1">
      <c r="A70" t="inlineStr">
        <is>
          <t>A 52190-2021</t>
        </is>
      </c>
      <c r="B70" t="inlineStr">
        <is>
          <t>avverkningsanmälan</t>
        </is>
      </c>
      <c r="C70" t="inlineStr">
        <is>
          <t>Föryngringsavverkning</t>
        </is>
      </c>
      <c r="D70" s="1" t="n">
        <v>44462</v>
      </c>
      <c r="E70" s="1" t="n">
        <v>46232</v>
      </c>
      <c r="F70" t="inlineStr">
        <is>
          <t>DALARNAS LÄN</t>
        </is>
      </c>
      <c r="G70" t="inlineStr">
        <is>
          <t>SÄTER</t>
        </is>
      </c>
      <c r="H70" t="inlineStr">
        <is>
          <t>Bergvik skog väst AB</t>
        </is>
      </c>
      <c r="I70" t="n">
        <v>2.8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t="n">
        <v>0</v>
      </c>
      <c r="S70" t="n">
        <v>0</v>
      </c>
      <c r="T70" t="n">
        <v>0</v>
      </c>
      <c r="U70" t="n">
        <v>0</v>
      </c>
      <c r="V70" s="2" t="inlineStr"/>
    </row>
    <row r="71" ht="15" customHeight="1">
      <c r="A71" t="inlineStr">
        <is>
          <t>A 59393-2021</t>
        </is>
      </c>
      <c r="B71" t="inlineStr">
        <is>
          <t>avverkningsanmälan</t>
        </is>
      </c>
      <c r="C71" t="inlineStr">
        <is>
          <t>Föryngringsavverkning</t>
        </is>
      </c>
      <c r="D71" s="1" t="n">
        <v>44491</v>
      </c>
      <c r="E71" s="1" t="n">
        <v>46232</v>
      </c>
      <c r="F71" t="inlineStr">
        <is>
          <t>DALARNAS LÄN</t>
        </is>
      </c>
      <c r="G71" t="inlineStr">
        <is>
          <t>SÄTER</t>
        </is>
      </c>
      <c r="I71" t="n">
        <v>0.7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t="n">
        <v>0</v>
      </c>
      <c r="S71" t="n">
        <v>0</v>
      </c>
      <c r="T71" t="n">
        <v>0</v>
      </c>
      <c r="U71" t="n">
        <v>0</v>
      </c>
      <c r="V71" s="2" t="inlineStr"/>
    </row>
    <row r="72" ht="15" customHeight="1">
      <c r="A72" t="inlineStr">
        <is>
          <t>A 22905-2022</t>
        </is>
      </c>
      <c r="B72" t="inlineStr">
        <is>
          <t>avverkningsanmälan</t>
        </is>
      </c>
      <c r="C72" t="inlineStr">
        <is>
          <t>Föryngringsavverkning</t>
        </is>
      </c>
      <c r="D72" s="1" t="n">
        <v>44715</v>
      </c>
      <c r="E72" s="1" t="n">
        <v>46232</v>
      </c>
      <c r="F72" t="inlineStr">
        <is>
          <t>DALARNAS LÄN</t>
        </is>
      </c>
      <c r="G72" t="inlineStr">
        <is>
          <t>SÄTER</t>
        </is>
      </c>
      <c r="H72" t="inlineStr">
        <is>
          <t>Bergvik skog väst AB</t>
        </is>
      </c>
      <c r="I72" t="n">
        <v>0.5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t="n">
        <v>0</v>
      </c>
      <c r="S72" t="n">
        <v>0</v>
      </c>
      <c r="T72" t="n">
        <v>0</v>
      </c>
      <c r="U72" t="n">
        <v>0</v>
      </c>
      <c r="V72" s="2" t="inlineStr"/>
    </row>
    <row r="73" ht="15" customHeight="1">
      <c r="A73" t="inlineStr">
        <is>
          <t>A 13900-2022</t>
        </is>
      </c>
      <c r="B73" t="inlineStr">
        <is>
          <t>avverkningsanmälan</t>
        </is>
      </c>
      <c r="C73" t="inlineStr">
        <is>
          <t>Föryngringsavverkning</t>
        </is>
      </c>
      <c r="D73" s="1" t="n">
        <v>44650</v>
      </c>
      <c r="E73" s="1" t="n">
        <v>46232</v>
      </c>
      <c r="F73" t="inlineStr">
        <is>
          <t>DALARNAS LÄN</t>
        </is>
      </c>
      <c r="G73" t="inlineStr">
        <is>
          <t>SÄTER</t>
        </is>
      </c>
      <c r="I73" t="n">
        <v>1.8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t="n">
        <v>0</v>
      </c>
      <c r="S73" t="n">
        <v>0</v>
      </c>
      <c r="T73" t="n">
        <v>0</v>
      </c>
      <c r="U73" t="n">
        <v>0</v>
      </c>
      <c r="V73" s="2" t="inlineStr"/>
    </row>
    <row r="74" ht="15" customHeight="1">
      <c r="A74" t="inlineStr">
        <is>
          <t>A 28427-2022</t>
        </is>
      </c>
      <c r="B74" t="inlineStr">
        <is>
          <t>avverkningsanmälan</t>
        </is>
      </c>
      <c r="C74" t="inlineStr">
        <is>
          <t>Föryngringsavverkning</t>
        </is>
      </c>
      <c r="D74" s="1" t="n">
        <v>44748</v>
      </c>
      <c r="E74" s="1" t="n">
        <v>46232</v>
      </c>
      <c r="F74" t="inlineStr">
        <is>
          <t>DALARNAS LÄN</t>
        </is>
      </c>
      <c r="G74" t="inlineStr">
        <is>
          <t>SÄTER</t>
        </is>
      </c>
      <c r="I74" t="n">
        <v>0.6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t="n">
        <v>0</v>
      </c>
      <c r="S74" t="n">
        <v>0</v>
      </c>
      <c r="T74" t="n">
        <v>0</v>
      </c>
      <c r="U74" t="n">
        <v>0</v>
      </c>
      <c r="V74" s="2" t="inlineStr"/>
    </row>
    <row r="75" ht="15" customHeight="1">
      <c r="A75" t="inlineStr">
        <is>
          <t>A 38243-2022</t>
        </is>
      </c>
      <c r="B75" t="inlineStr">
        <is>
          <t>avverkningsanmälan</t>
        </is>
      </c>
      <c r="C75" t="inlineStr">
        <is>
          <t>Föryngringsavverkning</t>
        </is>
      </c>
      <c r="D75" s="1" t="n">
        <v>44812</v>
      </c>
      <c r="E75" s="1" t="n">
        <v>46232</v>
      </c>
      <c r="F75" t="inlineStr">
        <is>
          <t>DALARNAS LÄN</t>
        </is>
      </c>
      <c r="G75" t="inlineStr">
        <is>
          <t>SÄTER</t>
        </is>
      </c>
      <c r="I75" t="n">
        <v>0.7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t="n">
        <v>0</v>
      </c>
      <c r="S75" t="n">
        <v>0</v>
      </c>
      <c r="T75" t="n">
        <v>0</v>
      </c>
      <c r="U75" t="n">
        <v>0</v>
      </c>
      <c r="V75" s="2" t="inlineStr"/>
    </row>
    <row r="76" ht="15" customHeight="1">
      <c r="A76" t="inlineStr">
        <is>
          <t>A 1276-2022</t>
        </is>
      </c>
      <c r="B76" t="inlineStr">
        <is>
          <t>avverkningsanmälan</t>
        </is>
      </c>
      <c r="C76" t="inlineStr">
        <is>
          <t>Föryngringsavverkning</t>
        </is>
      </c>
      <c r="D76" s="1" t="n">
        <v>44572</v>
      </c>
      <c r="E76" s="1" t="n">
        <v>46232</v>
      </c>
      <c r="F76" t="inlineStr">
        <is>
          <t>DALARNAS LÄN</t>
        </is>
      </c>
      <c r="G76" t="inlineStr">
        <is>
          <t>SÄTER</t>
        </is>
      </c>
      <c r="I76" t="n">
        <v>1.2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t="n">
        <v>0</v>
      </c>
      <c r="S76" t="n">
        <v>0</v>
      </c>
      <c r="T76" t="n">
        <v>0</v>
      </c>
      <c r="U76" t="n">
        <v>0</v>
      </c>
      <c r="V76" s="2" t="inlineStr"/>
    </row>
    <row r="77" ht="15" customHeight="1">
      <c r="A77" t="inlineStr">
        <is>
          <t>A 63152-2023</t>
        </is>
      </c>
      <c r="B77" t="inlineStr">
        <is>
          <t>avverkningsanmälan</t>
        </is>
      </c>
      <c r="C77" t="inlineStr">
        <is>
          <t>Föryngringsavverkning</t>
        </is>
      </c>
      <c r="D77" s="1" t="n">
        <v>45273</v>
      </c>
      <c r="E77" s="1" t="n">
        <v>46232</v>
      </c>
      <c r="F77" t="inlineStr">
        <is>
          <t>DALARNAS LÄN</t>
        </is>
      </c>
      <c r="G77" t="inlineStr">
        <is>
          <t>SÄTER</t>
        </is>
      </c>
      <c r="I77" t="n">
        <v>1.1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t="n">
        <v>0</v>
      </c>
      <c r="S77" t="n">
        <v>0</v>
      </c>
      <c r="T77" t="n">
        <v>0</v>
      </c>
      <c r="U77" t="n">
        <v>0</v>
      </c>
      <c r="V77" s="2" t="inlineStr"/>
    </row>
    <row r="78" ht="15" customHeight="1">
      <c r="A78" t="inlineStr">
        <is>
          <t>A 24223-2022</t>
        </is>
      </c>
      <c r="B78" t="inlineStr">
        <is>
          <t>avverkningsanmälan</t>
        </is>
      </c>
      <c r="C78" t="inlineStr">
        <is>
          <t>Föryngringsavverkning</t>
        </is>
      </c>
      <c r="D78" s="1" t="n">
        <v>44725</v>
      </c>
      <c r="E78" s="1" t="n">
        <v>46232</v>
      </c>
      <c r="F78" t="inlineStr">
        <is>
          <t>DALARNAS LÄN</t>
        </is>
      </c>
      <c r="G78" t="inlineStr">
        <is>
          <t>SÄTER</t>
        </is>
      </c>
      <c r="I78" t="n">
        <v>2.6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t="n">
        <v>0</v>
      </c>
      <c r="S78" t="n">
        <v>0</v>
      </c>
      <c r="T78" t="n">
        <v>0</v>
      </c>
      <c r="U78" t="n">
        <v>0</v>
      </c>
      <c r="V78" s="2" t="inlineStr"/>
    </row>
    <row r="79" ht="15" customHeight="1">
      <c r="A79" t="inlineStr">
        <is>
          <t>A 11416-2022</t>
        </is>
      </c>
      <c r="B79" t="inlineStr">
        <is>
          <t>avverkningsanmälan</t>
        </is>
      </c>
      <c r="C79" t="inlineStr">
        <is>
          <t>Föryngringsavverkning</t>
        </is>
      </c>
      <c r="D79" s="1" t="n">
        <v>44630</v>
      </c>
      <c r="E79" s="1" t="n">
        <v>46232</v>
      </c>
      <c r="F79" t="inlineStr">
        <is>
          <t>DALARNAS LÄN</t>
        </is>
      </c>
      <c r="G79" t="inlineStr">
        <is>
          <t>SÄTER</t>
        </is>
      </c>
      <c r="I79" t="n">
        <v>10.1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t="n">
        <v>0</v>
      </c>
      <c r="S79" t="n">
        <v>0</v>
      </c>
      <c r="T79" t="n">
        <v>0</v>
      </c>
      <c r="U79" t="n">
        <v>0</v>
      </c>
      <c r="V79" s="2" t="inlineStr"/>
    </row>
    <row r="80" ht="15" customHeight="1">
      <c r="A80" t="inlineStr">
        <is>
          <t>A 50501-2022</t>
        </is>
      </c>
      <c r="B80" t="inlineStr">
        <is>
          <t>avverkningsanmälan</t>
        </is>
      </c>
      <c r="C80" t="inlineStr">
        <is>
          <t>Föryngringsavverkning</t>
        </is>
      </c>
      <c r="D80" s="1" t="n">
        <v>44866</v>
      </c>
      <c r="E80" s="1" t="n">
        <v>46232</v>
      </c>
      <c r="F80" t="inlineStr">
        <is>
          <t>DALARNAS LÄN</t>
        </is>
      </c>
      <c r="G80" t="inlineStr">
        <is>
          <t>SÄTER</t>
        </is>
      </c>
      <c r="I80" t="n">
        <v>1.5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t="n">
        <v>0</v>
      </c>
      <c r="S80" t="n">
        <v>0</v>
      </c>
      <c r="T80" t="n">
        <v>0</v>
      </c>
      <c r="U80" t="n">
        <v>0</v>
      </c>
      <c r="V80" s="2" t="inlineStr"/>
    </row>
    <row r="81" ht="15" customHeight="1">
      <c r="A81" t="inlineStr">
        <is>
          <t>A 51328-2024</t>
        </is>
      </c>
      <c r="B81" t="inlineStr">
        <is>
          <t>avverkningsanmälan</t>
        </is>
      </c>
      <c r="C81" t="inlineStr">
        <is>
          <t>Avverkning för annat ändamål</t>
        </is>
      </c>
      <c r="D81" s="1" t="n">
        <v>45604</v>
      </c>
      <c r="E81" s="1" t="n">
        <v>46232</v>
      </c>
      <c r="F81" t="inlineStr">
        <is>
          <t>DALARNAS LÄN</t>
        </is>
      </c>
      <c r="G81" t="inlineStr">
        <is>
          <t>SÄTER</t>
        </is>
      </c>
      <c r="I81" t="n">
        <v>0.4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t="n">
        <v>0</v>
      </c>
      <c r="S81" t="n">
        <v>0</v>
      </c>
      <c r="T81" t="n">
        <v>0</v>
      </c>
      <c r="U81" t="n">
        <v>0</v>
      </c>
      <c r="V81" s="2" t="inlineStr"/>
    </row>
    <row r="82" ht="15" customHeight="1">
      <c r="A82" t="inlineStr">
        <is>
          <t>A 51339-2024</t>
        </is>
      </c>
      <c r="B82" t="inlineStr">
        <is>
          <t>avverkningsanmälan</t>
        </is>
      </c>
      <c r="C82" t="inlineStr">
        <is>
          <t>Avverkning för annat ändamål</t>
        </is>
      </c>
      <c r="D82" s="1" t="n">
        <v>45604</v>
      </c>
      <c r="E82" s="1" t="n">
        <v>46232</v>
      </c>
      <c r="F82" t="inlineStr">
        <is>
          <t>DALARNAS LÄN</t>
        </is>
      </c>
      <c r="G82" t="inlineStr">
        <is>
          <t>SÄTER</t>
        </is>
      </c>
      <c r="I82" t="n">
        <v>0.1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t="n">
        <v>0</v>
      </c>
      <c r="S82" t="n">
        <v>0</v>
      </c>
      <c r="T82" t="n">
        <v>0</v>
      </c>
      <c r="U82" t="n">
        <v>0</v>
      </c>
      <c r="V82" s="2" t="inlineStr"/>
    </row>
    <row r="83" ht="15" customHeight="1">
      <c r="A83" t="inlineStr">
        <is>
          <t>A 2929-2022</t>
        </is>
      </c>
      <c r="B83" t="inlineStr">
        <is>
          <t>avverkningsanmälan</t>
        </is>
      </c>
      <c r="C83" t="inlineStr">
        <is>
          <t>Föryngringsavverkning</t>
        </is>
      </c>
      <c r="D83" s="1" t="n">
        <v>44581</v>
      </c>
      <c r="E83" s="1" t="n">
        <v>46232</v>
      </c>
      <c r="F83" t="inlineStr">
        <is>
          <t>DALARNAS LÄN</t>
        </is>
      </c>
      <c r="G83" t="inlineStr">
        <is>
          <t>SÄTER</t>
        </is>
      </c>
      <c r="I83" t="n">
        <v>7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t="n">
        <v>0</v>
      </c>
      <c r="S83" t="n">
        <v>0</v>
      </c>
      <c r="T83" t="n">
        <v>0</v>
      </c>
      <c r="U83" t="n">
        <v>0</v>
      </c>
      <c r="V83" s="2" t="inlineStr"/>
    </row>
    <row r="84" ht="15" customHeight="1">
      <c r="A84" t="inlineStr">
        <is>
          <t>A 29833-2023</t>
        </is>
      </c>
      <c r="B84" t="inlineStr">
        <is>
          <t>avverkningsanmälan</t>
        </is>
      </c>
      <c r="C84" t="inlineStr">
        <is>
          <t>Föryngringsavverkning</t>
        </is>
      </c>
      <c r="D84" s="1" t="n">
        <v>45107</v>
      </c>
      <c r="E84" s="1" t="n">
        <v>46232</v>
      </c>
      <c r="F84" t="inlineStr">
        <is>
          <t>DALARNAS LÄN</t>
        </is>
      </c>
      <c r="G84" t="inlineStr">
        <is>
          <t>SÄTER</t>
        </is>
      </c>
      <c r="I84" t="n">
        <v>1.7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t="n">
        <v>0</v>
      </c>
      <c r="S84" t="n">
        <v>0</v>
      </c>
      <c r="T84" t="n">
        <v>0</v>
      </c>
      <c r="U84" t="n">
        <v>0</v>
      </c>
      <c r="V84" s="2" t="inlineStr"/>
    </row>
    <row r="85" ht="15" customHeight="1">
      <c r="A85" t="inlineStr">
        <is>
          <t>A 62368-2023</t>
        </is>
      </c>
      <c r="B85" t="inlineStr">
        <is>
          <t>avverkningsanmälan</t>
        </is>
      </c>
      <c r="C85" t="inlineStr">
        <is>
          <t>Föryngringsavverkning</t>
        </is>
      </c>
      <c r="D85" s="1" t="n">
        <v>45268</v>
      </c>
      <c r="E85" s="1" t="n">
        <v>46232</v>
      </c>
      <c r="F85" t="inlineStr">
        <is>
          <t>DALARNAS LÄN</t>
        </is>
      </c>
      <c r="G85" t="inlineStr">
        <is>
          <t>SÄTER</t>
        </is>
      </c>
      <c r="I85" t="n">
        <v>0.9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t="n">
        <v>0</v>
      </c>
      <c r="S85" t="n">
        <v>0</v>
      </c>
      <c r="T85" t="n">
        <v>0</v>
      </c>
      <c r="U85" t="n">
        <v>0</v>
      </c>
      <c r="V85" s="2" t="inlineStr"/>
    </row>
    <row r="86" ht="15" customHeight="1">
      <c r="A86" t="inlineStr">
        <is>
          <t>A 498-2025</t>
        </is>
      </c>
      <c r="B86" t="inlineStr">
        <is>
          <t>avverkningsanmälan</t>
        </is>
      </c>
      <c r="C86" t="inlineStr">
        <is>
          <t>Föryngringsavverkning</t>
        </is>
      </c>
      <c r="D86" s="1" t="n">
        <v>45664</v>
      </c>
      <c r="E86" s="1" t="n">
        <v>46232</v>
      </c>
      <c r="F86" t="inlineStr">
        <is>
          <t>DALARNAS LÄN</t>
        </is>
      </c>
      <c r="G86" t="inlineStr">
        <is>
          <t>SÄTER</t>
        </is>
      </c>
      <c r="I86" t="n">
        <v>4.5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t="n">
        <v>0</v>
      </c>
      <c r="S86" t="n">
        <v>0</v>
      </c>
      <c r="T86" t="n">
        <v>0</v>
      </c>
      <c r="U86" t="n">
        <v>0</v>
      </c>
      <c r="V86" s="2" t="inlineStr"/>
      <c r="Z86">
        <f>HYPERLINK("https://klasma.github.io/Logging_2082/knärot/A 498-2025 karta knärot.png", "A 498-2025")</f>
        <v/>
      </c>
      <c r="AA86">
        <f>HYPERLINK("https://klasma.github.io/Logging_2082/klagomål/A 498-2025 FSC-klagomål.docx", "A 498-2025")</f>
        <v/>
      </c>
      <c r="AB86">
        <f>HYPERLINK("https://klasma.github.io/Logging_2082/klagomålsmail/A 498-2025 FSC-klagomål mail.docx", "A 498-2025")</f>
        <v/>
      </c>
      <c r="AC86">
        <f>HYPERLINK("https://klasma.github.io/Logging_2082/tillsyn/A 498-2025 tillsynsbegäran.docx", "A 498-2025")</f>
        <v/>
      </c>
      <c r="AD86">
        <f>HYPERLINK("https://klasma.github.io/Logging_2082/tillsynsmail/A 498-2025 tillsynsbegäran mail.docx", "A 498-2025")</f>
        <v/>
      </c>
    </row>
    <row r="87" ht="15" customHeight="1">
      <c r="A87" t="inlineStr">
        <is>
          <t>A 8697-2023</t>
        </is>
      </c>
      <c r="B87" t="inlineStr">
        <is>
          <t>avverkningsanmälan</t>
        </is>
      </c>
      <c r="C87" t="inlineStr">
        <is>
          <t>Föryngringsavverkning</t>
        </is>
      </c>
      <c r="D87" s="1" t="n">
        <v>44978</v>
      </c>
      <c r="E87" s="1" t="n">
        <v>46232</v>
      </c>
      <c r="F87" t="inlineStr">
        <is>
          <t>DALARNAS LÄN</t>
        </is>
      </c>
      <c r="G87" t="inlineStr">
        <is>
          <t>SÄTER</t>
        </is>
      </c>
      <c r="I87" t="n">
        <v>2.5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t="n">
        <v>0</v>
      </c>
      <c r="S87" t="n">
        <v>0</v>
      </c>
      <c r="T87" t="n">
        <v>0</v>
      </c>
      <c r="U87" t="n">
        <v>0</v>
      </c>
      <c r="V87" s="2" t="inlineStr"/>
    </row>
    <row r="88" ht="15" customHeight="1">
      <c r="A88" t="inlineStr">
        <is>
          <t>A 41961-2024</t>
        </is>
      </c>
      <c r="B88" t="inlineStr">
        <is>
          <t>avverkningsanmälan</t>
        </is>
      </c>
      <c r="C88" t="inlineStr">
        <is>
          <t>Föryngringsavverkning</t>
        </is>
      </c>
      <c r="D88" s="1" t="n">
        <v>45561</v>
      </c>
      <c r="E88" s="1" t="n">
        <v>46232</v>
      </c>
      <c r="F88" t="inlineStr">
        <is>
          <t>DALARNAS LÄN</t>
        </is>
      </c>
      <c r="G88" t="inlineStr">
        <is>
          <t>SÄTER</t>
        </is>
      </c>
      <c r="H88" t="inlineStr">
        <is>
          <t>Bergvik skog väst AB</t>
        </is>
      </c>
      <c r="I88" t="n">
        <v>0.4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t="n">
        <v>0</v>
      </c>
      <c r="S88" t="n">
        <v>0</v>
      </c>
      <c r="T88" t="n">
        <v>0</v>
      </c>
      <c r="U88" t="n">
        <v>0</v>
      </c>
      <c r="V88" s="2" t="inlineStr"/>
    </row>
    <row r="89" ht="15" customHeight="1">
      <c r="A89" t="inlineStr">
        <is>
          <t>A 45161-2021</t>
        </is>
      </c>
      <c r="B89" t="inlineStr">
        <is>
          <t>avverkningsanmälan</t>
        </is>
      </c>
      <c r="C89" t="inlineStr">
        <is>
          <t>Föryngringsavverkning</t>
        </is>
      </c>
      <c r="D89" s="1" t="n">
        <v>44439</v>
      </c>
      <c r="E89" s="1" t="n">
        <v>46232</v>
      </c>
      <c r="F89" t="inlineStr">
        <is>
          <t>DALARNAS LÄN</t>
        </is>
      </c>
      <c r="G89" t="inlineStr">
        <is>
          <t>SÄTER</t>
        </is>
      </c>
      <c r="I89" t="n">
        <v>2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t="n">
        <v>0</v>
      </c>
      <c r="S89" t="n">
        <v>0</v>
      </c>
      <c r="T89" t="n">
        <v>0</v>
      </c>
      <c r="U89" t="n">
        <v>0</v>
      </c>
      <c r="V89" s="2" t="inlineStr"/>
    </row>
    <row r="90" ht="15" customHeight="1">
      <c r="A90" t="inlineStr">
        <is>
          <t>A 64565-2023</t>
        </is>
      </c>
      <c r="B90" t="inlineStr">
        <is>
          <t>avverkningsanmälan</t>
        </is>
      </c>
      <c r="C90" t="inlineStr">
        <is>
          <t>Föryngringsavverkning</t>
        </is>
      </c>
      <c r="D90" s="1" t="n">
        <v>45281</v>
      </c>
      <c r="E90" s="1" t="n">
        <v>46232</v>
      </c>
      <c r="F90" t="inlineStr">
        <is>
          <t>DALARNAS LÄN</t>
        </is>
      </c>
      <c r="G90" t="inlineStr">
        <is>
          <t>SÄTER</t>
        </is>
      </c>
      <c r="I90" t="n">
        <v>1.2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t="n">
        <v>0</v>
      </c>
      <c r="S90" t="n">
        <v>0</v>
      </c>
      <c r="T90" t="n">
        <v>0</v>
      </c>
      <c r="U90" t="n">
        <v>0</v>
      </c>
      <c r="V90" s="2" t="inlineStr"/>
    </row>
    <row r="91" ht="15" customHeight="1">
      <c r="A91" t="inlineStr">
        <is>
          <t>A 64610-2023</t>
        </is>
      </c>
      <c r="B91" t="inlineStr">
        <is>
          <t>avverkningsanmälan</t>
        </is>
      </c>
      <c r="C91" t="inlineStr">
        <is>
          <t>Föryngringsavverkning</t>
        </is>
      </c>
      <c r="D91" s="1" t="n">
        <v>45281</v>
      </c>
      <c r="E91" s="1" t="n">
        <v>46232</v>
      </c>
      <c r="F91" t="inlineStr">
        <is>
          <t>DALARNAS LÄN</t>
        </is>
      </c>
      <c r="G91" t="inlineStr">
        <is>
          <t>SÄTER</t>
        </is>
      </c>
      <c r="I91" t="n">
        <v>0.9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t="n">
        <v>0</v>
      </c>
      <c r="S91" t="n">
        <v>0</v>
      </c>
      <c r="T91" t="n">
        <v>0</v>
      </c>
      <c r="U91" t="n">
        <v>0</v>
      </c>
      <c r="V91" s="2" t="inlineStr"/>
    </row>
    <row r="92" ht="15" customHeight="1">
      <c r="A92" t="inlineStr">
        <is>
          <t>A 43725-2021</t>
        </is>
      </c>
      <c r="B92" t="inlineStr">
        <is>
          <t>avverkningsanmälan</t>
        </is>
      </c>
      <c r="C92" t="inlineStr">
        <is>
          <t>Föryngringsavverkning</t>
        </is>
      </c>
      <c r="D92" s="1" t="n">
        <v>44433</v>
      </c>
      <c r="E92" s="1" t="n">
        <v>46232</v>
      </c>
      <c r="F92" t="inlineStr">
        <is>
          <t>DALARNAS LÄN</t>
        </is>
      </c>
      <c r="G92" t="inlineStr">
        <is>
          <t>SÄTER</t>
        </is>
      </c>
      <c r="I92" t="n">
        <v>4.2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t="n">
        <v>0</v>
      </c>
      <c r="S92" t="n">
        <v>0</v>
      </c>
      <c r="T92" t="n">
        <v>0</v>
      </c>
      <c r="U92" t="n">
        <v>0</v>
      </c>
      <c r="V92" s="2" t="inlineStr"/>
    </row>
    <row r="93" ht="15" customHeight="1">
      <c r="A93" t="inlineStr">
        <is>
          <t>A 58864-2024</t>
        </is>
      </c>
      <c r="B93" t="inlineStr">
        <is>
          <t>avverkningsanmälan</t>
        </is>
      </c>
      <c r="C93" t="inlineStr">
        <is>
          <t>Föryngringsavverkning</t>
        </is>
      </c>
      <c r="D93" s="1" t="n">
        <v>45636</v>
      </c>
      <c r="E93" s="1" t="n">
        <v>46232</v>
      </c>
      <c r="F93" t="inlineStr">
        <is>
          <t>DALARNAS LÄN</t>
        </is>
      </c>
      <c r="G93" t="inlineStr">
        <is>
          <t>SÄTER</t>
        </is>
      </c>
      <c r="I93" t="n">
        <v>10.9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t="n">
        <v>0</v>
      </c>
      <c r="S93" t="n">
        <v>0</v>
      </c>
      <c r="T93" t="n">
        <v>0</v>
      </c>
      <c r="U93" t="n">
        <v>0</v>
      </c>
      <c r="V93" s="2" t="inlineStr"/>
    </row>
    <row r="94" ht="15" customHeight="1">
      <c r="A94" t="inlineStr">
        <is>
          <t>A 49661-2021</t>
        </is>
      </c>
      <c r="B94" t="inlineStr">
        <is>
          <t>avverkningsanmälan</t>
        </is>
      </c>
      <c r="C94" t="inlineStr">
        <is>
          <t>Föryngringsavverkning</t>
        </is>
      </c>
      <c r="D94" s="1" t="n">
        <v>44455</v>
      </c>
      <c r="E94" s="1" t="n">
        <v>46232</v>
      </c>
      <c r="F94" t="inlineStr">
        <is>
          <t>DALARNAS LÄN</t>
        </is>
      </c>
      <c r="G94" t="inlineStr">
        <is>
          <t>SÄTER</t>
        </is>
      </c>
      <c r="I94" t="n">
        <v>5.7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t="n">
        <v>0</v>
      </c>
      <c r="S94" t="n">
        <v>0</v>
      </c>
      <c r="T94" t="n">
        <v>0</v>
      </c>
      <c r="U94" t="n">
        <v>0</v>
      </c>
      <c r="V94" s="2" t="inlineStr"/>
    </row>
    <row r="95" ht="15" customHeight="1">
      <c r="A95" t="inlineStr">
        <is>
          <t>A 4407-2023</t>
        </is>
      </c>
      <c r="B95" t="inlineStr">
        <is>
          <t>avverkningsanmälan</t>
        </is>
      </c>
      <c r="C95" t="inlineStr">
        <is>
          <t>Föryngringsavverkning</t>
        </is>
      </c>
      <c r="D95" s="1" t="n">
        <v>44956</v>
      </c>
      <c r="E95" s="1" t="n">
        <v>46232</v>
      </c>
      <c r="F95" t="inlineStr">
        <is>
          <t>DALARNAS LÄN</t>
        </is>
      </c>
      <c r="G95" t="inlineStr">
        <is>
          <t>SÄTER</t>
        </is>
      </c>
      <c r="I95" t="n">
        <v>1.5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t="n">
        <v>0</v>
      </c>
      <c r="S95" t="n">
        <v>0</v>
      </c>
      <c r="T95" t="n">
        <v>0</v>
      </c>
      <c r="U95" t="n">
        <v>0</v>
      </c>
      <c r="V95" s="2" t="inlineStr"/>
    </row>
    <row r="96" ht="15" customHeight="1">
      <c r="A96" t="inlineStr">
        <is>
          <t>A 62470-2022</t>
        </is>
      </c>
      <c r="B96" t="inlineStr">
        <is>
          <t>avverkningsanmälan</t>
        </is>
      </c>
      <c r="C96" t="inlineStr">
        <is>
          <t>Föryngringsavverkning</t>
        </is>
      </c>
      <c r="D96" s="1" t="n">
        <v>44924</v>
      </c>
      <c r="E96" s="1" t="n">
        <v>46232</v>
      </c>
      <c r="F96" t="inlineStr">
        <is>
          <t>DALARNAS LÄN</t>
        </is>
      </c>
      <c r="G96" t="inlineStr">
        <is>
          <t>SÄTER</t>
        </is>
      </c>
      <c r="H96" t="inlineStr">
        <is>
          <t>Kommuner</t>
        </is>
      </c>
      <c r="I96" t="n">
        <v>5.4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t="n">
        <v>0</v>
      </c>
      <c r="S96" t="n">
        <v>0</v>
      </c>
      <c r="T96" t="n">
        <v>0</v>
      </c>
      <c r="U96" t="n">
        <v>0</v>
      </c>
      <c r="V96" s="2" t="inlineStr"/>
    </row>
    <row r="97" ht="15" customHeight="1">
      <c r="A97" t="inlineStr">
        <is>
          <t>A 57430-2022</t>
        </is>
      </c>
      <c r="B97" t="inlineStr">
        <is>
          <t>avverkningsanmälan</t>
        </is>
      </c>
      <c r="C97" t="inlineStr">
        <is>
          <t>Föryngringsavverkning</t>
        </is>
      </c>
      <c r="D97" s="1" t="n">
        <v>44896</v>
      </c>
      <c r="E97" s="1" t="n">
        <v>46232</v>
      </c>
      <c r="F97" t="inlineStr">
        <is>
          <t>DALARNAS LÄN</t>
        </is>
      </c>
      <c r="G97" t="inlineStr">
        <is>
          <t>SÄTER</t>
        </is>
      </c>
      <c r="I97" t="n">
        <v>1.5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t="n">
        <v>0</v>
      </c>
      <c r="S97" t="n">
        <v>0</v>
      </c>
      <c r="T97" t="n">
        <v>0</v>
      </c>
      <c r="U97" t="n">
        <v>0</v>
      </c>
      <c r="V97" s="2" t="inlineStr"/>
    </row>
    <row r="98" ht="15" customHeight="1">
      <c r="A98" t="inlineStr">
        <is>
          <t>A 46577-2023</t>
        </is>
      </c>
      <c r="B98" t="inlineStr">
        <is>
          <t>avverkningsanmälan</t>
        </is>
      </c>
      <c r="C98" t="inlineStr">
        <is>
          <t>Föryngringsavverkning</t>
        </is>
      </c>
      <c r="D98" s="1" t="n">
        <v>45198</v>
      </c>
      <c r="E98" s="1" t="n">
        <v>46232</v>
      </c>
      <c r="F98" t="inlineStr">
        <is>
          <t>DALARNAS LÄN</t>
        </is>
      </c>
      <c r="G98" t="inlineStr">
        <is>
          <t>SÄTER</t>
        </is>
      </c>
      <c r="I98" t="n">
        <v>2.1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t="n">
        <v>0</v>
      </c>
      <c r="S98" t="n">
        <v>0</v>
      </c>
      <c r="T98" t="n">
        <v>0</v>
      </c>
      <c r="U98" t="n">
        <v>0</v>
      </c>
      <c r="V98" s="2" t="inlineStr"/>
    </row>
    <row r="99" ht="15" customHeight="1">
      <c r="A99" t="inlineStr">
        <is>
          <t>A 18888-2022</t>
        </is>
      </c>
      <c r="B99" t="inlineStr">
        <is>
          <t>avverkningsanmälan</t>
        </is>
      </c>
      <c r="C99" t="inlineStr">
        <is>
          <t>Föryngringsavverkning</t>
        </is>
      </c>
      <c r="D99" s="1" t="n">
        <v>44690</v>
      </c>
      <c r="E99" s="1" t="n">
        <v>46232</v>
      </c>
      <c r="F99" t="inlineStr">
        <is>
          <t>DALARNAS LÄN</t>
        </is>
      </c>
      <c r="G99" t="inlineStr">
        <is>
          <t>SÄTER</t>
        </is>
      </c>
      <c r="I99" t="n">
        <v>1.1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t="n">
        <v>0</v>
      </c>
      <c r="S99" t="n">
        <v>0</v>
      </c>
      <c r="T99" t="n">
        <v>0</v>
      </c>
      <c r="U99" t="n">
        <v>0</v>
      </c>
      <c r="V99" s="2" t="inlineStr"/>
    </row>
    <row r="100" ht="15" customHeight="1">
      <c r="A100" t="inlineStr">
        <is>
          <t>A 12285-2024</t>
        </is>
      </c>
      <c r="B100" t="inlineStr">
        <is>
          <t>avverkningsanmälan</t>
        </is>
      </c>
      <c r="C100" t="inlineStr">
        <is>
          <t>Föryngringsavverkning</t>
        </is>
      </c>
      <c r="D100" s="1" t="n">
        <v>45377</v>
      </c>
      <c r="E100" s="1" t="n">
        <v>46232</v>
      </c>
      <c r="F100" t="inlineStr">
        <is>
          <t>DALARNAS LÄN</t>
        </is>
      </c>
      <c r="G100" t="inlineStr">
        <is>
          <t>SÄTER</t>
        </is>
      </c>
      <c r="I100" t="n">
        <v>1.7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t="n">
        <v>0</v>
      </c>
      <c r="S100" t="n">
        <v>0</v>
      </c>
      <c r="T100" t="n">
        <v>0</v>
      </c>
      <c r="U100" t="n">
        <v>0</v>
      </c>
      <c r="V100" s="2" t="inlineStr"/>
    </row>
    <row r="101" ht="15" customHeight="1">
      <c r="A101" t="inlineStr">
        <is>
          <t>A 25793-2025</t>
        </is>
      </c>
      <c r="B101" t="inlineStr">
        <is>
          <t>avverkningsanmälan</t>
        </is>
      </c>
      <c r="C101" t="inlineStr">
        <is>
          <t>Föryngringsavverkning</t>
        </is>
      </c>
      <c r="D101" s="1" t="n">
        <v>45804</v>
      </c>
      <c r="E101" s="1" t="n">
        <v>46232</v>
      </c>
      <c r="F101" t="inlineStr">
        <is>
          <t>DALARNAS LÄN</t>
        </is>
      </c>
      <c r="G101" t="inlineStr">
        <is>
          <t>SÄTER</t>
        </is>
      </c>
      <c r="I101" t="n">
        <v>1.9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t="n">
        <v>0</v>
      </c>
      <c r="S101" t="n">
        <v>0</v>
      </c>
      <c r="T101" t="n">
        <v>0</v>
      </c>
      <c r="U101" t="n">
        <v>0</v>
      </c>
      <c r="V101" s="2" t="inlineStr"/>
    </row>
    <row r="102" ht="15" customHeight="1">
      <c r="A102" t="inlineStr">
        <is>
          <t>A 264-2026</t>
        </is>
      </c>
      <c r="B102" t="inlineStr">
        <is>
          <t>avverkningsanmälan</t>
        </is>
      </c>
      <c r="C102" t="inlineStr">
        <is>
          <t>Föryngringsavverkning</t>
        </is>
      </c>
      <c r="D102" s="1" t="n">
        <v>46027</v>
      </c>
      <c r="E102" s="1" t="n">
        <v>46232</v>
      </c>
      <c r="F102" t="inlineStr">
        <is>
          <t>DALARNAS LÄN</t>
        </is>
      </c>
      <c r="G102" t="inlineStr">
        <is>
          <t>SÄTER</t>
        </is>
      </c>
      <c r="I102" t="n">
        <v>12.1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t="n">
        <v>0</v>
      </c>
      <c r="S102" t="n">
        <v>0</v>
      </c>
      <c r="T102" t="n">
        <v>0</v>
      </c>
      <c r="U102" t="n">
        <v>0</v>
      </c>
      <c r="V102" s="2" t="inlineStr"/>
    </row>
    <row r="103" ht="15" customHeight="1">
      <c r="A103" t="inlineStr">
        <is>
          <t>A 26057-2025</t>
        </is>
      </c>
      <c r="B103" t="inlineStr">
        <is>
          <t>avverkningsanmälan</t>
        </is>
      </c>
      <c r="C103" t="inlineStr">
        <is>
          <t>Föryngringsavverkning</t>
        </is>
      </c>
      <c r="D103" s="1" t="n">
        <v>45804</v>
      </c>
      <c r="E103" s="1" t="n">
        <v>46232</v>
      </c>
      <c r="F103" t="inlineStr">
        <is>
          <t>DALARNAS LÄN</t>
        </is>
      </c>
      <c r="G103" t="inlineStr">
        <is>
          <t>SÄTER</t>
        </is>
      </c>
      <c r="I103" t="n">
        <v>0.7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t="n">
        <v>0</v>
      </c>
      <c r="S103" t="n">
        <v>0</v>
      </c>
      <c r="T103" t="n">
        <v>0</v>
      </c>
      <c r="U103" t="n">
        <v>0</v>
      </c>
      <c r="V103" s="2" t="inlineStr"/>
    </row>
    <row r="104" ht="15" customHeight="1">
      <c r="A104" t="inlineStr">
        <is>
          <t>A 56225-2023</t>
        </is>
      </c>
      <c r="B104" t="inlineStr">
        <is>
          <t>avverkningsanmälan</t>
        </is>
      </c>
      <c r="C104" t="inlineStr">
        <is>
          <t>Föryngringsavverkning</t>
        </is>
      </c>
      <c r="D104" s="1" t="n">
        <v>45240</v>
      </c>
      <c r="E104" s="1" t="n">
        <v>46232</v>
      </c>
      <c r="F104" t="inlineStr">
        <is>
          <t>DALARNAS LÄN</t>
        </is>
      </c>
      <c r="G104" t="inlineStr">
        <is>
          <t>SÄTER</t>
        </is>
      </c>
      <c r="I104" t="n">
        <v>4.8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t="n">
        <v>0</v>
      </c>
      <c r="S104" t="n">
        <v>0</v>
      </c>
      <c r="T104" t="n">
        <v>0</v>
      </c>
      <c r="U104" t="n">
        <v>0</v>
      </c>
      <c r="V104" s="2" t="inlineStr"/>
    </row>
    <row r="105" ht="15" customHeight="1">
      <c r="A105" t="inlineStr">
        <is>
          <t>A 27006-2025</t>
        </is>
      </c>
      <c r="B105" t="inlineStr">
        <is>
          <t>avverkningsanmälan</t>
        </is>
      </c>
      <c r="C105" t="inlineStr">
        <is>
          <t>Föryngringsavverkning</t>
        </is>
      </c>
      <c r="D105" s="1" t="n">
        <v>45811</v>
      </c>
      <c r="E105" s="1" t="n">
        <v>46232</v>
      </c>
      <c r="F105" t="inlineStr">
        <is>
          <t>DALARNAS LÄN</t>
        </is>
      </c>
      <c r="G105" t="inlineStr">
        <is>
          <t>SÄTER</t>
        </is>
      </c>
      <c r="I105" t="n">
        <v>1.7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t="n">
        <v>0</v>
      </c>
      <c r="S105" t="n">
        <v>0</v>
      </c>
      <c r="T105" t="n">
        <v>0</v>
      </c>
      <c r="U105" t="n">
        <v>0</v>
      </c>
      <c r="V105" s="2" t="inlineStr"/>
    </row>
    <row r="106" ht="15" customHeight="1">
      <c r="A106" t="inlineStr">
        <is>
          <t>A 987-2026</t>
        </is>
      </c>
      <c r="B106" t="inlineStr">
        <is>
          <t>avverkningsanmälan</t>
        </is>
      </c>
      <c r="C106" t="inlineStr">
        <is>
          <t>Avverkning för annat ändamål</t>
        </is>
      </c>
      <c r="D106" s="1" t="n">
        <v>46030</v>
      </c>
      <c r="E106" s="1" t="n">
        <v>46232</v>
      </c>
      <c r="F106" t="inlineStr">
        <is>
          <t>DALARNAS LÄN</t>
        </is>
      </c>
      <c r="G106" t="inlineStr">
        <is>
          <t>SÄTER</t>
        </is>
      </c>
      <c r="H106" t="inlineStr">
        <is>
          <t>Bergvik skog väst AB</t>
        </is>
      </c>
      <c r="I106" t="n">
        <v>0.4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t="n">
        <v>0</v>
      </c>
      <c r="S106" t="n">
        <v>0</v>
      </c>
      <c r="T106" t="n">
        <v>0</v>
      </c>
      <c r="U106" t="n">
        <v>0</v>
      </c>
      <c r="V106" s="2" t="inlineStr"/>
    </row>
    <row r="107" ht="15" customHeight="1">
      <c r="A107" t="inlineStr">
        <is>
          <t>A 1343-2026</t>
        </is>
      </c>
      <c r="B107" t="inlineStr">
        <is>
          <t>avverkningsanmälan</t>
        </is>
      </c>
      <c r="C107" t="inlineStr">
        <is>
          <t>Föryngringsavverkning</t>
        </is>
      </c>
      <c r="D107" s="1" t="n">
        <v>46031</v>
      </c>
      <c r="E107" s="1" t="n">
        <v>46232</v>
      </c>
      <c r="F107" t="inlineStr">
        <is>
          <t>DALARNAS LÄN</t>
        </is>
      </c>
      <c r="G107" t="inlineStr">
        <is>
          <t>SÄTER</t>
        </is>
      </c>
      <c r="I107" t="n">
        <v>1.3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t="n">
        <v>0</v>
      </c>
      <c r="S107" t="n">
        <v>0</v>
      </c>
      <c r="T107" t="n">
        <v>0</v>
      </c>
      <c r="U107" t="n">
        <v>0</v>
      </c>
      <c r="V107" s="2" t="inlineStr"/>
    </row>
    <row r="108" ht="15" customHeight="1">
      <c r="A108" t="inlineStr">
        <is>
          <t>A 1326-2026</t>
        </is>
      </c>
      <c r="B108" t="inlineStr">
        <is>
          <t>avverkningsanmälan</t>
        </is>
      </c>
      <c r="C108" t="inlineStr">
        <is>
          <t>Föryngringsavverkning</t>
        </is>
      </c>
      <c r="D108" s="1" t="n">
        <v>46031</v>
      </c>
      <c r="E108" s="1" t="n">
        <v>46232</v>
      </c>
      <c r="F108" t="inlineStr">
        <is>
          <t>DALARNAS LÄN</t>
        </is>
      </c>
      <c r="G108" t="inlineStr">
        <is>
          <t>SÄTER</t>
        </is>
      </c>
      <c r="I108" t="n">
        <v>4.8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t="n">
        <v>0</v>
      </c>
      <c r="S108" t="n">
        <v>0</v>
      </c>
      <c r="T108" t="n">
        <v>0</v>
      </c>
      <c r="U108" t="n">
        <v>0</v>
      </c>
      <c r="V108" s="2" t="inlineStr"/>
    </row>
    <row r="109" ht="15" customHeight="1">
      <c r="A109" t="inlineStr">
        <is>
          <t>A 27057-2025</t>
        </is>
      </c>
      <c r="B109" t="inlineStr">
        <is>
          <t>avverkningsanmälan</t>
        </is>
      </c>
      <c r="C109" t="inlineStr">
        <is>
          <t>Föryngringsavverkning</t>
        </is>
      </c>
      <c r="D109" s="1" t="n">
        <v>45811</v>
      </c>
      <c r="E109" s="1" t="n">
        <v>46232</v>
      </c>
      <c r="F109" t="inlineStr">
        <is>
          <t>DALARNAS LÄN</t>
        </is>
      </c>
      <c r="G109" t="inlineStr">
        <is>
          <t>SÄTER</t>
        </is>
      </c>
      <c r="I109" t="n">
        <v>5.1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t="n">
        <v>0</v>
      </c>
      <c r="S109" t="n">
        <v>0</v>
      </c>
      <c r="T109" t="n">
        <v>0</v>
      </c>
      <c r="U109" t="n">
        <v>0</v>
      </c>
      <c r="V109" s="2" t="inlineStr"/>
    </row>
    <row r="110" ht="15" customHeight="1">
      <c r="A110" t="inlineStr">
        <is>
          <t>A 2047-2026</t>
        </is>
      </c>
      <c r="B110" t="inlineStr">
        <is>
          <t>avverkningsanmälan</t>
        </is>
      </c>
      <c r="C110" t="inlineStr">
        <is>
          <t>Föryngringsavverkning</t>
        </is>
      </c>
      <c r="D110" s="1" t="n">
        <v>46031</v>
      </c>
      <c r="E110" s="1" t="n">
        <v>46232</v>
      </c>
      <c r="F110" t="inlineStr">
        <is>
          <t>DALARNAS LÄN</t>
        </is>
      </c>
      <c r="G110" t="inlineStr">
        <is>
          <t>SÄTER</t>
        </is>
      </c>
      <c r="H110" t="inlineStr">
        <is>
          <t>Kommuner</t>
        </is>
      </c>
      <c r="I110" t="n">
        <v>4.1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t="n">
        <v>0</v>
      </c>
      <c r="S110" t="n">
        <v>0</v>
      </c>
      <c r="T110" t="n">
        <v>0</v>
      </c>
      <c r="U110" t="n">
        <v>0</v>
      </c>
      <c r="V110" s="2" t="inlineStr"/>
    </row>
    <row r="111" ht="15" customHeight="1">
      <c r="A111" t="inlineStr">
        <is>
          <t>A 1711-2026</t>
        </is>
      </c>
      <c r="B111" t="inlineStr">
        <is>
          <t>avverkningsanmälan</t>
        </is>
      </c>
      <c r="C111" t="inlineStr">
        <is>
          <t>Föryngringsavverkning</t>
        </is>
      </c>
      <c r="D111" s="1" t="n">
        <v>46034</v>
      </c>
      <c r="E111" s="1" t="n">
        <v>46232</v>
      </c>
      <c r="F111" t="inlineStr">
        <is>
          <t>DALARNAS LÄN</t>
        </is>
      </c>
      <c r="G111" t="inlineStr">
        <is>
          <t>SÄTER</t>
        </is>
      </c>
      <c r="I111" t="n">
        <v>3.8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t="n">
        <v>0</v>
      </c>
      <c r="S111" t="n">
        <v>0</v>
      </c>
      <c r="T111" t="n">
        <v>0</v>
      </c>
      <c r="U111" t="n">
        <v>0</v>
      </c>
      <c r="V111" s="2" t="inlineStr"/>
    </row>
    <row r="112" ht="15" customHeight="1">
      <c r="A112" t="inlineStr">
        <is>
          <t>A 39780-2024</t>
        </is>
      </c>
      <c r="B112" t="inlineStr">
        <is>
          <t>avverkningsanmälan</t>
        </is>
      </c>
      <c r="C112" t="inlineStr">
        <is>
          <t>Föryngringsavverkning</t>
        </is>
      </c>
      <c r="D112" s="1" t="n">
        <v>45552</v>
      </c>
      <c r="E112" s="1" t="n">
        <v>46232</v>
      </c>
      <c r="F112" t="inlineStr">
        <is>
          <t>DALARNAS LÄN</t>
        </is>
      </c>
      <c r="G112" t="inlineStr">
        <is>
          <t>SÄTER</t>
        </is>
      </c>
      <c r="I112" t="n">
        <v>3.5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t="n">
        <v>0</v>
      </c>
      <c r="S112" t="n">
        <v>0</v>
      </c>
      <c r="T112" t="n">
        <v>0</v>
      </c>
      <c r="U112" t="n">
        <v>0</v>
      </c>
      <c r="V112" s="2" t="inlineStr"/>
    </row>
    <row r="113" ht="15" customHeight="1">
      <c r="A113" t="inlineStr">
        <is>
          <t>A 3342-2022</t>
        </is>
      </c>
      <c r="B113" t="inlineStr">
        <is>
          <t>avverkningsanmälan</t>
        </is>
      </c>
      <c r="C113" t="inlineStr">
        <is>
          <t>Föryngringsavverkning</t>
        </is>
      </c>
      <c r="D113" s="1" t="n">
        <v>44585</v>
      </c>
      <c r="E113" s="1" t="n">
        <v>46232</v>
      </c>
      <c r="F113" t="inlineStr">
        <is>
          <t>DALARNAS LÄN</t>
        </is>
      </c>
      <c r="G113" t="inlineStr">
        <is>
          <t>SÄTER</t>
        </is>
      </c>
      <c r="I113" t="n">
        <v>1.8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t="n">
        <v>0</v>
      </c>
      <c r="S113" t="n">
        <v>0</v>
      </c>
      <c r="T113" t="n">
        <v>0</v>
      </c>
      <c r="U113" t="n">
        <v>0</v>
      </c>
      <c r="V113" s="2" t="inlineStr"/>
    </row>
    <row r="114" ht="15" customHeight="1">
      <c r="A114" t="inlineStr">
        <is>
          <t>A 32886-2022</t>
        </is>
      </c>
      <c r="B114" t="inlineStr">
        <is>
          <t>avverkningsanmälan</t>
        </is>
      </c>
      <c r="C114" t="inlineStr">
        <is>
          <t>Föryngringsavverkning</t>
        </is>
      </c>
      <c r="D114" s="1" t="n">
        <v>44784</v>
      </c>
      <c r="E114" s="1" t="n">
        <v>46232</v>
      </c>
      <c r="F114" t="inlineStr">
        <is>
          <t>DALARNAS LÄN</t>
        </is>
      </c>
      <c r="G114" t="inlineStr">
        <is>
          <t>SÄTER</t>
        </is>
      </c>
      <c r="I114" t="n">
        <v>10.9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t="n">
        <v>0</v>
      </c>
      <c r="S114" t="n">
        <v>0</v>
      </c>
      <c r="T114" t="n">
        <v>0</v>
      </c>
      <c r="U114" t="n">
        <v>0</v>
      </c>
      <c r="V114" s="2" t="inlineStr"/>
    </row>
    <row r="115" ht="15" customHeight="1">
      <c r="A115" t="inlineStr">
        <is>
          <t>A 64788-2023</t>
        </is>
      </c>
      <c r="B115" t="inlineStr">
        <is>
          <t>avverkningsanmälan</t>
        </is>
      </c>
      <c r="C115" t="inlineStr">
        <is>
          <t>Föryngringsavverkning</t>
        </is>
      </c>
      <c r="D115" s="1" t="n">
        <v>45282</v>
      </c>
      <c r="E115" s="1" t="n">
        <v>46232</v>
      </c>
      <c r="F115" t="inlineStr">
        <is>
          <t>DALARNAS LÄN</t>
        </is>
      </c>
      <c r="G115" t="inlineStr">
        <is>
          <t>SÄTER</t>
        </is>
      </c>
      <c r="I115" t="n">
        <v>0.5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t="n">
        <v>0</v>
      </c>
      <c r="S115" t="n">
        <v>0</v>
      </c>
      <c r="T115" t="n">
        <v>0</v>
      </c>
      <c r="U115" t="n">
        <v>0</v>
      </c>
      <c r="V115" s="2" t="inlineStr"/>
    </row>
    <row r="116" ht="15" customHeight="1">
      <c r="A116" t="inlineStr">
        <is>
          <t>A 23804-2024</t>
        </is>
      </c>
      <c r="B116" t="inlineStr">
        <is>
          <t>avverkningsanmälan</t>
        </is>
      </c>
      <c r="C116" t="inlineStr">
        <is>
          <t>Föryngringsavverkning</t>
        </is>
      </c>
      <c r="D116" s="1" t="n">
        <v>45455</v>
      </c>
      <c r="E116" s="1" t="n">
        <v>46232</v>
      </c>
      <c r="F116" t="inlineStr">
        <is>
          <t>DALARNAS LÄN</t>
        </is>
      </c>
      <c r="G116" t="inlineStr">
        <is>
          <t>SÄTER</t>
        </is>
      </c>
      <c r="I116" t="n">
        <v>1.5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t="n">
        <v>0</v>
      </c>
      <c r="S116" t="n">
        <v>0</v>
      </c>
      <c r="T116" t="n">
        <v>0</v>
      </c>
      <c r="U116" t="n">
        <v>0</v>
      </c>
      <c r="V116" s="2" t="inlineStr"/>
    </row>
    <row r="117" ht="15" customHeight="1">
      <c r="A117" t="inlineStr">
        <is>
          <t>A 19747-2025</t>
        </is>
      </c>
      <c r="B117" t="inlineStr">
        <is>
          <t>avverkningsanmälan</t>
        </is>
      </c>
      <c r="C117" t="inlineStr">
        <is>
          <t>Föryngringsavverkning</t>
        </is>
      </c>
      <c r="D117" s="1" t="n">
        <v>45771</v>
      </c>
      <c r="E117" s="1" t="n">
        <v>46232</v>
      </c>
      <c r="F117" t="inlineStr">
        <is>
          <t>DALARNAS LÄN</t>
        </is>
      </c>
      <c r="G117" t="inlineStr">
        <is>
          <t>SÄTER</t>
        </is>
      </c>
      <c r="I117" t="n">
        <v>7.2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t="n">
        <v>0</v>
      </c>
      <c r="S117" t="n">
        <v>0</v>
      </c>
      <c r="T117" t="n">
        <v>0</v>
      </c>
      <c r="U117" t="n">
        <v>0</v>
      </c>
      <c r="V117" s="2" t="inlineStr"/>
    </row>
    <row r="118" ht="15" customHeight="1">
      <c r="A118" t="inlineStr">
        <is>
          <t>A 2098-2026</t>
        </is>
      </c>
      <c r="B118" t="inlineStr">
        <is>
          <t>avverkningsanmälan</t>
        </is>
      </c>
      <c r="C118" t="inlineStr">
        <is>
          <t>Föryngringsavverkning</t>
        </is>
      </c>
      <c r="D118" s="1" t="n">
        <v>46036</v>
      </c>
      <c r="E118" s="1" t="n">
        <v>46232</v>
      </c>
      <c r="F118" t="inlineStr">
        <is>
          <t>DALARNAS LÄN</t>
        </is>
      </c>
      <c r="G118" t="inlineStr">
        <is>
          <t>SÄTER</t>
        </is>
      </c>
      <c r="I118" t="n">
        <v>4.7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t="n">
        <v>0</v>
      </c>
      <c r="S118" t="n">
        <v>0</v>
      </c>
      <c r="T118" t="n">
        <v>0</v>
      </c>
      <c r="U118" t="n">
        <v>0</v>
      </c>
      <c r="V118" s="2" t="inlineStr"/>
    </row>
    <row r="119" ht="15" customHeight="1">
      <c r="A119" t="inlineStr">
        <is>
          <t>A 2087-2026</t>
        </is>
      </c>
      <c r="B119" t="inlineStr">
        <is>
          <t>avverkningsanmälan</t>
        </is>
      </c>
      <c r="C119" t="inlineStr">
        <is>
          <t>Föryngringsavverkning</t>
        </is>
      </c>
      <c r="D119" s="1" t="n">
        <v>46036</v>
      </c>
      <c r="E119" s="1" t="n">
        <v>46232</v>
      </c>
      <c r="F119" t="inlineStr">
        <is>
          <t>DALARNAS LÄN</t>
        </is>
      </c>
      <c r="G119" t="inlineStr">
        <is>
          <t>SÄTER</t>
        </is>
      </c>
      <c r="I119" t="n">
        <v>1.4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t="n">
        <v>0</v>
      </c>
      <c r="S119" t="n">
        <v>0</v>
      </c>
      <c r="T119" t="n">
        <v>0</v>
      </c>
      <c r="U119" t="n">
        <v>0</v>
      </c>
      <c r="V119" s="2" t="inlineStr"/>
    </row>
    <row r="120" ht="15" customHeight="1">
      <c r="A120" t="inlineStr">
        <is>
          <t>A 2169-2026</t>
        </is>
      </c>
      <c r="B120" t="inlineStr">
        <is>
          <t>avverkningsanmälan</t>
        </is>
      </c>
      <c r="C120" t="inlineStr">
        <is>
          <t>Föryngringsavverkning</t>
        </is>
      </c>
      <c r="D120" s="1" t="n">
        <v>46036</v>
      </c>
      <c r="E120" s="1" t="n">
        <v>46232</v>
      </c>
      <c r="F120" t="inlineStr">
        <is>
          <t>DALARNAS LÄN</t>
        </is>
      </c>
      <c r="G120" t="inlineStr">
        <is>
          <t>SÄTER</t>
        </is>
      </c>
      <c r="I120" t="n">
        <v>10.9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t="n">
        <v>0</v>
      </c>
      <c r="S120" t="n">
        <v>0</v>
      </c>
      <c r="T120" t="n">
        <v>0</v>
      </c>
      <c r="U120" t="n">
        <v>0</v>
      </c>
      <c r="V120" s="2" t="inlineStr"/>
    </row>
    <row r="121" ht="15" customHeight="1">
      <c r="A121" t="inlineStr">
        <is>
          <t>A 2298-2026</t>
        </is>
      </c>
      <c r="B121" t="inlineStr">
        <is>
          <t>avverkningsanmälan</t>
        </is>
      </c>
      <c r="C121" t="inlineStr">
        <is>
          <t>Föryngringsavverkning</t>
        </is>
      </c>
      <c r="D121" s="1" t="n">
        <v>46036</v>
      </c>
      <c r="E121" s="1" t="n">
        <v>46232</v>
      </c>
      <c r="F121" t="inlineStr">
        <is>
          <t>DALARNAS LÄN</t>
        </is>
      </c>
      <c r="G121" t="inlineStr">
        <is>
          <t>SÄTER</t>
        </is>
      </c>
      <c r="I121" t="n">
        <v>2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t="n">
        <v>0</v>
      </c>
      <c r="S121" t="n">
        <v>0</v>
      </c>
      <c r="T121" t="n">
        <v>0</v>
      </c>
      <c r="U121" t="n">
        <v>0</v>
      </c>
      <c r="V121" s="2" t="inlineStr"/>
    </row>
    <row r="122" ht="15" customHeight="1">
      <c r="A122" t="inlineStr">
        <is>
          <t>A 2507-2026</t>
        </is>
      </c>
      <c r="B122" t="inlineStr">
        <is>
          <t>avverkningsanmälan</t>
        </is>
      </c>
      <c r="C122" t="inlineStr">
        <is>
          <t>Föryngringsavverkning</t>
        </is>
      </c>
      <c r="D122" s="1" t="n">
        <v>46037</v>
      </c>
      <c r="E122" s="1" t="n">
        <v>46232</v>
      </c>
      <c r="F122" t="inlineStr">
        <is>
          <t>DALARNAS LÄN</t>
        </is>
      </c>
      <c r="G122" t="inlineStr">
        <is>
          <t>SÄTER</t>
        </is>
      </c>
      <c r="I122" t="n">
        <v>3.7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t="n">
        <v>0</v>
      </c>
      <c r="S122" t="n">
        <v>0</v>
      </c>
      <c r="T122" t="n">
        <v>0</v>
      </c>
      <c r="U122" t="n">
        <v>0</v>
      </c>
      <c r="V122" s="2" t="inlineStr"/>
    </row>
    <row r="123" ht="15" customHeight="1">
      <c r="A123" t="inlineStr">
        <is>
          <t>A 28852-2025</t>
        </is>
      </c>
      <c r="B123" t="inlineStr">
        <is>
          <t>avverkningsanmälan</t>
        </is>
      </c>
      <c r="C123" t="inlineStr">
        <is>
          <t>Föryngringsavverkning</t>
        </is>
      </c>
      <c r="D123" s="1" t="n">
        <v>45820</v>
      </c>
      <c r="E123" s="1" t="n">
        <v>46232</v>
      </c>
      <c r="F123" t="inlineStr">
        <is>
          <t>DALARNAS LÄN</t>
        </is>
      </c>
      <c r="G123" t="inlineStr">
        <is>
          <t>SÄTER</t>
        </is>
      </c>
      <c r="I123" t="n">
        <v>1.3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t="n">
        <v>0</v>
      </c>
      <c r="S123" t="n">
        <v>0</v>
      </c>
      <c r="T123" t="n">
        <v>0</v>
      </c>
      <c r="U123" t="n">
        <v>0</v>
      </c>
      <c r="V123" s="2" t="inlineStr"/>
    </row>
    <row r="124" ht="15" customHeight="1">
      <c r="A124" t="inlineStr">
        <is>
          <t>A 3445-2026</t>
        </is>
      </c>
      <c r="B124" t="inlineStr">
        <is>
          <t>avverkningsanmälan</t>
        </is>
      </c>
      <c r="C124" t="inlineStr">
        <is>
          <t>Avverkning för annat ändamål</t>
        </is>
      </c>
      <c r="D124" s="1" t="n">
        <v>46042</v>
      </c>
      <c r="E124" s="1" t="n">
        <v>46232</v>
      </c>
      <c r="F124" t="inlineStr">
        <is>
          <t>DALARNAS LÄN</t>
        </is>
      </c>
      <c r="G124" t="inlineStr">
        <is>
          <t>SÄTER</t>
        </is>
      </c>
      <c r="I124" t="n">
        <v>1.4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t="n">
        <v>0</v>
      </c>
      <c r="S124" t="n">
        <v>0</v>
      </c>
      <c r="T124" t="n">
        <v>0</v>
      </c>
      <c r="U124" t="n">
        <v>0</v>
      </c>
      <c r="V124" s="2" t="inlineStr"/>
    </row>
    <row r="125" ht="15" customHeight="1">
      <c r="A125" t="inlineStr">
        <is>
          <t>A 29522-2025</t>
        </is>
      </c>
      <c r="B125" t="inlineStr">
        <is>
          <t>avverkningsanmälan</t>
        </is>
      </c>
      <c r="C125" t="inlineStr">
        <is>
          <t>Föryngringsavverkning</t>
        </is>
      </c>
      <c r="D125" s="1" t="n">
        <v>45825</v>
      </c>
      <c r="E125" s="1" t="n">
        <v>46232</v>
      </c>
      <c r="F125" t="inlineStr">
        <is>
          <t>DALARNAS LÄN</t>
        </is>
      </c>
      <c r="G125" t="inlineStr">
        <is>
          <t>SÄTER</t>
        </is>
      </c>
      <c r="I125" t="n">
        <v>0.4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t="n">
        <v>0</v>
      </c>
      <c r="S125" t="n">
        <v>0</v>
      </c>
      <c r="T125" t="n">
        <v>0</v>
      </c>
      <c r="U125" t="n">
        <v>0</v>
      </c>
      <c r="V125" s="2" t="inlineStr"/>
    </row>
    <row r="126" ht="15" customHeight="1">
      <c r="A126" t="inlineStr">
        <is>
          <t>A 3423-2026</t>
        </is>
      </c>
      <c r="B126" t="inlineStr">
        <is>
          <t>avverkningsanmälan</t>
        </is>
      </c>
      <c r="C126" t="inlineStr">
        <is>
          <t>Föryngringsavverkning</t>
        </is>
      </c>
      <c r="D126" s="1" t="n">
        <v>46042</v>
      </c>
      <c r="E126" s="1" t="n">
        <v>46232</v>
      </c>
      <c r="F126" t="inlineStr">
        <is>
          <t>DALARNAS LÄN</t>
        </is>
      </c>
      <c r="G126" t="inlineStr">
        <is>
          <t>SÄTER</t>
        </is>
      </c>
      <c r="I126" t="n">
        <v>10.6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t="n">
        <v>0</v>
      </c>
      <c r="S126" t="n">
        <v>0</v>
      </c>
      <c r="T126" t="n">
        <v>0</v>
      </c>
      <c r="U126" t="n">
        <v>0</v>
      </c>
      <c r="V126" s="2" t="inlineStr"/>
    </row>
    <row r="127" ht="15" customHeight="1">
      <c r="A127" t="inlineStr">
        <is>
          <t>A 14168-2025</t>
        </is>
      </c>
      <c r="B127" t="inlineStr">
        <is>
          <t>avverkningsanmälan</t>
        </is>
      </c>
      <c r="C127" t="inlineStr">
        <is>
          <t>Föryngringsavverkning</t>
        </is>
      </c>
      <c r="D127" s="1" t="n">
        <v>45740</v>
      </c>
      <c r="E127" s="1" t="n">
        <v>46232</v>
      </c>
      <c r="F127" t="inlineStr">
        <is>
          <t>DALARNAS LÄN</t>
        </is>
      </c>
      <c r="G127" t="inlineStr">
        <is>
          <t>SÄTER</t>
        </is>
      </c>
      <c r="I127" t="n">
        <v>0.5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t="n">
        <v>0</v>
      </c>
      <c r="S127" t="n">
        <v>0</v>
      </c>
      <c r="T127" t="n">
        <v>0</v>
      </c>
      <c r="U127" t="n">
        <v>0</v>
      </c>
      <c r="V127" s="2" t="inlineStr"/>
    </row>
    <row r="128" ht="15" customHeight="1">
      <c r="A128" t="inlineStr">
        <is>
          <t>A 42691-2025</t>
        </is>
      </c>
      <c r="B128" t="inlineStr">
        <is>
          <t>avverkningsanmälan</t>
        </is>
      </c>
      <c r="C128" t="inlineStr">
        <is>
          <t>Föryngringsavverkning</t>
        </is>
      </c>
      <c r="D128" s="1" t="n">
        <v>45905</v>
      </c>
      <c r="E128" s="1" t="n">
        <v>46232</v>
      </c>
      <c r="F128" t="inlineStr">
        <is>
          <t>DALARNAS LÄN</t>
        </is>
      </c>
      <c r="G128" t="inlineStr">
        <is>
          <t>SÄTER</t>
        </is>
      </c>
      <c r="H128" t="inlineStr">
        <is>
          <t>Bergvik skog väst AB</t>
        </is>
      </c>
      <c r="I128" t="n">
        <v>1.8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t="n">
        <v>0</v>
      </c>
      <c r="S128" t="n">
        <v>0</v>
      </c>
      <c r="T128" t="n">
        <v>0</v>
      </c>
      <c r="U128" t="n">
        <v>0</v>
      </c>
      <c r="V128" s="2" t="inlineStr"/>
    </row>
    <row r="129" ht="15" customHeight="1">
      <c r="A129" t="inlineStr">
        <is>
          <t>A 42674-2025</t>
        </is>
      </c>
      <c r="B129" t="inlineStr">
        <is>
          <t>avverkningsanmälan</t>
        </is>
      </c>
      <c r="C129" t="inlineStr">
        <is>
          <t>Föryngringsavverkning</t>
        </is>
      </c>
      <c r="D129" s="1" t="n">
        <v>45905</v>
      </c>
      <c r="E129" s="1" t="n">
        <v>46232</v>
      </c>
      <c r="F129" t="inlineStr">
        <is>
          <t>DALARNAS LÄN</t>
        </is>
      </c>
      <c r="G129" t="inlineStr">
        <is>
          <t>SÄTER</t>
        </is>
      </c>
      <c r="H129" t="inlineStr">
        <is>
          <t>Bergvik skog väst AB</t>
        </is>
      </c>
      <c r="I129" t="n">
        <v>5.2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t="n">
        <v>0</v>
      </c>
      <c r="S129" t="n">
        <v>0</v>
      </c>
      <c r="T129" t="n">
        <v>0</v>
      </c>
      <c r="U129" t="n">
        <v>0</v>
      </c>
      <c r="V129" s="2" t="inlineStr"/>
    </row>
    <row r="130" ht="15" customHeight="1">
      <c r="A130" t="inlineStr">
        <is>
          <t>A 24617-2022</t>
        </is>
      </c>
      <c r="B130" t="inlineStr">
        <is>
          <t>avverkningsanmälan</t>
        </is>
      </c>
      <c r="C130" t="inlineStr">
        <is>
          <t>Föryngringsavverkning</t>
        </is>
      </c>
      <c r="D130" s="1" t="n">
        <v>44727</v>
      </c>
      <c r="E130" s="1" t="n">
        <v>46232</v>
      </c>
      <c r="F130" t="inlineStr">
        <is>
          <t>DALARNAS LÄN</t>
        </is>
      </c>
      <c r="G130" t="inlineStr">
        <is>
          <t>SÄTER</t>
        </is>
      </c>
      <c r="I130" t="n">
        <v>0.8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t="n">
        <v>0</v>
      </c>
      <c r="S130" t="n">
        <v>0</v>
      </c>
      <c r="T130" t="n">
        <v>0</v>
      </c>
      <c r="U130" t="n">
        <v>0</v>
      </c>
      <c r="V130" s="2" t="inlineStr"/>
    </row>
    <row r="131" ht="15" customHeight="1">
      <c r="A131" t="inlineStr">
        <is>
          <t>A 43553-2025</t>
        </is>
      </c>
      <c r="B131" t="inlineStr">
        <is>
          <t>avverkningsanmälan</t>
        </is>
      </c>
      <c r="C131" t="inlineStr">
        <is>
          <t>Föryngringsavverkning</t>
        </is>
      </c>
      <c r="D131" s="1" t="n">
        <v>45911</v>
      </c>
      <c r="E131" s="1" t="n">
        <v>46232</v>
      </c>
      <c r="F131" t="inlineStr">
        <is>
          <t>DALARNAS LÄN</t>
        </is>
      </c>
      <c r="G131" t="inlineStr">
        <is>
          <t>SÄTER</t>
        </is>
      </c>
      <c r="H131" t="inlineStr">
        <is>
          <t>Bergvik skog väst AB</t>
        </is>
      </c>
      <c r="I131" t="n">
        <v>1.4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t="n">
        <v>0</v>
      </c>
      <c r="S131" t="n">
        <v>0</v>
      </c>
      <c r="T131" t="n">
        <v>0</v>
      </c>
      <c r="U131" t="n">
        <v>0</v>
      </c>
      <c r="V131" s="2" t="inlineStr"/>
    </row>
    <row r="132" ht="15" customHeight="1">
      <c r="A132" t="inlineStr">
        <is>
          <t>A 54141-2023</t>
        </is>
      </c>
      <c r="B132" t="inlineStr">
        <is>
          <t>avverkningsanmälan</t>
        </is>
      </c>
      <c r="C132" t="inlineStr">
        <is>
          <t>Föryngringsavverkning</t>
        </is>
      </c>
      <c r="D132" s="1" t="n">
        <v>45232</v>
      </c>
      <c r="E132" s="1" t="n">
        <v>46232</v>
      </c>
      <c r="F132" t="inlineStr">
        <is>
          <t>DALARNAS LÄN</t>
        </is>
      </c>
      <c r="G132" t="inlineStr">
        <is>
          <t>SÄTER</t>
        </is>
      </c>
      <c r="I132" t="n">
        <v>0.7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t="n">
        <v>0</v>
      </c>
      <c r="S132" t="n">
        <v>0</v>
      </c>
      <c r="T132" t="n">
        <v>0</v>
      </c>
      <c r="U132" t="n">
        <v>0</v>
      </c>
      <c r="V132" s="2" t="inlineStr"/>
    </row>
    <row r="133" ht="15" customHeight="1">
      <c r="A133" t="inlineStr">
        <is>
          <t>A 4346-2026</t>
        </is>
      </c>
      <c r="B133" t="inlineStr">
        <is>
          <t>avverkningsanmälan</t>
        </is>
      </c>
      <c r="C133" t="inlineStr">
        <is>
          <t>Föryngringsavverkning</t>
        </is>
      </c>
      <c r="D133" s="1" t="n">
        <v>46045</v>
      </c>
      <c r="E133" s="1" t="n">
        <v>46232</v>
      </c>
      <c r="F133" t="inlineStr">
        <is>
          <t>DALARNAS LÄN</t>
        </is>
      </c>
      <c r="G133" t="inlineStr">
        <is>
          <t>SÄTER</t>
        </is>
      </c>
      <c r="I133" t="n">
        <v>1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t="n">
        <v>0</v>
      </c>
      <c r="S133" t="n">
        <v>0</v>
      </c>
      <c r="T133" t="n">
        <v>0</v>
      </c>
      <c r="U133" t="n">
        <v>0</v>
      </c>
      <c r="V133" s="2" t="inlineStr"/>
    </row>
    <row r="134" ht="15" customHeight="1">
      <c r="A134" t="inlineStr">
        <is>
          <t>A 20337-2024</t>
        </is>
      </c>
      <c r="B134" t="inlineStr">
        <is>
          <t>avverkningsanmälan</t>
        </is>
      </c>
      <c r="C134" t="inlineStr">
        <is>
          <t>Föryngringsavverkning</t>
        </is>
      </c>
      <c r="D134" s="1" t="n">
        <v>45435</v>
      </c>
      <c r="E134" s="1" t="n">
        <v>46232</v>
      </c>
      <c r="F134" t="inlineStr">
        <is>
          <t>DALARNAS LÄN</t>
        </is>
      </c>
      <c r="G134" t="inlineStr">
        <is>
          <t>SÄTER</t>
        </is>
      </c>
      <c r="I134" t="n">
        <v>1.3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t="n">
        <v>0</v>
      </c>
      <c r="S134" t="n">
        <v>0</v>
      </c>
      <c r="T134" t="n">
        <v>0</v>
      </c>
      <c r="U134" t="n">
        <v>0</v>
      </c>
      <c r="V134" s="2" t="inlineStr"/>
    </row>
    <row r="135" ht="15" customHeight="1">
      <c r="A135" t="inlineStr">
        <is>
          <t>A 8117-2022</t>
        </is>
      </c>
      <c r="B135" t="inlineStr">
        <is>
          <t>avverkningsanmälan</t>
        </is>
      </c>
      <c r="C135" t="inlineStr">
        <is>
          <t>Föryngringsavverkning</t>
        </is>
      </c>
      <c r="D135" s="1" t="n">
        <v>44609</v>
      </c>
      <c r="E135" s="1" t="n">
        <v>46232</v>
      </c>
      <c r="F135" t="inlineStr">
        <is>
          <t>DALARNAS LÄN</t>
        </is>
      </c>
      <c r="G135" t="inlineStr">
        <is>
          <t>SÄTER</t>
        </is>
      </c>
      <c r="I135" t="n">
        <v>6.2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t="n">
        <v>0</v>
      </c>
      <c r="S135" t="n">
        <v>0</v>
      </c>
      <c r="T135" t="n">
        <v>0</v>
      </c>
      <c r="U135" t="n">
        <v>0</v>
      </c>
      <c r="V135" s="2" t="inlineStr"/>
    </row>
    <row r="136" ht="15" customHeight="1">
      <c r="A136" t="inlineStr">
        <is>
          <t>A 46494-2025</t>
        </is>
      </c>
      <c r="B136" t="inlineStr">
        <is>
          <t>avverkningsanmälan</t>
        </is>
      </c>
      <c r="C136" t="inlineStr">
        <is>
          <t>Föryngringsavverkning</t>
        </is>
      </c>
      <c r="D136" s="1" t="n">
        <v>45925</v>
      </c>
      <c r="E136" s="1" t="n">
        <v>46232</v>
      </c>
      <c r="F136" t="inlineStr">
        <is>
          <t>DALARNAS LÄN</t>
        </is>
      </c>
      <c r="G136" t="inlineStr">
        <is>
          <t>SÄTER</t>
        </is>
      </c>
      <c r="H136" t="inlineStr">
        <is>
          <t>Bergvik skog väst AB</t>
        </is>
      </c>
      <c r="I136" t="n">
        <v>15.2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t="n">
        <v>0</v>
      </c>
      <c r="S136" t="n">
        <v>0</v>
      </c>
      <c r="T136" t="n">
        <v>0</v>
      </c>
      <c r="U136" t="n">
        <v>0</v>
      </c>
      <c r="V136" s="2" t="inlineStr"/>
    </row>
    <row r="137" ht="15" customHeight="1">
      <c r="A137" t="inlineStr">
        <is>
          <t>A 46495-2025</t>
        </is>
      </c>
      <c r="B137" t="inlineStr">
        <is>
          <t>avverkningsanmälan</t>
        </is>
      </c>
      <c r="C137" t="inlineStr">
        <is>
          <t>Föryngringsavverkning</t>
        </is>
      </c>
      <c r="D137" s="1" t="n">
        <v>45925</v>
      </c>
      <c r="E137" s="1" t="n">
        <v>46232</v>
      </c>
      <c r="F137" t="inlineStr">
        <is>
          <t>DALARNAS LÄN</t>
        </is>
      </c>
      <c r="G137" t="inlineStr">
        <is>
          <t>SÄTER</t>
        </is>
      </c>
      <c r="H137" t="inlineStr">
        <is>
          <t>Bergvik skog väst AB</t>
        </is>
      </c>
      <c r="I137" t="n">
        <v>41.4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t="n">
        <v>0</v>
      </c>
      <c r="S137" t="n">
        <v>0</v>
      </c>
      <c r="T137" t="n">
        <v>0</v>
      </c>
      <c r="U137" t="n">
        <v>0</v>
      </c>
      <c r="V137" s="2" t="inlineStr"/>
    </row>
    <row r="138" ht="15" customHeight="1">
      <c r="A138" t="inlineStr">
        <is>
          <t>A 46891-2025</t>
        </is>
      </c>
      <c r="B138" t="inlineStr">
        <is>
          <t>avverkningsanmälan</t>
        </is>
      </c>
      <c r="C138" t="inlineStr">
        <is>
          <t>Föryngringsavverkning</t>
        </is>
      </c>
      <c r="D138" s="1" t="n">
        <v>45929</v>
      </c>
      <c r="E138" s="1" t="n">
        <v>46232</v>
      </c>
      <c r="F138" t="inlineStr">
        <is>
          <t>DALARNAS LÄN</t>
        </is>
      </c>
      <c r="G138" t="inlineStr">
        <is>
          <t>SÄTER</t>
        </is>
      </c>
      <c r="I138" t="n">
        <v>2.8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t="n">
        <v>0</v>
      </c>
      <c r="S138" t="n">
        <v>0</v>
      </c>
      <c r="T138" t="n">
        <v>0</v>
      </c>
      <c r="U138" t="n">
        <v>0</v>
      </c>
      <c r="V138" s="2" t="inlineStr"/>
    </row>
    <row r="139" ht="15" customHeight="1">
      <c r="A139" t="inlineStr">
        <is>
          <t>A 4345-2026</t>
        </is>
      </c>
      <c r="B139" t="inlineStr">
        <is>
          <t>avverkningsanmälan</t>
        </is>
      </c>
      <c r="C139" t="inlineStr">
        <is>
          <t>Föryngringsavverkning</t>
        </is>
      </c>
      <c r="D139" s="1" t="n">
        <v>46045</v>
      </c>
      <c r="E139" s="1" t="n">
        <v>46232</v>
      </c>
      <c r="F139" t="inlineStr">
        <is>
          <t>DALARNAS LÄN</t>
        </is>
      </c>
      <c r="G139" t="inlineStr">
        <is>
          <t>SÄTER</t>
        </is>
      </c>
      <c r="I139" t="n">
        <v>0.9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t="n">
        <v>0</v>
      </c>
      <c r="S139" t="n">
        <v>0</v>
      </c>
      <c r="T139" t="n">
        <v>0</v>
      </c>
      <c r="U139" t="n">
        <v>0</v>
      </c>
      <c r="V139" s="2" t="inlineStr"/>
    </row>
    <row r="140" ht="15" customHeight="1">
      <c r="A140" t="inlineStr">
        <is>
          <t>A 35410-2025</t>
        </is>
      </c>
      <c r="B140" t="inlineStr">
        <is>
          <t>avverkningsanmälan</t>
        </is>
      </c>
      <c r="C140" t="inlineStr">
        <is>
          <t>Föryngringsavverkning</t>
        </is>
      </c>
      <c r="D140" s="1" t="n">
        <v>45855</v>
      </c>
      <c r="E140" s="1" t="n">
        <v>46232</v>
      </c>
      <c r="F140" t="inlineStr">
        <is>
          <t>DALARNAS LÄN</t>
        </is>
      </c>
      <c r="G140" t="inlineStr">
        <is>
          <t>SÄTER</t>
        </is>
      </c>
      <c r="I140" t="n">
        <v>0.9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t="n">
        <v>0</v>
      </c>
      <c r="S140" t="n">
        <v>0</v>
      </c>
      <c r="T140" t="n">
        <v>0</v>
      </c>
      <c r="U140" t="n">
        <v>0</v>
      </c>
      <c r="V140" s="2" t="inlineStr"/>
    </row>
    <row r="141" ht="15" customHeight="1">
      <c r="A141" t="inlineStr">
        <is>
          <t>A 35409-2025</t>
        </is>
      </c>
      <c r="B141" t="inlineStr">
        <is>
          <t>avverkningsanmälan</t>
        </is>
      </c>
      <c r="C141" t="inlineStr">
        <is>
          <t>Föryngringsavverkning</t>
        </is>
      </c>
      <c r="D141" s="1" t="n">
        <v>45855</v>
      </c>
      <c r="E141" s="1" t="n">
        <v>46232</v>
      </c>
      <c r="F141" t="inlineStr">
        <is>
          <t>DALARNAS LÄN</t>
        </is>
      </c>
      <c r="G141" t="inlineStr">
        <is>
          <t>SÄTER</t>
        </is>
      </c>
      <c r="I141" t="n">
        <v>1.9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t="n">
        <v>0</v>
      </c>
      <c r="S141" t="n">
        <v>0</v>
      </c>
      <c r="T141" t="n">
        <v>0</v>
      </c>
      <c r="U141" t="n">
        <v>0</v>
      </c>
      <c r="V141" s="2" t="inlineStr"/>
    </row>
    <row r="142" ht="15" customHeight="1">
      <c r="A142" t="inlineStr">
        <is>
          <t>A 47280-2025</t>
        </is>
      </c>
      <c r="B142" t="inlineStr">
        <is>
          <t>avverkningsanmälan</t>
        </is>
      </c>
      <c r="C142" t="inlineStr">
        <is>
          <t>Föryngringsavverkning</t>
        </is>
      </c>
      <c r="D142" s="1" t="n">
        <v>45930</v>
      </c>
      <c r="E142" s="1" t="n">
        <v>46232</v>
      </c>
      <c r="F142" t="inlineStr">
        <is>
          <t>DALARNAS LÄN</t>
        </is>
      </c>
      <c r="G142" t="inlineStr">
        <is>
          <t>SÄTER</t>
        </is>
      </c>
      <c r="H142" t="inlineStr">
        <is>
          <t>Bergvik skog väst AB</t>
        </is>
      </c>
      <c r="I142" t="n">
        <v>4.5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t="n">
        <v>0</v>
      </c>
      <c r="S142" t="n">
        <v>0</v>
      </c>
      <c r="T142" t="n">
        <v>0</v>
      </c>
      <c r="U142" t="n">
        <v>0</v>
      </c>
      <c r="V142" s="2" t="inlineStr"/>
    </row>
    <row r="143" ht="15" customHeight="1">
      <c r="A143" t="inlineStr">
        <is>
          <t>A 36549-2025</t>
        </is>
      </c>
      <c r="B143" t="inlineStr">
        <is>
          <t>avverkningsanmälan</t>
        </is>
      </c>
      <c r="C143" t="inlineStr">
        <is>
          <t>Föryngringsavverkning</t>
        </is>
      </c>
      <c r="D143" s="1" t="n">
        <v>45870</v>
      </c>
      <c r="E143" s="1" t="n">
        <v>46232</v>
      </c>
      <c r="F143" t="inlineStr">
        <is>
          <t>DALARNAS LÄN</t>
        </is>
      </c>
      <c r="G143" t="inlineStr">
        <is>
          <t>SÄTER</t>
        </is>
      </c>
      <c r="I143" t="n">
        <v>1.4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t="n">
        <v>0</v>
      </c>
      <c r="S143" t="n">
        <v>0</v>
      </c>
      <c r="T143" t="n">
        <v>0</v>
      </c>
      <c r="U143" t="n">
        <v>0</v>
      </c>
      <c r="V143" s="2" t="inlineStr"/>
    </row>
    <row r="144" ht="15" customHeight="1">
      <c r="A144" t="inlineStr">
        <is>
          <t>A 48507-2025</t>
        </is>
      </c>
      <c r="B144" t="inlineStr">
        <is>
          <t>avverkningsanmälan</t>
        </is>
      </c>
      <c r="C144" t="inlineStr">
        <is>
          <t>Föryngringsavverkning</t>
        </is>
      </c>
      <c r="D144" s="1" t="n">
        <v>45936</v>
      </c>
      <c r="E144" s="1" t="n">
        <v>46232</v>
      </c>
      <c r="F144" t="inlineStr">
        <is>
          <t>DALARNAS LÄN</t>
        </is>
      </c>
      <c r="G144" t="inlineStr">
        <is>
          <t>SÄTER</t>
        </is>
      </c>
      <c r="I144" t="n">
        <v>3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t="n">
        <v>0</v>
      </c>
      <c r="S144" t="n">
        <v>0</v>
      </c>
      <c r="T144" t="n">
        <v>0</v>
      </c>
      <c r="U144" t="n">
        <v>0</v>
      </c>
      <c r="V144" s="2" t="inlineStr"/>
    </row>
    <row r="145" ht="15" customHeight="1">
      <c r="A145" t="inlineStr">
        <is>
          <t>A 48862-2025</t>
        </is>
      </c>
      <c r="B145" t="inlineStr">
        <is>
          <t>avverkningsanmälan</t>
        </is>
      </c>
      <c r="C145" t="inlineStr">
        <is>
          <t>Föryngringsavverkning</t>
        </is>
      </c>
      <c r="D145" s="1" t="n">
        <v>45937</v>
      </c>
      <c r="E145" s="1" t="n">
        <v>46232</v>
      </c>
      <c r="F145" t="inlineStr">
        <is>
          <t>DALARNAS LÄN</t>
        </is>
      </c>
      <c r="G145" t="inlineStr">
        <is>
          <t>SÄTER</t>
        </is>
      </c>
      <c r="I145" t="n">
        <v>5.8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t="n">
        <v>0</v>
      </c>
      <c r="S145" t="n">
        <v>0</v>
      </c>
      <c r="T145" t="n">
        <v>0</v>
      </c>
      <c r="U145" t="n">
        <v>0</v>
      </c>
      <c r="V145" s="2" t="inlineStr"/>
    </row>
    <row r="146" ht="15" customHeight="1">
      <c r="A146" t="inlineStr">
        <is>
          <t>A 5723-2026</t>
        </is>
      </c>
      <c r="B146" t="inlineStr">
        <is>
          <t>avverkningsanmälan</t>
        </is>
      </c>
      <c r="C146" t="inlineStr">
        <is>
          <t>Föryngringsavverkning</t>
        </is>
      </c>
      <c r="D146" s="1" t="n">
        <v>46051</v>
      </c>
      <c r="E146" s="1" t="n">
        <v>46232</v>
      </c>
      <c r="F146" t="inlineStr">
        <is>
          <t>DALARNAS LÄN</t>
        </is>
      </c>
      <c r="G146" t="inlineStr">
        <is>
          <t>SÄTER</t>
        </is>
      </c>
      <c r="I146" t="n">
        <v>1.5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t="n">
        <v>0</v>
      </c>
      <c r="S146" t="n">
        <v>0</v>
      </c>
      <c r="T146" t="n">
        <v>0</v>
      </c>
      <c r="U146" t="n">
        <v>0</v>
      </c>
      <c r="V146" s="2" t="inlineStr"/>
    </row>
    <row r="147" ht="15" customHeight="1">
      <c r="A147" t="inlineStr">
        <is>
          <t>A 49599-2025</t>
        </is>
      </c>
      <c r="B147" t="inlineStr">
        <is>
          <t>avverkningsanmälan</t>
        </is>
      </c>
      <c r="C147" t="inlineStr">
        <is>
          <t>Föryngringsavverkning</t>
        </is>
      </c>
      <c r="D147" s="1" t="n">
        <v>45939</v>
      </c>
      <c r="E147" s="1" t="n">
        <v>46232</v>
      </c>
      <c r="F147" t="inlineStr">
        <is>
          <t>DALARNAS LÄN</t>
        </is>
      </c>
      <c r="G147" t="inlineStr">
        <is>
          <t>SÄTER</t>
        </is>
      </c>
      <c r="I147" t="n">
        <v>0.6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t="n">
        <v>0</v>
      </c>
      <c r="S147" t="n">
        <v>0</v>
      </c>
      <c r="T147" t="n">
        <v>0</v>
      </c>
      <c r="U147" t="n">
        <v>0</v>
      </c>
      <c r="V147" s="2" t="inlineStr"/>
    </row>
    <row r="148" ht="15" customHeight="1">
      <c r="A148" t="inlineStr">
        <is>
          <t>A 29846-2023</t>
        </is>
      </c>
      <c r="B148" t="inlineStr">
        <is>
          <t>avverkningsanmälan</t>
        </is>
      </c>
      <c r="C148" t="inlineStr">
        <is>
          <t>Föryngringsavverkning</t>
        </is>
      </c>
      <c r="D148" s="1" t="n">
        <v>45107</v>
      </c>
      <c r="E148" s="1" t="n">
        <v>46232</v>
      </c>
      <c r="F148" t="inlineStr">
        <is>
          <t>DALARNAS LÄN</t>
        </is>
      </c>
      <c r="G148" t="inlineStr">
        <is>
          <t>SÄTER</t>
        </is>
      </c>
      <c r="I148" t="n">
        <v>0.8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t="n">
        <v>0</v>
      </c>
      <c r="S148" t="n">
        <v>0</v>
      </c>
      <c r="T148" t="n">
        <v>0</v>
      </c>
      <c r="U148" t="n">
        <v>0</v>
      </c>
      <c r="V148" s="2" t="inlineStr"/>
    </row>
    <row r="149" ht="15" customHeight="1">
      <c r="A149" t="inlineStr">
        <is>
          <t>A 37075-2025</t>
        </is>
      </c>
      <c r="B149" t="inlineStr">
        <is>
          <t>avverkningsanmälan</t>
        </is>
      </c>
      <c r="C149" t="inlineStr">
        <is>
          <t>Föryngringsavverkning</t>
        </is>
      </c>
      <c r="D149" s="1" t="n">
        <v>45875</v>
      </c>
      <c r="E149" s="1" t="n">
        <v>46232</v>
      </c>
      <c r="F149" t="inlineStr">
        <is>
          <t>DALARNAS LÄN</t>
        </is>
      </c>
      <c r="G149" t="inlineStr">
        <is>
          <t>SÄTER</t>
        </is>
      </c>
      <c r="I149" t="n">
        <v>0.6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t="n">
        <v>0</v>
      </c>
      <c r="S149" t="n">
        <v>0</v>
      </c>
      <c r="T149" t="n">
        <v>0</v>
      </c>
      <c r="U149" t="n">
        <v>0</v>
      </c>
      <c r="V149" s="2" t="inlineStr"/>
    </row>
    <row r="150" ht="15" customHeight="1">
      <c r="A150" t="inlineStr">
        <is>
          <t>A 55428-2025</t>
        </is>
      </c>
      <c r="B150" t="inlineStr">
        <is>
          <t>avverkningsanmälan</t>
        </is>
      </c>
      <c r="C150" t="inlineStr">
        <is>
          <t>Föryngringsavverkning</t>
        </is>
      </c>
      <c r="D150" s="1" t="n">
        <v>45971</v>
      </c>
      <c r="E150" s="1" t="n">
        <v>46232</v>
      </c>
      <c r="F150" t="inlineStr">
        <is>
          <t>DALARNAS LÄN</t>
        </is>
      </c>
      <c r="G150" t="inlineStr">
        <is>
          <t>SÄTER</t>
        </is>
      </c>
      <c r="H150" t="inlineStr">
        <is>
          <t>Bergvik skog väst AB</t>
        </is>
      </c>
      <c r="I150" t="n">
        <v>5.5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t="n">
        <v>0</v>
      </c>
      <c r="S150" t="n">
        <v>0</v>
      </c>
      <c r="T150" t="n">
        <v>0</v>
      </c>
      <c r="U150" t="n">
        <v>0</v>
      </c>
      <c r="V150" s="2" t="inlineStr"/>
    </row>
    <row r="151" ht="15" customHeight="1">
      <c r="A151" t="inlineStr">
        <is>
          <t>A 1305-2022</t>
        </is>
      </c>
      <c r="B151" t="inlineStr">
        <is>
          <t>avverkningsanmälan</t>
        </is>
      </c>
      <c r="C151" t="inlineStr">
        <is>
          <t>Föryngringsavverkning</t>
        </is>
      </c>
      <c r="D151" s="1" t="n">
        <v>44572</v>
      </c>
      <c r="E151" s="1" t="n">
        <v>46232</v>
      </c>
      <c r="F151" t="inlineStr">
        <is>
          <t>DALARNAS LÄN</t>
        </is>
      </c>
      <c r="G151" t="inlineStr">
        <is>
          <t>SÄTER</t>
        </is>
      </c>
      <c r="I151" t="n">
        <v>6.6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t="n">
        <v>0</v>
      </c>
      <c r="S151" t="n">
        <v>0</v>
      </c>
      <c r="T151" t="n">
        <v>0</v>
      </c>
      <c r="U151" t="n">
        <v>0</v>
      </c>
      <c r="V151" s="2" t="inlineStr"/>
    </row>
    <row r="152" ht="15" customHeight="1">
      <c r="A152" t="inlineStr">
        <is>
          <t>A 55650-2024</t>
        </is>
      </c>
      <c r="B152" t="inlineStr">
        <is>
          <t>avverkningsanmälan</t>
        </is>
      </c>
      <c r="C152" t="inlineStr">
        <is>
          <t>Föryngringsavverkning</t>
        </is>
      </c>
      <c r="D152" s="1" t="n">
        <v>45622</v>
      </c>
      <c r="E152" s="1" t="n">
        <v>46232</v>
      </c>
      <c r="F152" t="inlineStr">
        <is>
          <t>DALARNAS LÄN</t>
        </is>
      </c>
      <c r="G152" t="inlineStr">
        <is>
          <t>SÄTER</t>
        </is>
      </c>
      <c r="I152" t="n">
        <v>0.7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t="n">
        <v>0</v>
      </c>
      <c r="S152" t="n">
        <v>0</v>
      </c>
      <c r="T152" t="n">
        <v>0</v>
      </c>
      <c r="U152" t="n">
        <v>0</v>
      </c>
      <c r="V152" s="2" t="inlineStr"/>
    </row>
    <row r="153" ht="15" customHeight="1">
      <c r="A153" t="inlineStr">
        <is>
          <t>A 50649-2025</t>
        </is>
      </c>
      <c r="B153" t="inlineStr">
        <is>
          <t>avverkningsanmälan</t>
        </is>
      </c>
      <c r="C153" t="inlineStr">
        <is>
          <t>Föryngringsavverkning</t>
        </is>
      </c>
      <c r="D153" s="1" t="n">
        <v>45945</v>
      </c>
      <c r="E153" s="1" t="n">
        <v>46232</v>
      </c>
      <c r="F153" t="inlineStr">
        <is>
          <t>DALARNAS LÄN</t>
        </is>
      </c>
      <c r="G153" t="inlineStr">
        <is>
          <t>SÄTER</t>
        </is>
      </c>
      <c r="H153" t="inlineStr">
        <is>
          <t>Bergvik skog väst AB</t>
        </is>
      </c>
      <c r="I153" t="n">
        <v>1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t="n">
        <v>0</v>
      </c>
      <c r="S153" t="n">
        <v>0</v>
      </c>
      <c r="T153" t="n">
        <v>0</v>
      </c>
      <c r="U153" t="n">
        <v>0</v>
      </c>
      <c r="V153" s="2" t="inlineStr"/>
    </row>
    <row r="154" ht="15" customHeight="1">
      <c r="A154" t="inlineStr">
        <is>
          <t>A 6845-2026</t>
        </is>
      </c>
      <c r="B154" t="inlineStr">
        <is>
          <t>avverkningsanmälan</t>
        </is>
      </c>
      <c r="C154" t="inlineStr">
        <is>
          <t>Föryngringsavverkning</t>
        </is>
      </c>
      <c r="D154" s="1" t="n">
        <v>46057</v>
      </c>
      <c r="E154" s="1" t="n">
        <v>46232</v>
      </c>
      <c r="F154" t="inlineStr">
        <is>
          <t>DALARNAS LÄN</t>
        </is>
      </c>
      <c r="G154" t="inlineStr">
        <is>
          <t>SÄTER</t>
        </is>
      </c>
      <c r="I154" t="n">
        <v>2.2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t="n">
        <v>0</v>
      </c>
      <c r="S154" t="n">
        <v>0</v>
      </c>
      <c r="T154" t="n">
        <v>0</v>
      </c>
      <c r="U154" t="n">
        <v>0</v>
      </c>
      <c r="V154" s="2" t="inlineStr"/>
    </row>
    <row r="155" ht="15" customHeight="1">
      <c r="A155" t="inlineStr">
        <is>
          <t>A 50187-2024</t>
        </is>
      </c>
      <c r="B155" t="inlineStr">
        <is>
          <t>avverkningsanmälan</t>
        </is>
      </c>
      <c r="C155" t="inlineStr">
        <is>
          <t>Föryngringsavverkning</t>
        </is>
      </c>
      <c r="D155" s="1" t="n">
        <v>45599</v>
      </c>
      <c r="E155" s="1" t="n">
        <v>46232</v>
      </c>
      <c r="F155" t="inlineStr">
        <is>
          <t>DALARNAS LÄN</t>
        </is>
      </c>
      <c r="G155" t="inlineStr">
        <is>
          <t>SÄTER</t>
        </is>
      </c>
      <c r="I155" t="n">
        <v>1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t="n">
        <v>0</v>
      </c>
      <c r="S155" t="n">
        <v>0</v>
      </c>
      <c r="T155" t="n">
        <v>0</v>
      </c>
      <c r="U155" t="n">
        <v>0</v>
      </c>
      <c r="V155" s="2" t="inlineStr"/>
    </row>
    <row r="156" ht="15" customHeight="1">
      <c r="A156" t="inlineStr">
        <is>
          <t>A 50533-2025</t>
        </is>
      </c>
      <c r="B156" t="inlineStr">
        <is>
          <t>avverkningsanmälan</t>
        </is>
      </c>
      <c r="C156" t="inlineStr">
        <is>
          <t>Föryngringsavverkning</t>
        </is>
      </c>
      <c r="D156" s="1" t="n">
        <v>45945</v>
      </c>
      <c r="E156" s="1" t="n">
        <v>46232</v>
      </c>
      <c r="F156" t="inlineStr">
        <is>
          <t>DALARNAS LÄN</t>
        </is>
      </c>
      <c r="G156" t="inlineStr">
        <is>
          <t>SÄTER</t>
        </is>
      </c>
      <c r="H156" t="inlineStr">
        <is>
          <t>Bergvik skog väst AB</t>
        </is>
      </c>
      <c r="I156" t="n">
        <v>8.6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t="n">
        <v>0</v>
      </c>
      <c r="S156" t="n">
        <v>0</v>
      </c>
      <c r="T156" t="n">
        <v>0</v>
      </c>
      <c r="U156" t="n">
        <v>0</v>
      </c>
      <c r="V156" s="2" t="inlineStr"/>
    </row>
    <row r="157" ht="15" customHeight="1">
      <c r="A157" t="inlineStr">
        <is>
          <t>A 38264-2025</t>
        </is>
      </c>
      <c r="B157" t="inlineStr">
        <is>
          <t>avverkningsanmälan</t>
        </is>
      </c>
      <c r="C157" t="inlineStr">
        <is>
          <t>Föryngringsavverkning</t>
        </is>
      </c>
      <c r="D157" s="1" t="n">
        <v>45883</v>
      </c>
      <c r="E157" s="1" t="n">
        <v>46232</v>
      </c>
      <c r="F157" t="inlineStr">
        <is>
          <t>DALARNAS LÄN</t>
        </is>
      </c>
      <c r="G157" t="inlineStr">
        <is>
          <t>SÄTER</t>
        </is>
      </c>
      <c r="I157" t="n">
        <v>10.8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t="n">
        <v>0</v>
      </c>
      <c r="S157" t="n">
        <v>0</v>
      </c>
      <c r="T157" t="n">
        <v>0</v>
      </c>
      <c r="U157" t="n">
        <v>0</v>
      </c>
      <c r="V157" s="2" t="inlineStr"/>
    </row>
    <row r="158" ht="15" customHeight="1">
      <c r="A158" t="inlineStr">
        <is>
          <t>A 6856-2026</t>
        </is>
      </c>
      <c r="B158" t="inlineStr">
        <is>
          <t>avverkningsanmälan</t>
        </is>
      </c>
      <c r="C158" t="inlineStr">
        <is>
          <t>Föryngringsavverkning</t>
        </is>
      </c>
      <c r="D158" s="1" t="n">
        <v>46057</v>
      </c>
      <c r="E158" s="1" t="n">
        <v>46232</v>
      </c>
      <c r="F158" t="inlineStr">
        <is>
          <t>DALARNAS LÄN</t>
        </is>
      </c>
      <c r="G158" t="inlineStr">
        <is>
          <t>SÄTER</t>
        </is>
      </c>
      <c r="I158" t="n">
        <v>3.6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t="n">
        <v>0</v>
      </c>
      <c r="S158" t="n">
        <v>0</v>
      </c>
      <c r="T158" t="n">
        <v>0</v>
      </c>
      <c r="U158" t="n">
        <v>0</v>
      </c>
      <c r="V158" s="2" t="inlineStr"/>
    </row>
    <row r="159" ht="15" customHeight="1">
      <c r="A159" t="inlineStr">
        <is>
          <t>A 51826-2025</t>
        </is>
      </c>
      <c r="B159" t="inlineStr">
        <is>
          <t>avverkningsanmälan</t>
        </is>
      </c>
      <c r="C159" t="inlineStr">
        <is>
          <t>Föryngringsavverkning</t>
        </is>
      </c>
      <c r="D159" s="1" t="n">
        <v>45951</v>
      </c>
      <c r="E159" s="1" t="n">
        <v>46232</v>
      </c>
      <c r="F159" t="inlineStr">
        <is>
          <t>DALARNAS LÄN</t>
        </is>
      </c>
      <c r="G159" t="inlineStr">
        <is>
          <t>SÄTER</t>
        </is>
      </c>
      <c r="H159" t="inlineStr">
        <is>
          <t>Bergvik skog väst AB</t>
        </is>
      </c>
      <c r="I159" t="n">
        <v>15.1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t="n">
        <v>0</v>
      </c>
      <c r="S159" t="n">
        <v>0</v>
      </c>
      <c r="T159" t="n">
        <v>0</v>
      </c>
      <c r="U159" t="n">
        <v>0</v>
      </c>
      <c r="V159" s="2" t="inlineStr"/>
    </row>
    <row r="160" ht="15" customHeight="1">
      <c r="A160" t="inlineStr">
        <is>
          <t>A 51824-2025</t>
        </is>
      </c>
      <c r="B160" t="inlineStr">
        <is>
          <t>avverkningsanmälan</t>
        </is>
      </c>
      <c r="C160" t="inlineStr">
        <is>
          <t>Föryngringsavverkning</t>
        </is>
      </c>
      <c r="D160" s="1" t="n">
        <v>45951</v>
      </c>
      <c r="E160" s="1" t="n">
        <v>46232</v>
      </c>
      <c r="F160" t="inlineStr">
        <is>
          <t>DALARNAS LÄN</t>
        </is>
      </c>
      <c r="G160" t="inlineStr">
        <is>
          <t>SÄTER</t>
        </is>
      </c>
      <c r="H160" t="inlineStr">
        <is>
          <t>Bergvik skog väst AB</t>
        </is>
      </c>
      <c r="I160" t="n">
        <v>3.7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t="n">
        <v>0</v>
      </c>
      <c r="S160" t="n">
        <v>0</v>
      </c>
      <c r="T160" t="n">
        <v>0</v>
      </c>
      <c r="U160" t="n">
        <v>0</v>
      </c>
      <c r="V160" s="2" t="inlineStr"/>
    </row>
    <row r="161" ht="15" customHeight="1">
      <c r="A161" t="inlineStr">
        <is>
          <t>A 51474-2024</t>
        </is>
      </c>
      <c r="B161" t="inlineStr">
        <is>
          <t>avverkningsanmälan</t>
        </is>
      </c>
      <c r="C161" t="inlineStr">
        <is>
          <t>Föryngringsavverkning</t>
        </is>
      </c>
      <c r="D161" s="1" t="n">
        <v>45604</v>
      </c>
      <c r="E161" s="1" t="n">
        <v>46232</v>
      </c>
      <c r="F161" t="inlineStr">
        <is>
          <t>DALARNAS LÄN</t>
        </is>
      </c>
      <c r="G161" t="inlineStr">
        <is>
          <t>SÄTER</t>
        </is>
      </c>
      <c r="I161" t="n">
        <v>0.8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t="n">
        <v>0</v>
      </c>
      <c r="S161" t="n">
        <v>0</v>
      </c>
      <c r="T161" t="n">
        <v>0</v>
      </c>
      <c r="U161" t="n">
        <v>0</v>
      </c>
      <c r="V161" s="2" t="inlineStr"/>
    </row>
    <row r="162" ht="15" customHeight="1">
      <c r="A162" t="inlineStr">
        <is>
          <t>A 8435-2026</t>
        </is>
      </c>
      <c r="B162" t="inlineStr">
        <is>
          <t>avverkningsanmälan</t>
        </is>
      </c>
      <c r="C162" t="inlineStr">
        <is>
          <t>Föryngringsavverkning</t>
        </is>
      </c>
      <c r="D162" s="1" t="n">
        <v>46065</v>
      </c>
      <c r="E162" s="1" t="n">
        <v>46232</v>
      </c>
      <c r="F162" t="inlineStr">
        <is>
          <t>DALARNAS LÄN</t>
        </is>
      </c>
      <c r="G162" t="inlineStr">
        <is>
          <t>SÄTER</t>
        </is>
      </c>
      <c r="I162" t="n">
        <v>9.9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t="n">
        <v>0</v>
      </c>
      <c r="S162" t="n">
        <v>0</v>
      </c>
      <c r="T162" t="n">
        <v>0</v>
      </c>
      <c r="U162" t="n">
        <v>0</v>
      </c>
      <c r="V162" s="2" t="inlineStr"/>
    </row>
    <row r="163" ht="15" customHeight="1">
      <c r="A163" t="inlineStr">
        <is>
          <t>A 61332-2023</t>
        </is>
      </c>
      <c r="B163" t="inlineStr">
        <is>
          <t>avverkningsanmälan</t>
        </is>
      </c>
      <c r="C163" t="inlineStr">
        <is>
          <t>Föryngringsavverkning</t>
        </is>
      </c>
      <c r="D163" s="1" t="n">
        <v>45264</v>
      </c>
      <c r="E163" s="1" t="n">
        <v>46232</v>
      </c>
      <c r="F163" t="inlineStr">
        <is>
          <t>DALARNAS LÄN</t>
        </is>
      </c>
      <c r="G163" t="inlineStr">
        <is>
          <t>SÄTER</t>
        </is>
      </c>
      <c r="I163" t="n">
        <v>2.4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t="n">
        <v>0</v>
      </c>
      <c r="S163" t="n">
        <v>0</v>
      </c>
      <c r="T163" t="n">
        <v>0</v>
      </c>
      <c r="U163" t="n">
        <v>0</v>
      </c>
      <c r="V163" s="2" t="inlineStr"/>
    </row>
    <row r="164" ht="15" customHeight="1">
      <c r="A164" t="inlineStr">
        <is>
          <t>A 8355-2026</t>
        </is>
      </c>
      <c r="B164" t="inlineStr">
        <is>
          <t>avverkningsanmälan</t>
        </is>
      </c>
      <c r="C164" t="inlineStr">
        <is>
          <t>Föryngringsavverkning</t>
        </is>
      </c>
      <c r="D164" s="1" t="n">
        <v>46064</v>
      </c>
      <c r="E164" s="1" t="n">
        <v>46232</v>
      </c>
      <c r="F164" t="inlineStr">
        <is>
          <t>DALARNAS LÄN</t>
        </is>
      </c>
      <c r="G164" t="inlineStr">
        <is>
          <t>SÄTER</t>
        </is>
      </c>
      <c r="I164" t="n">
        <v>1.9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t="n">
        <v>0</v>
      </c>
      <c r="S164" t="n">
        <v>0</v>
      </c>
      <c r="T164" t="n">
        <v>0</v>
      </c>
      <c r="U164" t="n">
        <v>0</v>
      </c>
      <c r="V164" s="2" t="inlineStr"/>
    </row>
    <row r="165" ht="15" customHeight="1">
      <c r="A165" t="inlineStr">
        <is>
          <t>A 52422-2025</t>
        </is>
      </c>
      <c r="B165" t="inlineStr">
        <is>
          <t>avverkningsanmälan</t>
        </is>
      </c>
      <c r="C165" t="inlineStr">
        <is>
          <t>Föryngringsavverkning</t>
        </is>
      </c>
      <c r="D165" s="1" t="n">
        <v>45954</v>
      </c>
      <c r="E165" s="1" t="n">
        <v>46232</v>
      </c>
      <c r="F165" t="inlineStr">
        <is>
          <t>DALARNAS LÄN</t>
        </is>
      </c>
      <c r="G165" t="inlineStr">
        <is>
          <t>SÄTER</t>
        </is>
      </c>
      <c r="I165" t="n">
        <v>4.5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t="n">
        <v>0</v>
      </c>
      <c r="S165" t="n">
        <v>0</v>
      </c>
      <c r="T165" t="n">
        <v>0</v>
      </c>
      <c r="U165" t="n">
        <v>0</v>
      </c>
      <c r="V165" s="2" t="inlineStr"/>
    </row>
    <row r="166" ht="15" customHeight="1">
      <c r="A166" t="inlineStr">
        <is>
          <t>A 59390-2024</t>
        </is>
      </c>
      <c r="B166" t="inlineStr">
        <is>
          <t>avverkningsanmälan</t>
        </is>
      </c>
      <c r="C166" t="inlineStr">
        <is>
          <t>Föryngringsavverkning</t>
        </is>
      </c>
      <c r="D166" s="1" t="n">
        <v>45638</v>
      </c>
      <c r="E166" s="1" t="n">
        <v>46232</v>
      </c>
      <c r="F166" t="inlineStr">
        <is>
          <t>DALARNAS LÄN</t>
        </is>
      </c>
      <c r="G166" t="inlineStr">
        <is>
          <t>SÄTER</t>
        </is>
      </c>
      <c r="I166" t="n">
        <v>0.4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t="n">
        <v>0</v>
      </c>
      <c r="S166" t="n">
        <v>0</v>
      </c>
      <c r="T166" t="n">
        <v>0</v>
      </c>
      <c r="U166" t="n">
        <v>0</v>
      </c>
      <c r="V166" s="2" t="inlineStr"/>
    </row>
    <row r="167" ht="15" customHeight="1">
      <c r="A167" t="inlineStr">
        <is>
          <t>A 35163-2023</t>
        </is>
      </c>
      <c r="B167" t="inlineStr">
        <is>
          <t>avverkningsanmälan</t>
        </is>
      </c>
      <c r="C167" t="inlineStr">
        <is>
          <t>Föryngringsavverkning</t>
        </is>
      </c>
      <c r="D167" s="1" t="n">
        <v>45145</v>
      </c>
      <c r="E167" s="1" t="n">
        <v>46232</v>
      </c>
      <c r="F167" t="inlineStr">
        <is>
          <t>DALARNAS LÄN</t>
        </is>
      </c>
      <c r="G167" t="inlineStr">
        <is>
          <t>SÄTER</t>
        </is>
      </c>
      <c r="I167" t="n">
        <v>0.8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t="n">
        <v>0</v>
      </c>
      <c r="S167" t="n">
        <v>0</v>
      </c>
      <c r="T167" t="n">
        <v>0</v>
      </c>
      <c r="U167" t="n">
        <v>0</v>
      </c>
      <c r="V167" s="2" t="inlineStr"/>
    </row>
    <row r="168" ht="15" customHeight="1">
      <c r="A168" t="inlineStr">
        <is>
          <t>A 36939-2025</t>
        </is>
      </c>
      <c r="B168" t="inlineStr">
        <is>
          <t>avverkningsanmälan</t>
        </is>
      </c>
      <c r="C168" t="inlineStr">
        <is>
          <t>Föryngringsavverkning</t>
        </is>
      </c>
      <c r="D168" s="1" t="n">
        <v>45874</v>
      </c>
      <c r="E168" s="1" t="n">
        <v>46232</v>
      </c>
      <c r="F168" t="inlineStr">
        <is>
          <t>DALARNAS LÄN</t>
        </is>
      </c>
      <c r="G168" t="inlineStr">
        <is>
          <t>SÄTER</t>
        </is>
      </c>
      <c r="I168" t="n">
        <v>1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t="n">
        <v>0</v>
      </c>
      <c r="S168" t="n">
        <v>0</v>
      </c>
      <c r="T168" t="n">
        <v>0</v>
      </c>
      <c r="U168" t="n">
        <v>0</v>
      </c>
      <c r="V168" s="2" t="inlineStr"/>
    </row>
    <row r="169" ht="15" customHeight="1">
      <c r="A169" t="inlineStr">
        <is>
          <t>A 34196-2023</t>
        </is>
      </c>
      <c r="B169" t="inlineStr">
        <is>
          <t>avverkningsanmälan</t>
        </is>
      </c>
      <c r="C169" t="inlineStr">
        <is>
          <t>Föryngringsavverkning</t>
        </is>
      </c>
      <c r="D169" s="1" t="n">
        <v>45138</v>
      </c>
      <c r="E169" s="1" t="n">
        <v>46232</v>
      </c>
      <c r="F169" t="inlineStr">
        <is>
          <t>DALARNAS LÄN</t>
        </is>
      </c>
      <c r="G169" t="inlineStr">
        <is>
          <t>SÄTER</t>
        </is>
      </c>
      <c r="I169" t="n">
        <v>1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t="n">
        <v>0</v>
      </c>
      <c r="S169" t="n">
        <v>0</v>
      </c>
      <c r="T169" t="n">
        <v>0</v>
      </c>
      <c r="U169" t="n">
        <v>0</v>
      </c>
      <c r="V169" s="2" t="inlineStr"/>
    </row>
    <row r="170" ht="15" customHeight="1">
      <c r="A170" t="inlineStr">
        <is>
          <t>A 53540-2025</t>
        </is>
      </c>
      <c r="B170" t="inlineStr">
        <is>
          <t>avverkningsanmälan</t>
        </is>
      </c>
      <c r="C170" t="inlineStr">
        <is>
          <t>Föryngringsavverkning</t>
        </is>
      </c>
      <c r="D170" s="1" t="n">
        <v>45960</v>
      </c>
      <c r="E170" s="1" t="n">
        <v>46232</v>
      </c>
      <c r="F170" t="inlineStr">
        <is>
          <t>DALARNAS LÄN</t>
        </is>
      </c>
      <c r="G170" t="inlineStr">
        <is>
          <t>SÄTER</t>
        </is>
      </c>
      <c r="I170" t="n">
        <v>0.7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t="n">
        <v>0</v>
      </c>
      <c r="S170" t="n">
        <v>0</v>
      </c>
      <c r="T170" t="n">
        <v>0</v>
      </c>
      <c r="U170" t="n">
        <v>0</v>
      </c>
      <c r="V170" s="2" t="inlineStr"/>
    </row>
    <row r="171" ht="15" customHeight="1">
      <c r="A171" t="inlineStr">
        <is>
          <t>A 41564-2021</t>
        </is>
      </c>
      <c r="B171" t="inlineStr">
        <is>
          <t>avverkningsanmälan</t>
        </is>
      </c>
      <c r="C171" t="inlineStr">
        <is>
          <t>Föryngringsavverkning</t>
        </is>
      </c>
      <c r="D171" s="1" t="n">
        <v>44425</v>
      </c>
      <c r="E171" s="1" t="n">
        <v>46232</v>
      </c>
      <c r="F171" t="inlineStr">
        <is>
          <t>DALARNAS LÄN</t>
        </is>
      </c>
      <c r="G171" t="inlineStr">
        <is>
          <t>SÄTER</t>
        </is>
      </c>
      <c r="I171" t="n">
        <v>1.8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t="n">
        <v>0</v>
      </c>
      <c r="S171" t="n">
        <v>0</v>
      </c>
      <c r="T171" t="n">
        <v>0</v>
      </c>
      <c r="U171" t="n">
        <v>0</v>
      </c>
      <c r="V171" s="2" t="inlineStr"/>
    </row>
    <row r="172" ht="15" customHeight="1">
      <c r="A172" t="inlineStr">
        <is>
          <t>A 8810-2026</t>
        </is>
      </c>
      <c r="B172" t="inlineStr">
        <is>
          <t>avverkningsanmälan</t>
        </is>
      </c>
      <c r="C172" t="inlineStr">
        <is>
          <t>Föryngringsavverkning</t>
        </is>
      </c>
      <c r="D172" s="1" t="n">
        <v>46066</v>
      </c>
      <c r="E172" s="1" t="n">
        <v>46232</v>
      </c>
      <c r="F172" t="inlineStr">
        <is>
          <t>DALARNAS LÄN</t>
        </is>
      </c>
      <c r="G172" t="inlineStr">
        <is>
          <t>SÄTER</t>
        </is>
      </c>
      <c r="I172" t="n">
        <v>2.5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t="n">
        <v>0</v>
      </c>
      <c r="S172" t="n">
        <v>0</v>
      </c>
      <c r="T172" t="n">
        <v>0</v>
      </c>
      <c r="U172" t="n">
        <v>0</v>
      </c>
      <c r="V172" s="2" t="inlineStr"/>
    </row>
    <row r="173" ht="15" customHeight="1">
      <c r="A173" t="inlineStr">
        <is>
          <t>A 21696-2023</t>
        </is>
      </c>
      <c r="B173" t="inlineStr">
        <is>
          <t>avverkningsanmälan</t>
        </is>
      </c>
      <c r="C173" t="inlineStr">
        <is>
          <t>Föryngringsavverkning</t>
        </is>
      </c>
      <c r="D173" s="1" t="n">
        <v>45063</v>
      </c>
      <c r="E173" s="1" t="n">
        <v>46232</v>
      </c>
      <c r="F173" t="inlineStr">
        <is>
          <t>DALARNAS LÄN</t>
        </is>
      </c>
      <c r="G173" t="inlineStr">
        <is>
          <t>SÄTER</t>
        </is>
      </c>
      <c r="H173" t="inlineStr">
        <is>
          <t>Kommuner</t>
        </is>
      </c>
      <c r="I173" t="n">
        <v>4.5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t="n">
        <v>0</v>
      </c>
      <c r="S173" t="n">
        <v>0</v>
      </c>
      <c r="T173" t="n">
        <v>0</v>
      </c>
      <c r="U173" t="n">
        <v>0</v>
      </c>
      <c r="V173" s="2" t="inlineStr"/>
    </row>
    <row r="174" ht="15" customHeight="1">
      <c r="A174" t="inlineStr">
        <is>
          <t>A 45225-2022</t>
        </is>
      </c>
      <c r="B174" t="inlineStr">
        <is>
          <t>avverkningsanmälan</t>
        </is>
      </c>
      <c r="C174" t="inlineStr">
        <is>
          <t>Föryngringsavverkning</t>
        </is>
      </c>
      <c r="D174" s="1" t="n">
        <v>44840</v>
      </c>
      <c r="E174" s="1" t="n">
        <v>46232</v>
      </c>
      <c r="F174" t="inlineStr">
        <is>
          <t>DALARNAS LÄN</t>
        </is>
      </c>
      <c r="G174" t="inlineStr">
        <is>
          <t>SÄTER</t>
        </is>
      </c>
      <c r="H174" t="inlineStr">
        <is>
          <t>Bergvik skog väst AB</t>
        </is>
      </c>
      <c r="I174" t="n">
        <v>10.2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t="n">
        <v>0</v>
      </c>
      <c r="S174" t="n">
        <v>0</v>
      </c>
      <c r="T174" t="n">
        <v>0</v>
      </c>
      <c r="U174" t="n">
        <v>0</v>
      </c>
      <c r="V174" s="2" t="inlineStr"/>
    </row>
    <row r="175" ht="15" customHeight="1">
      <c r="A175" t="inlineStr">
        <is>
          <t>A 53878-2025</t>
        </is>
      </c>
      <c r="B175" t="inlineStr">
        <is>
          <t>avverkningsanmälan</t>
        </is>
      </c>
      <c r="C175" t="inlineStr">
        <is>
          <t>Föryngringsavverkning</t>
        </is>
      </c>
      <c r="D175" s="1" t="n">
        <v>45961</v>
      </c>
      <c r="E175" s="1" t="n">
        <v>46232</v>
      </c>
      <c r="F175" t="inlineStr">
        <is>
          <t>DALARNAS LÄN</t>
        </is>
      </c>
      <c r="G175" t="inlineStr">
        <is>
          <t>SÄTER</t>
        </is>
      </c>
      <c r="I175" t="n">
        <v>3.3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t="n">
        <v>0</v>
      </c>
      <c r="S175" t="n">
        <v>0</v>
      </c>
      <c r="T175" t="n">
        <v>0</v>
      </c>
      <c r="U175" t="n">
        <v>0</v>
      </c>
      <c r="V175" s="2" t="inlineStr"/>
    </row>
    <row r="176" ht="15" customHeight="1">
      <c r="A176" t="inlineStr">
        <is>
          <t>A 53559-2025</t>
        </is>
      </c>
      <c r="B176" t="inlineStr">
        <is>
          <t>avverkningsanmälan</t>
        </is>
      </c>
      <c r="C176" t="inlineStr">
        <is>
          <t>Avverkning för annat ändamål</t>
        </is>
      </c>
      <c r="D176" s="1" t="n">
        <v>45960</v>
      </c>
      <c r="E176" s="1" t="n">
        <v>46232</v>
      </c>
      <c r="F176" t="inlineStr">
        <is>
          <t>DALARNAS LÄN</t>
        </is>
      </c>
      <c r="G176" t="inlineStr">
        <is>
          <t>SÄTER</t>
        </is>
      </c>
      <c r="I176" t="n">
        <v>0.5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t="n">
        <v>0</v>
      </c>
      <c r="S176" t="n">
        <v>0</v>
      </c>
      <c r="T176" t="n">
        <v>0</v>
      </c>
      <c r="U176" t="n">
        <v>0</v>
      </c>
      <c r="V176" s="2" t="inlineStr"/>
    </row>
    <row r="177" ht="15" customHeight="1">
      <c r="A177" t="inlineStr">
        <is>
          <t>A 5646-2023</t>
        </is>
      </c>
      <c r="B177" t="inlineStr">
        <is>
          <t>avverkningsanmälan</t>
        </is>
      </c>
      <c r="C177" t="inlineStr">
        <is>
          <t>Föryngringsavverkning</t>
        </is>
      </c>
      <c r="D177" s="1" t="n">
        <v>44960</v>
      </c>
      <c r="E177" s="1" t="n">
        <v>46232</v>
      </c>
      <c r="F177" t="inlineStr">
        <is>
          <t>DALARNAS LÄN</t>
        </is>
      </c>
      <c r="G177" t="inlineStr">
        <is>
          <t>SÄTER</t>
        </is>
      </c>
      <c r="I177" t="n">
        <v>0.8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t="n">
        <v>0</v>
      </c>
      <c r="S177" t="n">
        <v>0</v>
      </c>
      <c r="T177" t="n">
        <v>0</v>
      </c>
      <c r="U177" t="n">
        <v>0</v>
      </c>
      <c r="V177" s="2" t="inlineStr"/>
    </row>
    <row r="178" ht="15" customHeight="1">
      <c r="A178" t="inlineStr">
        <is>
          <t>A 54246-2025</t>
        </is>
      </c>
      <c r="B178" t="inlineStr">
        <is>
          <t>avverkningsanmälan</t>
        </is>
      </c>
      <c r="C178" t="inlineStr">
        <is>
          <t>Föryngringsavverkning</t>
        </is>
      </c>
      <c r="D178" s="1" t="n">
        <v>45964</v>
      </c>
      <c r="E178" s="1" t="n">
        <v>46232</v>
      </c>
      <c r="F178" t="inlineStr">
        <is>
          <t>DALARNAS LÄN</t>
        </is>
      </c>
      <c r="G178" t="inlineStr">
        <is>
          <t>SÄTER</t>
        </is>
      </c>
      <c r="H178" t="inlineStr">
        <is>
          <t>Bergvik skog väst AB</t>
        </is>
      </c>
      <c r="I178" t="n">
        <v>7.1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t="n">
        <v>0</v>
      </c>
      <c r="S178" t="n">
        <v>0</v>
      </c>
      <c r="T178" t="n">
        <v>0</v>
      </c>
      <c r="U178" t="n">
        <v>0</v>
      </c>
      <c r="V178" s="2" t="inlineStr"/>
    </row>
    <row r="179" ht="15" customHeight="1">
      <c r="A179" t="inlineStr">
        <is>
          <t>A 44803-2023</t>
        </is>
      </c>
      <c r="B179" t="inlineStr">
        <is>
          <t>avverkningsanmälan</t>
        </is>
      </c>
      <c r="C179" t="inlineStr">
        <is>
          <t>Föryngringsavverkning</t>
        </is>
      </c>
      <c r="D179" s="1" t="n">
        <v>45190</v>
      </c>
      <c r="E179" s="1" t="n">
        <v>46232</v>
      </c>
      <c r="F179" t="inlineStr">
        <is>
          <t>DALARNAS LÄN</t>
        </is>
      </c>
      <c r="G179" t="inlineStr">
        <is>
          <t>SÄTER</t>
        </is>
      </c>
      <c r="I179" t="n">
        <v>1.4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t="n">
        <v>0</v>
      </c>
      <c r="S179" t="n">
        <v>0</v>
      </c>
      <c r="T179" t="n">
        <v>0</v>
      </c>
      <c r="U179" t="n">
        <v>0</v>
      </c>
      <c r="V179" s="2" t="inlineStr"/>
    </row>
    <row r="180" ht="15" customHeight="1">
      <c r="A180" t="inlineStr">
        <is>
          <t>A 55621-2025</t>
        </is>
      </c>
      <c r="B180" t="inlineStr">
        <is>
          <t>avverkningsanmälan</t>
        </is>
      </c>
      <c r="C180" t="inlineStr">
        <is>
          <t>Föryngringsavverkning</t>
        </is>
      </c>
      <c r="D180" s="1" t="n">
        <v>45971</v>
      </c>
      <c r="E180" s="1" t="n">
        <v>46232</v>
      </c>
      <c r="F180" t="inlineStr">
        <is>
          <t>DALARNAS LÄN</t>
        </is>
      </c>
      <c r="G180" t="inlineStr">
        <is>
          <t>SÄTER</t>
        </is>
      </c>
      <c r="H180" t="inlineStr">
        <is>
          <t>Bergvik skog väst AB</t>
        </is>
      </c>
      <c r="I180" t="n">
        <v>0.8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t="n">
        <v>0</v>
      </c>
      <c r="S180" t="n">
        <v>0</v>
      </c>
      <c r="T180" t="n">
        <v>0</v>
      </c>
      <c r="U180" t="n">
        <v>0</v>
      </c>
      <c r="V180" s="2" t="inlineStr"/>
    </row>
    <row r="181" ht="15" customHeight="1">
      <c r="A181" t="inlineStr">
        <is>
          <t>A 10173-2026</t>
        </is>
      </c>
      <c r="B181" t="inlineStr">
        <is>
          <t>avverkningsanmälan</t>
        </is>
      </c>
      <c r="C181" t="inlineStr">
        <is>
          <t>Föryngringsavverkning</t>
        </is>
      </c>
      <c r="D181" s="1" t="n">
        <v>46076</v>
      </c>
      <c r="E181" s="1" t="n">
        <v>46232</v>
      </c>
      <c r="F181" t="inlineStr">
        <is>
          <t>DALARNAS LÄN</t>
        </is>
      </c>
      <c r="G181" t="inlineStr">
        <is>
          <t>SÄTER</t>
        </is>
      </c>
      <c r="I181" t="n">
        <v>1.6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t="n">
        <v>0</v>
      </c>
      <c r="S181" t="n">
        <v>0</v>
      </c>
      <c r="T181" t="n">
        <v>0</v>
      </c>
      <c r="U181" t="n">
        <v>0</v>
      </c>
      <c r="V181" s="2" t="inlineStr"/>
    </row>
    <row r="182" ht="15" customHeight="1">
      <c r="A182" t="inlineStr">
        <is>
          <t>A 10214-2026</t>
        </is>
      </c>
      <c r="B182" t="inlineStr">
        <is>
          <t>avverkningsanmälan</t>
        </is>
      </c>
      <c r="C182" t="inlineStr">
        <is>
          <t>Föryngringsavverkning</t>
        </is>
      </c>
      <c r="D182" s="1" t="n">
        <v>46076</v>
      </c>
      <c r="E182" s="1" t="n">
        <v>46232</v>
      </c>
      <c r="F182" t="inlineStr">
        <is>
          <t>DALARNAS LÄN</t>
        </is>
      </c>
      <c r="G182" t="inlineStr">
        <is>
          <t>SÄTER</t>
        </is>
      </c>
      <c r="I182" t="n">
        <v>7.1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t="n">
        <v>0</v>
      </c>
      <c r="S182" t="n">
        <v>0</v>
      </c>
      <c r="T182" t="n">
        <v>0</v>
      </c>
      <c r="U182" t="n">
        <v>0</v>
      </c>
      <c r="V182" s="2" t="inlineStr"/>
    </row>
    <row r="183" ht="15" customHeight="1">
      <c r="A183" t="inlineStr">
        <is>
          <t>A 40671-2023</t>
        </is>
      </c>
      <c r="B183" t="inlineStr">
        <is>
          <t>avverkningsanmälan</t>
        </is>
      </c>
      <c r="C183" t="inlineStr">
        <is>
          <t>Föryngringsavverkning</t>
        </is>
      </c>
      <c r="D183" s="1" t="n">
        <v>45170</v>
      </c>
      <c r="E183" s="1" t="n">
        <v>46232</v>
      </c>
      <c r="F183" t="inlineStr">
        <is>
          <t>DALARNAS LÄN</t>
        </is>
      </c>
      <c r="G183" t="inlineStr">
        <is>
          <t>SÄTER</t>
        </is>
      </c>
      <c r="I183" t="n">
        <v>2.1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t="n">
        <v>0</v>
      </c>
      <c r="S183" t="n">
        <v>0</v>
      </c>
      <c r="T183" t="n">
        <v>0</v>
      </c>
      <c r="U183" t="n">
        <v>0</v>
      </c>
      <c r="V183" s="2" t="inlineStr"/>
    </row>
    <row r="184" ht="15" customHeight="1">
      <c r="A184" t="inlineStr">
        <is>
          <t>A 42806-2024</t>
        </is>
      </c>
      <c r="B184" t="inlineStr">
        <is>
          <t>avverkningsanmälan</t>
        </is>
      </c>
      <c r="C184" t="inlineStr">
        <is>
          <t>Föryngringsavverkning</t>
        </is>
      </c>
      <c r="D184" s="1" t="n">
        <v>45566</v>
      </c>
      <c r="E184" s="1" t="n">
        <v>46232</v>
      </c>
      <c r="F184" t="inlineStr">
        <is>
          <t>DALARNAS LÄN</t>
        </is>
      </c>
      <c r="G184" t="inlineStr">
        <is>
          <t>SÄTER</t>
        </is>
      </c>
      <c r="I184" t="n">
        <v>1.1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t="n">
        <v>0</v>
      </c>
      <c r="S184" t="n">
        <v>0</v>
      </c>
      <c r="T184" t="n">
        <v>0</v>
      </c>
      <c r="U184" t="n">
        <v>0</v>
      </c>
      <c r="V184" s="2" t="inlineStr"/>
    </row>
    <row r="185" ht="15" customHeight="1">
      <c r="A185" t="inlineStr">
        <is>
          <t>A 10146-2026</t>
        </is>
      </c>
      <c r="B185" t="inlineStr">
        <is>
          <t>avverkningsanmälan</t>
        </is>
      </c>
      <c r="C185" t="inlineStr">
        <is>
          <t>Föryngringsavverkning</t>
        </is>
      </c>
      <c r="D185" s="1" t="n">
        <v>46076</v>
      </c>
      <c r="E185" s="1" t="n">
        <v>46232</v>
      </c>
      <c r="F185" t="inlineStr">
        <is>
          <t>DALARNAS LÄN</t>
        </is>
      </c>
      <c r="G185" t="inlineStr">
        <is>
          <t>SÄTER</t>
        </is>
      </c>
      <c r="I185" t="n">
        <v>0.8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t="n">
        <v>0</v>
      </c>
      <c r="S185" t="n">
        <v>0</v>
      </c>
      <c r="T185" t="n">
        <v>0</v>
      </c>
      <c r="U185" t="n">
        <v>0</v>
      </c>
      <c r="V185" s="2" t="inlineStr"/>
    </row>
    <row r="186" ht="15" customHeight="1">
      <c r="A186" t="inlineStr">
        <is>
          <t>A 10406-2024</t>
        </is>
      </c>
      <c r="B186" t="inlineStr">
        <is>
          <t>avverkningsanmälan</t>
        </is>
      </c>
      <c r="C186" t="inlineStr">
        <is>
          <t>Föryngringsavverkning</t>
        </is>
      </c>
      <c r="D186" s="1" t="n">
        <v>45365</v>
      </c>
      <c r="E186" s="1" t="n">
        <v>46232</v>
      </c>
      <c r="F186" t="inlineStr">
        <is>
          <t>DALARNAS LÄN</t>
        </is>
      </c>
      <c r="G186" t="inlineStr">
        <is>
          <t>SÄTER</t>
        </is>
      </c>
      <c r="I186" t="n">
        <v>0.7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t="n">
        <v>0</v>
      </c>
      <c r="S186" t="n">
        <v>0</v>
      </c>
      <c r="T186" t="n">
        <v>0</v>
      </c>
      <c r="U186" t="n">
        <v>0</v>
      </c>
      <c r="V186" s="2" t="inlineStr"/>
    </row>
    <row r="187" ht="15" customHeight="1">
      <c r="A187" t="inlineStr">
        <is>
          <t>A 10552-2026</t>
        </is>
      </c>
      <c r="B187" t="inlineStr">
        <is>
          <t>avverkningsanmälan</t>
        </is>
      </c>
      <c r="C187" t="inlineStr">
        <is>
          <t>Föryngringsavverkning</t>
        </is>
      </c>
      <c r="D187" s="1" t="n">
        <v>46077</v>
      </c>
      <c r="E187" s="1" t="n">
        <v>46232</v>
      </c>
      <c r="F187" t="inlineStr">
        <is>
          <t>DALARNAS LÄN</t>
        </is>
      </c>
      <c r="G187" t="inlineStr">
        <is>
          <t>SÄTER</t>
        </is>
      </c>
      <c r="I187" t="n">
        <v>3.7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t="n">
        <v>0</v>
      </c>
      <c r="S187" t="n">
        <v>0</v>
      </c>
      <c r="T187" t="n">
        <v>0</v>
      </c>
      <c r="U187" t="n">
        <v>0</v>
      </c>
      <c r="V187" s="2" t="inlineStr"/>
    </row>
    <row r="188" ht="15" customHeight="1">
      <c r="A188" t="inlineStr">
        <is>
          <t>A 11405-2026</t>
        </is>
      </c>
      <c r="B188" t="inlineStr">
        <is>
          <t>avverkningsanmälan</t>
        </is>
      </c>
      <c r="C188" t="inlineStr">
        <is>
          <t>Föryngringsavverkning</t>
        </is>
      </c>
      <c r="D188" s="1" t="n">
        <v>46083</v>
      </c>
      <c r="E188" s="1" t="n">
        <v>46232</v>
      </c>
      <c r="F188" t="inlineStr">
        <is>
          <t>DALARNAS LÄN</t>
        </is>
      </c>
      <c r="G188" t="inlineStr">
        <is>
          <t>SÄTER</t>
        </is>
      </c>
      <c r="H188" t="inlineStr">
        <is>
          <t>Bergvik skog väst AB</t>
        </is>
      </c>
      <c r="I188" t="n">
        <v>0.5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t="n">
        <v>0</v>
      </c>
      <c r="S188" t="n">
        <v>0</v>
      </c>
      <c r="T188" t="n">
        <v>0</v>
      </c>
      <c r="U188" t="n">
        <v>0</v>
      </c>
      <c r="V188" s="2" t="inlineStr"/>
    </row>
    <row r="189" ht="15" customHeight="1">
      <c r="A189" t="inlineStr">
        <is>
          <t>A 58325-2025</t>
        </is>
      </c>
      <c r="B189" t="inlineStr">
        <is>
          <t>avverkningsanmälan</t>
        </is>
      </c>
      <c r="C189" t="inlineStr">
        <is>
          <t>Föryngringsavverkning</t>
        </is>
      </c>
      <c r="D189" s="1" t="n">
        <v>45985</v>
      </c>
      <c r="E189" s="1" t="n">
        <v>46232</v>
      </c>
      <c r="F189" t="inlineStr">
        <is>
          <t>DALARNAS LÄN</t>
        </is>
      </c>
      <c r="G189" t="inlineStr">
        <is>
          <t>SÄTER</t>
        </is>
      </c>
      <c r="H189" t="inlineStr">
        <is>
          <t>Bergvik skog väst AB</t>
        </is>
      </c>
      <c r="I189" t="n">
        <v>2.6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t="n">
        <v>0</v>
      </c>
      <c r="S189" t="n">
        <v>0</v>
      </c>
      <c r="T189" t="n">
        <v>0</v>
      </c>
      <c r="U189" t="n">
        <v>0</v>
      </c>
      <c r="V189" s="2" t="inlineStr"/>
    </row>
    <row r="190" ht="15" customHeight="1">
      <c r="A190" t="inlineStr">
        <is>
          <t>A 16901-2024</t>
        </is>
      </c>
      <c r="B190" t="inlineStr">
        <is>
          <t>avverkningsanmälan</t>
        </is>
      </c>
      <c r="C190" t="inlineStr">
        <is>
          <t>Föryngringsavverkning</t>
        </is>
      </c>
      <c r="D190" s="1" t="n">
        <v>45411</v>
      </c>
      <c r="E190" s="1" t="n">
        <v>46232</v>
      </c>
      <c r="F190" t="inlineStr">
        <is>
          <t>DALARNAS LÄN</t>
        </is>
      </c>
      <c r="G190" t="inlineStr">
        <is>
          <t>SÄTER</t>
        </is>
      </c>
      <c r="I190" t="n">
        <v>1.1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t="n">
        <v>0</v>
      </c>
      <c r="S190" t="n">
        <v>0</v>
      </c>
      <c r="T190" t="n">
        <v>0</v>
      </c>
      <c r="U190" t="n">
        <v>0</v>
      </c>
      <c r="V190" s="2" t="inlineStr"/>
    </row>
    <row r="191" ht="15" customHeight="1">
      <c r="A191" t="inlineStr">
        <is>
          <t>A 1594-2025</t>
        </is>
      </c>
      <c r="B191" t="inlineStr">
        <is>
          <t>avverkningsanmälan</t>
        </is>
      </c>
      <c r="C191" t="inlineStr">
        <is>
          <t>Föryngringsavverkning</t>
        </is>
      </c>
      <c r="D191" s="1" t="n">
        <v>45670</v>
      </c>
      <c r="E191" s="1" t="n">
        <v>46232</v>
      </c>
      <c r="F191" t="inlineStr">
        <is>
          <t>DALARNAS LÄN</t>
        </is>
      </c>
      <c r="G191" t="inlineStr">
        <is>
          <t>SÄTER</t>
        </is>
      </c>
      <c r="I191" t="n">
        <v>0.7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t="n">
        <v>0</v>
      </c>
      <c r="S191" t="n">
        <v>0</v>
      </c>
      <c r="T191" t="n">
        <v>0</v>
      </c>
      <c r="U191" t="n">
        <v>0</v>
      </c>
      <c r="V191" s="2" t="inlineStr"/>
    </row>
    <row r="192" ht="15" customHeight="1">
      <c r="A192" t="inlineStr">
        <is>
          <t>A 53706-2025</t>
        </is>
      </c>
      <c r="B192" t="inlineStr">
        <is>
          <t>avverkningsanmälan</t>
        </is>
      </c>
      <c r="C192" t="inlineStr">
        <is>
          <t>Föryngringsavverkning</t>
        </is>
      </c>
      <c r="D192" s="1" t="n">
        <v>45960</v>
      </c>
      <c r="E192" s="1" t="n">
        <v>46232</v>
      </c>
      <c r="F192" t="inlineStr">
        <is>
          <t>DALARNAS LÄN</t>
        </is>
      </c>
      <c r="G192" t="inlineStr">
        <is>
          <t>SÄTER</t>
        </is>
      </c>
      <c r="I192" t="n">
        <v>1.2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t="n">
        <v>0</v>
      </c>
      <c r="S192" t="n">
        <v>0</v>
      </c>
      <c r="T192" t="n">
        <v>0</v>
      </c>
      <c r="U192" t="n">
        <v>0</v>
      </c>
      <c r="V192" s="2" t="inlineStr"/>
    </row>
    <row r="193" ht="15" customHeight="1">
      <c r="A193" t="inlineStr">
        <is>
          <t>A 7562-2023</t>
        </is>
      </c>
      <c r="B193" t="inlineStr">
        <is>
          <t>avverkningsanmälan</t>
        </is>
      </c>
      <c r="C193" t="inlineStr">
        <is>
          <t>Föryngringsavverkning</t>
        </is>
      </c>
      <c r="D193" s="1" t="n">
        <v>44972</v>
      </c>
      <c r="E193" s="1" t="n">
        <v>46232</v>
      </c>
      <c r="F193" t="inlineStr">
        <is>
          <t>DALARNAS LÄN</t>
        </is>
      </c>
      <c r="G193" t="inlineStr">
        <is>
          <t>SÄTER</t>
        </is>
      </c>
      <c r="I193" t="n">
        <v>2.8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t="n">
        <v>0</v>
      </c>
      <c r="S193" t="n">
        <v>0</v>
      </c>
      <c r="T193" t="n">
        <v>0</v>
      </c>
      <c r="U193" t="n">
        <v>0</v>
      </c>
      <c r="V193" s="2" t="inlineStr"/>
    </row>
    <row r="194" ht="15" customHeight="1">
      <c r="A194" t="inlineStr">
        <is>
          <t>A 59854-2025</t>
        </is>
      </c>
      <c r="B194" t="inlineStr">
        <is>
          <t>avverkningsanmälan</t>
        </is>
      </c>
      <c r="C194" t="inlineStr">
        <is>
          <t>Föryngringsavverkning</t>
        </is>
      </c>
      <c r="D194" s="1" t="n">
        <v>45992</v>
      </c>
      <c r="E194" s="1" t="n">
        <v>46232</v>
      </c>
      <c r="F194" t="inlineStr">
        <is>
          <t>DALARNAS LÄN</t>
        </is>
      </c>
      <c r="G194" t="inlineStr">
        <is>
          <t>SÄTER</t>
        </is>
      </c>
      <c r="I194" t="n">
        <v>3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t="n">
        <v>0</v>
      </c>
      <c r="S194" t="n">
        <v>0</v>
      </c>
      <c r="T194" t="n">
        <v>0</v>
      </c>
      <c r="U194" t="n">
        <v>0</v>
      </c>
      <c r="V194" s="2" t="inlineStr"/>
    </row>
    <row r="195" ht="15" customHeight="1">
      <c r="A195" t="inlineStr">
        <is>
          <t>A 59974-2025</t>
        </is>
      </c>
      <c r="B195" t="inlineStr">
        <is>
          <t>avverkningsanmälan</t>
        </is>
      </c>
      <c r="C195" t="inlineStr">
        <is>
          <t>Föryngringsavverkning</t>
        </is>
      </c>
      <c r="D195" s="1" t="n">
        <v>45993</v>
      </c>
      <c r="E195" s="1" t="n">
        <v>46232</v>
      </c>
      <c r="F195" t="inlineStr">
        <is>
          <t>DALARNAS LÄN</t>
        </is>
      </c>
      <c r="G195" t="inlineStr">
        <is>
          <t>SÄTER</t>
        </is>
      </c>
      <c r="I195" t="n">
        <v>1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t="n">
        <v>0</v>
      </c>
      <c r="S195" t="n">
        <v>0</v>
      </c>
      <c r="T195" t="n">
        <v>0</v>
      </c>
      <c r="U195" t="n">
        <v>0</v>
      </c>
      <c r="V195" s="2" t="inlineStr"/>
    </row>
    <row r="196" ht="15" customHeight="1">
      <c r="A196" t="inlineStr">
        <is>
          <t>A 27910-2023</t>
        </is>
      </c>
      <c r="B196" t="inlineStr">
        <is>
          <t>avverkningsanmälan</t>
        </is>
      </c>
      <c r="C196" t="inlineStr">
        <is>
          <t>Föryngringsavverkning</t>
        </is>
      </c>
      <c r="D196" s="1" t="n">
        <v>45098</v>
      </c>
      <c r="E196" s="1" t="n">
        <v>46232</v>
      </c>
      <c r="F196" t="inlineStr">
        <is>
          <t>DALARNAS LÄN</t>
        </is>
      </c>
      <c r="G196" t="inlineStr">
        <is>
          <t>SÄTER</t>
        </is>
      </c>
      <c r="I196" t="n">
        <v>0.5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t="n">
        <v>0</v>
      </c>
      <c r="S196" t="n">
        <v>0</v>
      </c>
      <c r="T196" t="n">
        <v>0</v>
      </c>
      <c r="U196" t="n">
        <v>0</v>
      </c>
      <c r="V196" s="2" t="inlineStr"/>
    </row>
    <row r="197" ht="15" customHeight="1">
      <c r="A197" t="inlineStr">
        <is>
          <t>A 12322-2026</t>
        </is>
      </c>
      <c r="B197" t="inlineStr">
        <is>
          <t>avverkningsanmälan</t>
        </is>
      </c>
      <c r="C197" t="inlineStr">
        <is>
          <t>Föryngringsavverkning</t>
        </is>
      </c>
      <c r="D197" s="1" t="n">
        <v>46087</v>
      </c>
      <c r="E197" s="1" t="n">
        <v>46232</v>
      </c>
      <c r="F197" t="inlineStr">
        <is>
          <t>DALARNAS LÄN</t>
        </is>
      </c>
      <c r="G197" t="inlineStr">
        <is>
          <t>SÄTER</t>
        </is>
      </c>
      <c r="H197" t="inlineStr">
        <is>
          <t>Bergvik skog väst AB</t>
        </is>
      </c>
      <c r="I197" t="n">
        <v>0.5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t="n">
        <v>0</v>
      </c>
      <c r="S197" t="n">
        <v>0</v>
      </c>
      <c r="T197" t="n">
        <v>0</v>
      </c>
      <c r="U197" t="n">
        <v>0</v>
      </c>
      <c r="V197" s="2" t="inlineStr"/>
    </row>
    <row r="198" ht="15" customHeight="1">
      <c r="A198" t="inlineStr">
        <is>
          <t>A 43770-2024</t>
        </is>
      </c>
      <c r="B198" t="inlineStr">
        <is>
          <t>avverkningsanmälan</t>
        </is>
      </c>
      <c r="C198" t="inlineStr">
        <is>
          <t>Föryngringsavverkning</t>
        </is>
      </c>
      <c r="D198" s="1" t="n">
        <v>45569</v>
      </c>
      <c r="E198" s="1" t="n">
        <v>46232</v>
      </c>
      <c r="F198" t="inlineStr">
        <is>
          <t>DALARNAS LÄN</t>
        </is>
      </c>
      <c r="G198" t="inlineStr">
        <is>
          <t>SÄTER</t>
        </is>
      </c>
      <c r="I198" t="n">
        <v>13.2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t="n">
        <v>0</v>
      </c>
      <c r="S198" t="n">
        <v>0</v>
      </c>
      <c r="T198" t="n">
        <v>0</v>
      </c>
      <c r="U198" t="n">
        <v>0</v>
      </c>
      <c r="V198" s="2" t="inlineStr"/>
    </row>
    <row r="199" ht="15" customHeight="1">
      <c r="A199" t="inlineStr">
        <is>
          <t>A 25690-2022</t>
        </is>
      </c>
      <c r="B199" t="inlineStr">
        <is>
          <t>avverkningsanmälan</t>
        </is>
      </c>
      <c r="C199" t="inlineStr">
        <is>
          <t>Föryngringsavverkning</t>
        </is>
      </c>
      <c r="D199" s="1" t="n">
        <v>44732</v>
      </c>
      <c r="E199" s="1" t="n">
        <v>46232</v>
      </c>
      <c r="F199" t="inlineStr">
        <is>
          <t>DALARNAS LÄN</t>
        </is>
      </c>
      <c r="G199" t="inlineStr">
        <is>
          <t>SÄTER</t>
        </is>
      </c>
      <c r="H199" t="inlineStr">
        <is>
          <t>Bergvik skog väst AB</t>
        </is>
      </c>
      <c r="I199" t="n">
        <v>2.8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t="n">
        <v>0</v>
      </c>
      <c r="S199" t="n">
        <v>0</v>
      </c>
      <c r="T199" t="n">
        <v>0</v>
      </c>
      <c r="U199" t="n">
        <v>0</v>
      </c>
      <c r="V199" s="2" t="inlineStr"/>
    </row>
    <row r="200" ht="15" customHeight="1">
      <c r="A200" t="inlineStr">
        <is>
          <t>A 61228-2025</t>
        </is>
      </c>
      <c r="B200" t="inlineStr">
        <is>
          <t>avverkningsanmälan</t>
        </is>
      </c>
      <c r="C200" t="inlineStr">
        <is>
          <t>Föryngringsavverkning</t>
        </is>
      </c>
      <c r="D200" s="1" t="n">
        <v>46000</v>
      </c>
      <c r="E200" s="1" t="n">
        <v>46232</v>
      </c>
      <c r="F200" t="inlineStr">
        <is>
          <t>DALARNAS LÄN</t>
        </is>
      </c>
      <c r="G200" t="inlineStr">
        <is>
          <t>SÄTER</t>
        </is>
      </c>
      <c r="I200" t="n">
        <v>3.3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t="n">
        <v>0</v>
      </c>
      <c r="S200" t="n">
        <v>0</v>
      </c>
      <c r="T200" t="n">
        <v>0</v>
      </c>
      <c r="U200" t="n">
        <v>0</v>
      </c>
      <c r="V200" s="2" t="inlineStr"/>
    </row>
    <row r="201" ht="15" customHeight="1">
      <c r="A201" t="inlineStr">
        <is>
          <t>A 12957-2026</t>
        </is>
      </c>
      <c r="B201" t="inlineStr">
        <is>
          <t>avverkningsanmälan</t>
        </is>
      </c>
      <c r="C201" t="inlineStr">
        <is>
          <t>Föryngringsavverkning</t>
        </is>
      </c>
      <c r="D201" s="1" t="n">
        <v>46092</v>
      </c>
      <c r="E201" s="1" t="n">
        <v>46232</v>
      </c>
      <c r="F201" t="inlineStr">
        <is>
          <t>DALARNAS LÄN</t>
        </is>
      </c>
      <c r="G201" t="inlineStr">
        <is>
          <t>SÄTER</t>
        </is>
      </c>
      <c r="I201" t="n">
        <v>9.800000000000001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t="n">
        <v>0</v>
      </c>
      <c r="S201" t="n">
        <v>0</v>
      </c>
      <c r="T201" t="n">
        <v>0</v>
      </c>
      <c r="U201" t="n">
        <v>0</v>
      </c>
      <c r="V201" s="2" t="inlineStr"/>
    </row>
    <row r="202" ht="15" customHeight="1">
      <c r="A202" t="inlineStr">
        <is>
          <t>A 9586-2023</t>
        </is>
      </c>
      <c r="B202" t="inlineStr">
        <is>
          <t>avverkningsanmälan</t>
        </is>
      </c>
      <c r="C202" t="inlineStr">
        <is>
          <t>Föryngringsavverkning</t>
        </is>
      </c>
      <c r="D202" s="1" t="n">
        <v>44982</v>
      </c>
      <c r="E202" s="1" t="n">
        <v>46232</v>
      </c>
      <c r="F202" t="inlineStr">
        <is>
          <t>DALARNAS LÄN</t>
        </is>
      </c>
      <c r="G202" t="inlineStr">
        <is>
          <t>SÄTER</t>
        </is>
      </c>
      <c r="I202" t="n">
        <v>0.5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t="n">
        <v>0</v>
      </c>
      <c r="S202" t="n">
        <v>0</v>
      </c>
      <c r="T202" t="n">
        <v>0</v>
      </c>
      <c r="U202" t="n">
        <v>0</v>
      </c>
      <c r="V202" s="2" t="inlineStr"/>
    </row>
    <row r="203" ht="15" customHeight="1">
      <c r="A203" t="inlineStr">
        <is>
          <t>A 12965-2026</t>
        </is>
      </c>
      <c r="B203" t="inlineStr">
        <is>
          <t>avverkningsanmälan</t>
        </is>
      </c>
      <c r="C203" t="inlineStr">
        <is>
          <t>Föryngringsavverkning</t>
        </is>
      </c>
      <c r="D203" s="1" t="n">
        <v>46092</v>
      </c>
      <c r="E203" s="1" t="n">
        <v>46232</v>
      </c>
      <c r="F203" t="inlineStr">
        <is>
          <t>DALARNAS LÄN</t>
        </is>
      </c>
      <c r="G203" t="inlineStr">
        <is>
          <t>SÄTER</t>
        </is>
      </c>
      <c r="I203" t="n">
        <v>2.1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t="n">
        <v>0</v>
      </c>
      <c r="S203" t="n">
        <v>0</v>
      </c>
      <c r="T203" t="n">
        <v>0</v>
      </c>
      <c r="U203" t="n">
        <v>0</v>
      </c>
      <c r="V203" s="2" t="inlineStr"/>
    </row>
    <row r="204" ht="15" customHeight="1">
      <c r="A204" t="inlineStr">
        <is>
          <t>A 54440-2022</t>
        </is>
      </c>
      <c r="B204" t="inlineStr">
        <is>
          <t>avverkningsanmälan</t>
        </is>
      </c>
      <c r="C204" t="inlineStr">
        <is>
          <t>Föryngringsavverkning</t>
        </is>
      </c>
      <c r="D204" s="1" t="n">
        <v>44882</v>
      </c>
      <c r="E204" s="1" t="n">
        <v>46232</v>
      </c>
      <c r="F204" t="inlineStr">
        <is>
          <t>DALARNAS LÄN</t>
        </is>
      </c>
      <c r="G204" t="inlineStr">
        <is>
          <t>SÄTER</t>
        </is>
      </c>
      <c r="H204" t="inlineStr">
        <is>
          <t>Bergvik skog väst AB</t>
        </is>
      </c>
      <c r="I204" t="n">
        <v>0.9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t="n">
        <v>0</v>
      </c>
      <c r="S204" t="n">
        <v>0</v>
      </c>
      <c r="T204" t="n">
        <v>0</v>
      </c>
      <c r="U204" t="n">
        <v>0</v>
      </c>
      <c r="V204" s="2" t="inlineStr"/>
    </row>
    <row r="205" ht="15" customHeight="1">
      <c r="A205" t="inlineStr">
        <is>
          <t>A 54826-2023</t>
        </is>
      </c>
      <c r="B205" t="inlineStr">
        <is>
          <t>avverkningsanmälan</t>
        </is>
      </c>
      <c r="C205" t="inlineStr">
        <is>
          <t>Föryngringsavverkning</t>
        </is>
      </c>
      <c r="D205" s="1" t="n">
        <v>45236</v>
      </c>
      <c r="E205" s="1" t="n">
        <v>46232</v>
      </c>
      <c r="F205" t="inlineStr">
        <is>
          <t>DALARNAS LÄN</t>
        </is>
      </c>
      <c r="G205" t="inlineStr">
        <is>
          <t>SÄTER</t>
        </is>
      </c>
      <c r="I205" t="n">
        <v>1.4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t="n">
        <v>0</v>
      </c>
      <c r="S205" t="n">
        <v>0</v>
      </c>
      <c r="T205" t="n">
        <v>0</v>
      </c>
      <c r="U205" t="n">
        <v>0</v>
      </c>
      <c r="V205" s="2" t="inlineStr"/>
    </row>
    <row r="206" ht="15" customHeight="1">
      <c r="A206" t="inlineStr">
        <is>
          <t>A 57416-2022</t>
        </is>
      </c>
      <c r="B206" t="inlineStr">
        <is>
          <t>avverkningsanmälan</t>
        </is>
      </c>
      <c r="C206" t="inlineStr">
        <is>
          <t>Föryngringsavverkning</t>
        </is>
      </c>
      <c r="D206" s="1" t="n">
        <v>44896</v>
      </c>
      <c r="E206" s="1" t="n">
        <v>46232</v>
      </c>
      <c r="F206" t="inlineStr">
        <is>
          <t>DALARNAS LÄN</t>
        </is>
      </c>
      <c r="G206" t="inlineStr">
        <is>
          <t>SÄTER</t>
        </is>
      </c>
      <c r="I206" t="n">
        <v>0.8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t="n">
        <v>0</v>
      </c>
      <c r="S206" t="n">
        <v>0</v>
      </c>
      <c r="T206" t="n">
        <v>0</v>
      </c>
      <c r="U206" t="n">
        <v>0</v>
      </c>
      <c r="V206" s="2" t="inlineStr"/>
      <c r="Z206">
        <f>HYPERLINK("https://klasma.github.io/Logging_2082/knärot/A 57416-2022 karta knärot.png", "A 57416-2022")</f>
        <v/>
      </c>
      <c r="AA206">
        <f>HYPERLINK("https://klasma.github.io/Logging_2082/klagomål/A 57416-2022 FSC-klagomål.docx", "A 57416-2022")</f>
        <v/>
      </c>
      <c r="AB206">
        <f>HYPERLINK("https://klasma.github.io/Logging_2082/klagomålsmail/A 57416-2022 FSC-klagomål mail.docx", "A 57416-2022")</f>
        <v/>
      </c>
      <c r="AC206">
        <f>HYPERLINK("https://klasma.github.io/Logging_2082/tillsyn/A 57416-2022 tillsynsbegäran.docx", "A 57416-2022")</f>
        <v/>
      </c>
      <c r="AD206">
        <f>HYPERLINK("https://klasma.github.io/Logging_2082/tillsynsmail/A 57416-2022 tillsynsbegäran mail.docx", "A 57416-2022")</f>
        <v/>
      </c>
    </row>
    <row r="207" ht="15" customHeight="1">
      <c r="A207" t="inlineStr">
        <is>
          <t>A 11533-2026</t>
        </is>
      </c>
      <c r="B207" t="inlineStr">
        <is>
          <t>avverkningsanmälan</t>
        </is>
      </c>
      <c r="C207" t="inlineStr">
        <is>
          <t>Föryngringsavverkning</t>
        </is>
      </c>
      <c r="D207" s="1" t="n">
        <v>46083</v>
      </c>
      <c r="E207" s="1" t="n">
        <v>46232</v>
      </c>
      <c r="F207" t="inlineStr">
        <is>
          <t>DALARNAS LÄN</t>
        </is>
      </c>
      <c r="G207" t="inlineStr">
        <is>
          <t>SÄTER</t>
        </is>
      </c>
      <c r="H207" t="inlineStr">
        <is>
          <t>Kommuner</t>
        </is>
      </c>
      <c r="I207" t="n">
        <v>6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t="n">
        <v>0</v>
      </c>
      <c r="S207" t="n">
        <v>0</v>
      </c>
      <c r="T207" t="n">
        <v>0</v>
      </c>
      <c r="U207" t="n">
        <v>0</v>
      </c>
      <c r="V207" s="2" t="inlineStr"/>
    </row>
    <row r="208" ht="15" customHeight="1">
      <c r="A208" t="inlineStr">
        <is>
          <t>A 13265-2026</t>
        </is>
      </c>
      <c r="B208" t="inlineStr">
        <is>
          <t>avverkningsanmälan</t>
        </is>
      </c>
      <c r="C208" t="inlineStr">
        <is>
          <t>Föryngringsavverkning</t>
        </is>
      </c>
      <c r="D208" s="1" t="n">
        <v>46093</v>
      </c>
      <c r="E208" s="1" t="n">
        <v>46232</v>
      </c>
      <c r="F208" t="inlineStr">
        <is>
          <t>DALARNAS LÄN</t>
        </is>
      </c>
      <c r="G208" t="inlineStr">
        <is>
          <t>SÄTER</t>
        </is>
      </c>
      <c r="I208" t="n">
        <v>2.7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t="n">
        <v>0</v>
      </c>
      <c r="S208" t="n">
        <v>0</v>
      </c>
      <c r="T208" t="n">
        <v>0</v>
      </c>
      <c r="U208" t="n">
        <v>0</v>
      </c>
      <c r="V208" s="2" t="inlineStr"/>
    </row>
    <row r="209" ht="15" customHeight="1">
      <c r="A209" t="inlineStr">
        <is>
          <t>A 13532-2026</t>
        </is>
      </c>
      <c r="B209" t="inlineStr">
        <is>
          <t>avverkningsanmälan</t>
        </is>
      </c>
      <c r="C209" t="inlineStr">
        <is>
          <t>Föryngringsavverkning</t>
        </is>
      </c>
      <c r="D209" s="1" t="n">
        <v>46094</v>
      </c>
      <c r="E209" s="1" t="n">
        <v>46232</v>
      </c>
      <c r="F209" t="inlineStr">
        <is>
          <t>DALARNAS LÄN</t>
        </is>
      </c>
      <c r="G209" t="inlineStr">
        <is>
          <t>SÄTER</t>
        </is>
      </c>
      <c r="I209" t="n">
        <v>1.7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t="n">
        <v>0</v>
      </c>
      <c r="S209" t="n">
        <v>0</v>
      </c>
      <c r="T209" t="n">
        <v>0</v>
      </c>
      <c r="U209" t="n">
        <v>0</v>
      </c>
      <c r="V209" s="2" t="inlineStr"/>
    </row>
    <row r="210" ht="15" customHeight="1">
      <c r="A210" t="inlineStr">
        <is>
          <t>A 13526-2026</t>
        </is>
      </c>
      <c r="B210" t="inlineStr">
        <is>
          <t>avverkningsanmälan</t>
        </is>
      </c>
      <c r="C210" t="inlineStr">
        <is>
          <t>Föryngringsavverkning</t>
        </is>
      </c>
      <c r="D210" s="1" t="n">
        <v>46094</v>
      </c>
      <c r="E210" s="1" t="n">
        <v>46232</v>
      </c>
      <c r="F210" t="inlineStr">
        <is>
          <t>DALARNAS LÄN</t>
        </is>
      </c>
      <c r="G210" t="inlineStr">
        <is>
          <t>SÄTER</t>
        </is>
      </c>
      <c r="I210" t="n">
        <v>1.2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t="n">
        <v>0</v>
      </c>
      <c r="S210" t="n">
        <v>0</v>
      </c>
      <c r="T210" t="n">
        <v>0</v>
      </c>
      <c r="U210" t="n">
        <v>0</v>
      </c>
      <c r="V210" s="2" t="inlineStr"/>
    </row>
    <row r="211" ht="15" customHeight="1">
      <c r="A211" t="inlineStr">
        <is>
          <t>A 63350-2025</t>
        </is>
      </c>
      <c r="B211" t="inlineStr">
        <is>
          <t>avverkningsanmälan</t>
        </is>
      </c>
      <c r="C211" t="inlineStr">
        <is>
          <t>Föryngringsavverkning</t>
        </is>
      </c>
      <c r="D211" s="1" t="n">
        <v>46010</v>
      </c>
      <c r="E211" s="1" t="n">
        <v>46232</v>
      </c>
      <c r="F211" t="inlineStr">
        <is>
          <t>DALARNAS LÄN</t>
        </is>
      </c>
      <c r="G211" t="inlineStr">
        <is>
          <t>SÄTER</t>
        </is>
      </c>
      <c r="H211" t="inlineStr">
        <is>
          <t>Bergvik skog väst AB</t>
        </is>
      </c>
      <c r="I211" t="n">
        <v>1.6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t="n">
        <v>0</v>
      </c>
      <c r="S211" t="n">
        <v>0</v>
      </c>
      <c r="T211" t="n">
        <v>0</v>
      </c>
      <c r="U211" t="n">
        <v>0</v>
      </c>
      <c r="V211" s="2" t="inlineStr"/>
    </row>
    <row r="212" ht="15" customHeight="1">
      <c r="A212" t="inlineStr">
        <is>
          <t>A 13888-2026</t>
        </is>
      </c>
      <c r="B212" t="inlineStr">
        <is>
          <t>avverkningsanmälan</t>
        </is>
      </c>
      <c r="C212" t="inlineStr">
        <is>
          <t>Föryngringsavverkning</t>
        </is>
      </c>
      <c r="D212" s="1" t="n">
        <v>46098</v>
      </c>
      <c r="E212" s="1" t="n">
        <v>46232</v>
      </c>
      <c r="F212" t="inlineStr">
        <is>
          <t>DALARNAS LÄN</t>
        </is>
      </c>
      <c r="G212" t="inlineStr">
        <is>
          <t>SÄTER</t>
        </is>
      </c>
      <c r="I212" t="n">
        <v>0.9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t="n">
        <v>0</v>
      </c>
      <c r="S212" t="n">
        <v>0</v>
      </c>
      <c r="T212" t="n">
        <v>0</v>
      </c>
      <c r="U212" t="n">
        <v>0</v>
      </c>
      <c r="V212" s="2" t="inlineStr"/>
    </row>
    <row r="213" ht="15" customHeight="1">
      <c r="A213" t="inlineStr">
        <is>
          <t>A 13899-2026</t>
        </is>
      </c>
      <c r="B213" t="inlineStr">
        <is>
          <t>avverkningsanmälan</t>
        </is>
      </c>
      <c r="C213" t="inlineStr">
        <is>
          <t>Föryngringsavverkning</t>
        </is>
      </c>
      <c r="D213" s="1" t="n">
        <v>46098</v>
      </c>
      <c r="E213" s="1" t="n">
        <v>46232</v>
      </c>
      <c r="F213" t="inlineStr">
        <is>
          <t>DALARNAS LÄN</t>
        </is>
      </c>
      <c r="G213" t="inlineStr">
        <is>
          <t>SÄTER</t>
        </is>
      </c>
      <c r="I213" t="n">
        <v>1.7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t="n">
        <v>0</v>
      </c>
      <c r="S213" t="n">
        <v>0</v>
      </c>
      <c r="T213" t="n">
        <v>0</v>
      </c>
      <c r="U213" t="n">
        <v>0</v>
      </c>
      <c r="V213" s="2" t="inlineStr"/>
    </row>
    <row r="214" ht="15" customHeight="1">
      <c r="A214" t="inlineStr">
        <is>
          <t>A 63684-2025</t>
        </is>
      </c>
      <c r="B214" t="inlineStr">
        <is>
          <t>avverkningsanmälan</t>
        </is>
      </c>
      <c r="C214" t="inlineStr">
        <is>
          <t>Föryngringsavverkning</t>
        </is>
      </c>
      <c r="D214" s="1" t="n">
        <v>46014</v>
      </c>
      <c r="E214" s="1" t="n">
        <v>46232</v>
      </c>
      <c r="F214" t="inlineStr">
        <is>
          <t>DALARNAS LÄN</t>
        </is>
      </c>
      <c r="G214" t="inlineStr">
        <is>
          <t>SÄTER</t>
        </is>
      </c>
      <c r="I214" t="n">
        <v>2.4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t="n">
        <v>0</v>
      </c>
      <c r="S214" t="n">
        <v>0</v>
      </c>
      <c r="T214" t="n">
        <v>0</v>
      </c>
      <c r="U214" t="n">
        <v>0</v>
      </c>
      <c r="V214" s="2" t="inlineStr"/>
    </row>
    <row r="215" ht="15" customHeight="1">
      <c r="A215" t="inlineStr">
        <is>
          <t>A 49586-2025</t>
        </is>
      </c>
      <c r="B215" t="inlineStr">
        <is>
          <t>avverkningsanmälan</t>
        </is>
      </c>
      <c r="C215" t="inlineStr">
        <is>
          <t>Föryngringsavverkning</t>
        </is>
      </c>
      <c r="D215" s="1" t="n">
        <v>45939</v>
      </c>
      <c r="E215" s="1" t="n">
        <v>46232</v>
      </c>
      <c r="F215" t="inlineStr">
        <is>
          <t>DALARNAS LÄN</t>
        </is>
      </c>
      <c r="G215" t="inlineStr">
        <is>
          <t>SÄTER</t>
        </is>
      </c>
      <c r="I215" t="n">
        <v>1.6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t="n">
        <v>0</v>
      </c>
      <c r="S215" t="n">
        <v>0</v>
      </c>
      <c r="T215" t="n">
        <v>0</v>
      </c>
      <c r="U215" t="n">
        <v>0</v>
      </c>
      <c r="V215" s="2" t="inlineStr"/>
    </row>
    <row r="216" ht="15" customHeight="1">
      <c r="A216" t="inlineStr">
        <is>
          <t>A 220-2026</t>
        </is>
      </c>
      <c r="B216" t="inlineStr">
        <is>
          <t>avverkningsanmälan</t>
        </is>
      </c>
      <c r="C216" t="inlineStr">
        <is>
          <t>Föryngringsavverkning</t>
        </is>
      </c>
      <c r="D216" s="1" t="n">
        <v>46026</v>
      </c>
      <c r="E216" s="1" t="n">
        <v>46232</v>
      </c>
      <c r="F216" t="inlineStr">
        <is>
          <t>DALARNAS LÄN</t>
        </is>
      </c>
      <c r="G216" t="inlineStr">
        <is>
          <t>SÄTER</t>
        </is>
      </c>
      <c r="I216" t="n">
        <v>2.8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t="n">
        <v>0</v>
      </c>
      <c r="S216" t="n">
        <v>0</v>
      </c>
      <c r="T216" t="n">
        <v>0</v>
      </c>
      <c r="U216" t="n">
        <v>0</v>
      </c>
      <c r="V216" s="2" t="inlineStr"/>
    </row>
    <row r="217" ht="15" customHeight="1">
      <c r="A217" t="inlineStr">
        <is>
          <t>A 21859-2022</t>
        </is>
      </c>
      <c r="B217" t="inlineStr">
        <is>
          <t>avverkningsanmälan</t>
        </is>
      </c>
      <c r="C217" t="inlineStr">
        <is>
          <t>Föryngringsavverkning</t>
        </is>
      </c>
      <c r="D217" s="1" t="n">
        <v>44711</v>
      </c>
      <c r="E217" s="1" t="n">
        <v>46232</v>
      </c>
      <c r="F217" t="inlineStr">
        <is>
          <t>DALARNAS LÄN</t>
        </is>
      </c>
      <c r="G217" t="inlineStr">
        <is>
          <t>SÄTER</t>
        </is>
      </c>
      <c r="H217" t="inlineStr">
        <is>
          <t>Bergvik skog väst AB</t>
        </is>
      </c>
      <c r="I217" t="n">
        <v>1.2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t="n">
        <v>0</v>
      </c>
      <c r="S217" t="n">
        <v>0</v>
      </c>
      <c r="T217" t="n">
        <v>0</v>
      </c>
      <c r="U217" t="n">
        <v>0</v>
      </c>
      <c r="V217" s="2" t="inlineStr"/>
    </row>
    <row r="218" ht="15" customHeight="1">
      <c r="A218" t="inlineStr">
        <is>
          <t>A 13510-2023</t>
        </is>
      </c>
      <c r="B218" t="inlineStr">
        <is>
          <t>avverkningsanmälan</t>
        </is>
      </c>
      <c r="C218" t="inlineStr">
        <is>
          <t>Föryngringsavverkning</t>
        </is>
      </c>
      <c r="D218" s="1" t="n">
        <v>45006</v>
      </c>
      <c r="E218" s="1" t="n">
        <v>46232</v>
      </c>
      <c r="F218" t="inlineStr">
        <is>
          <t>DALARNAS LÄN</t>
        </is>
      </c>
      <c r="G218" t="inlineStr">
        <is>
          <t>SÄTER</t>
        </is>
      </c>
      <c r="I218" t="n">
        <v>0.8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t="n">
        <v>0</v>
      </c>
      <c r="S218" t="n">
        <v>0</v>
      </c>
      <c r="T218" t="n">
        <v>0</v>
      </c>
      <c r="U218" t="n">
        <v>0</v>
      </c>
      <c r="V218" s="2" t="inlineStr"/>
    </row>
    <row r="219" ht="15" customHeight="1">
      <c r="A219" t="inlineStr">
        <is>
          <t>A 42225-2022</t>
        </is>
      </c>
      <c r="B219" t="inlineStr">
        <is>
          <t>avverkningsanmälan</t>
        </is>
      </c>
      <c r="C219" t="inlineStr">
        <is>
          <t>Föryngringsavverkning</t>
        </is>
      </c>
      <c r="D219" s="1" t="n">
        <v>44830</v>
      </c>
      <c r="E219" s="1" t="n">
        <v>46232</v>
      </c>
      <c r="F219" t="inlineStr">
        <is>
          <t>DALARNAS LÄN</t>
        </is>
      </c>
      <c r="G219" t="inlineStr">
        <is>
          <t>SÄTER</t>
        </is>
      </c>
      <c r="I219" t="n">
        <v>1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t="n">
        <v>0</v>
      </c>
      <c r="S219" t="n">
        <v>0</v>
      </c>
      <c r="T219" t="n">
        <v>0</v>
      </c>
      <c r="U219" t="n">
        <v>0</v>
      </c>
      <c r="V219" s="2" t="inlineStr"/>
    </row>
    <row r="220" ht="15" customHeight="1">
      <c r="A220" t="inlineStr">
        <is>
          <t>A 973-2023</t>
        </is>
      </c>
      <c r="B220" t="inlineStr">
        <is>
          <t>avverkningsanmälan</t>
        </is>
      </c>
      <c r="C220" t="inlineStr">
        <is>
          <t>Föryngringsavverkning</t>
        </is>
      </c>
      <c r="D220" s="1" t="n">
        <v>44935</v>
      </c>
      <c r="E220" s="1" t="n">
        <v>46232</v>
      </c>
      <c r="F220" t="inlineStr">
        <is>
          <t>DALARNAS LÄN</t>
        </is>
      </c>
      <c r="G220" t="inlineStr">
        <is>
          <t>SÄTER</t>
        </is>
      </c>
      <c r="I220" t="n">
        <v>3.7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t="n">
        <v>0</v>
      </c>
      <c r="S220" t="n">
        <v>0</v>
      </c>
      <c r="T220" t="n">
        <v>0</v>
      </c>
      <c r="U220" t="n">
        <v>0</v>
      </c>
      <c r="V220" s="2" t="inlineStr"/>
    </row>
    <row r="221" ht="15" customHeight="1">
      <c r="A221" t="inlineStr">
        <is>
          <t>A 16698-2026</t>
        </is>
      </c>
      <c r="B221" t="inlineStr">
        <is>
          <t>avverkningsanmälan</t>
        </is>
      </c>
      <c r="C221" t="inlineStr">
        <is>
          <t>Föryngringsavverkning</t>
        </is>
      </c>
      <c r="D221" s="1" t="n">
        <v>46113</v>
      </c>
      <c r="E221" s="1" t="n">
        <v>46232</v>
      </c>
      <c r="F221" t="inlineStr">
        <is>
          <t>DALARNAS LÄN</t>
        </is>
      </c>
      <c r="G221" t="inlineStr">
        <is>
          <t>SÄTER</t>
        </is>
      </c>
      <c r="I221" t="n">
        <v>2.4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t="n">
        <v>0</v>
      </c>
      <c r="S221" t="n">
        <v>0</v>
      </c>
      <c r="T221" t="n">
        <v>0</v>
      </c>
      <c r="U221" t="n">
        <v>0</v>
      </c>
      <c r="V221" s="2" t="inlineStr"/>
    </row>
    <row r="222" ht="15" customHeight="1">
      <c r="A222" t="inlineStr">
        <is>
          <t>A 51405-2022</t>
        </is>
      </c>
      <c r="B222" t="inlineStr">
        <is>
          <t>avverkningsanmälan</t>
        </is>
      </c>
      <c r="C222" t="inlineStr">
        <is>
          <t>Föryngringsavverkning</t>
        </is>
      </c>
      <c r="D222" s="1" t="n">
        <v>44869</v>
      </c>
      <c r="E222" s="1" t="n">
        <v>46232</v>
      </c>
      <c r="F222" t="inlineStr">
        <is>
          <t>DALARNAS LÄN</t>
        </is>
      </c>
      <c r="G222" t="inlineStr">
        <is>
          <t>SÄTER</t>
        </is>
      </c>
      <c r="I222" t="n">
        <v>1.5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t="n">
        <v>0</v>
      </c>
      <c r="S222" t="n">
        <v>0</v>
      </c>
      <c r="T222" t="n">
        <v>0</v>
      </c>
      <c r="U222" t="n">
        <v>0</v>
      </c>
      <c r="V222" s="2" t="inlineStr"/>
    </row>
    <row r="223" ht="15" customHeight="1">
      <c r="A223" t="inlineStr">
        <is>
          <t>A 50366-2023</t>
        </is>
      </c>
      <c r="B223" t="inlineStr">
        <is>
          <t>avverkningsanmälan</t>
        </is>
      </c>
      <c r="C223" t="inlineStr">
        <is>
          <t>Föryngringsavverkning</t>
        </is>
      </c>
      <c r="D223" s="1" t="n">
        <v>45216</v>
      </c>
      <c r="E223" s="1" t="n">
        <v>46232</v>
      </c>
      <c r="F223" t="inlineStr">
        <is>
          <t>DALARNAS LÄN</t>
        </is>
      </c>
      <c r="G223" t="inlineStr">
        <is>
          <t>SÄTER</t>
        </is>
      </c>
      <c r="I223" t="n">
        <v>0.7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t="n">
        <v>0</v>
      </c>
      <c r="S223" t="n">
        <v>0</v>
      </c>
      <c r="T223" t="n">
        <v>0</v>
      </c>
      <c r="U223" t="n">
        <v>0</v>
      </c>
      <c r="V223" s="2" t="inlineStr"/>
    </row>
    <row r="224" ht="15" customHeight="1">
      <c r="A224" t="inlineStr">
        <is>
          <t>A 3637-2024</t>
        </is>
      </c>
      <c r="B224" t="inlineStr">
        <is>
          <t>avverkningsanmälan</t>
        </is>
      </c>
      <c r="C224" t="inlineStr">
        <is>
          <t>Föryngringsavverkning</t>
        </is>
      </c>
      <c r="D224" s="1" t="n">
        <v>45321</v>
      </c>
      <c r="E224" s="1" t="n">
        <v>46232</v>
      </c>
      <c r="F224" t="inlineStr">
        <is>
          <t>DALARNAS LÄN</t>
        </is>
      </c>
      <c r="G224" t="inlineStr">
        <is>
          <t>SÄTER</t>
        </is>
      </c>
      <c r="I224" t="n">
        <v>0.9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t="n">
        <v>0</v>
      </c>
      <c r="S224" t="n">
        <v>0</v>
      </c>
      <c r="T224" t="n">
        <v>0</v>
      </c>
      <c r="U224" t="n">
        <v>0</v>
      </c>
      <c r="V224" s="2" t="inlineStr"/>
    </row>
    <row r="225" ht="15" customHeight="1">
      <c r="A225" t="inlineStr">
        <is>
          <t>A 17253-2026</t>
        </is>
      </c>
      <c r="B225" t="inlineStr">
        <is>
          <t>avverkningsanmälan</t>
        </is>
      </c>
      <c r="C225" t="inlineStr">
        <is>
          <t>Föryngringsavverkning</t>
        </is>
      </c>
      <c r="D225" s="1" t="n">
        <v>46119</v>
      </c>
      <c r="E225" s="1" t="n">
        <v>46232</v>
      </c>
      <c r="F225" t="inlineStr">
        <is>
          <t>DALARNAS LÄN</t>
        </is>
      </c>
      <c r="G225" t="inlineStr">
        <is>
          <t>SÄTER</t>
        </is>
      </c>
      <c r="H225" t="inlineStr">
        <is>
          <t>Kommuner</t>
        </is>
      </c>
      <c r="I225" t="n">
        <v>1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t="n">
        <v>0</v>
      </c>
      <c r="S225" t="n">
        <v>0</v>
      </c>
      <c r="T225" t="n">
        <v>0</v>
      </c>
      <c r="U225" t="n">
        <v>0</v>
      </c>
      <c r="V225" s="2" t="inlineStr"/>
    </row>
    <row r="226" ht="15" customHeight="1">
      <c r="A226" t="inlineStr">
        <is>
          <t>A 56831-2024</t>
        </is>
      </c>
      <c r="B226" t="inlineStr">
        <is>
          <t>avverkningsanmälan</t>
        </is>
      </c>
      <c r="C226" t="inlineStr">
        <is>
          <t>Föryngringsavverkning</t>
        </is>
      </c>
      <c r="D226" s="1" t="n">
        <v>45628</v>
      </c>
      <c r="E226" s="1" t="n">
        <v>46232</v>
      </c>
      <c r="F226" t="inlineStr">
        <is>
          <t>DALARNAS LÄN</t>
        </is>
      </c>
      <c r="G226" t="inlineStr">
        <is>
          <t>SÄTER</t>
        </is>
      </c>
      <c r="I226" t="n">
        <v>2.5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t="n">
        <v>0</v>
      </c>
      <c r="S226" t="n">
        <v>0</v>
      </c>
      <c r="T226" t="n">
        <v>0</v>
      </c>
      <c r="U226" t="n">
        <v>0</v>
      </c>
      <c r="V226" s="2" t="inlineStr"/>
    </row>
    <row r="227" ht="15" customHeight="1">
      <c r="A227" t="inlineStr">
        <is>
          <t>A 41643-2023</t>
        </is>
      </c>
      <c r="B227" t="inlineStr">
        <is>
          <t>avverkningsanmälan</t>
        </is>
      </c>
      <c r="C227" t="inlineStr">
        <is>
          <t>Föryngringsavverkning</t>
        </is>
      </c>
      <c r="D227" s="1" t="n">
        <v>45175</v>
      </c>
      <c r="E227" s="1" t="n">
        <v>46232</v>
      </c>
      <c r="F227" t="inlineStr">
        <is>
          <t>DALARNAS LÄN</t>
        </is>
      </c>
      <c r="G227" t="inlineStr">
        <is>
          <t>SÄTER</t>
        </is>
      </c>
      <c r="I227" t="n">
        <v>1.1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t="n">
        <v>0</v>
      </c>
      <c r="S227" t="n">
        <v>0</v>
      </c>
      <c r="T227" t="n">
        <v>0</v>
      </c>
      <c r="U227" t="n">
        <v>0</v>
      </c>
      <c r="V227" s="2" t="inlineStr"/>
    </row>
    <row r="228" ht="15" customHeight="1">
      <c r="A228" t="inlineStr">
        <is>
          <t>A 10222-2026</t>
        </is>
      </c>
      <c r="B228" t="inlineStr">
        <is>
          <t>avverkningsanmälan</t>
        </is>
      </c>
      <c r="C228" t="inlineStr">
        <is>
          <t>Föryngringsavverkning</t>
        </is>
      </c>
      <c r="D228" s="1" t="n">
        <v>46076</v>
      </c>
      <c r="E228" s="1" t="n">
        <v>46232</v>
      </c>
      <c r="F228" t="inlineStr">
        <is>
          <t>DALARNAS LÄN</t>
        </is>
      </c>
      <c r="G228" t="inlineStr">
        <is>
          <t>SÄTER</t>
        </is>
      </c>
      <c r="I228" t="n">
        <v>15.2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t="n">
        <v>0</v>
      </c>
      <c r="S228" t="n">
        <v>0</v>
      </c>
      <c r="T228" t="n">
        <v>0</v>
      </c>
      <c r="U228" t="n">
        <v>0</v>
      </c>
      <c r="V228" s="2" t="inlineStr"/>
    </row>
    <row r="229" ht="15" customHeight="1">
      <c r="A229" t="inlineStr">
        <is>
          <t>A 51320-2024</t>
        </is>
      </c>
      <c r="B229" t="inlineStr">
        <is>
          <t>avverkningsanmälan</t>
        </is>
      </c>
      <c r="C229" t="inlineStr">
        <is>
          <t>Avverkning för annat ändamål</t>
        </is>
      </c>
      <c r="D229" s="1" t="n">
        <v>45604</v>
      </c>
      <c r="E229" s="1" t="n">
        <v>46232</v>
      </c>
      <c r="F229" t="inlineStr">
        <is>
          <t>DALARNAS LÄN</t>
        </is>
      </c>
      <c r="G229" t="inlineStr">
        <is>
          <t>SÄTER</t>
        </is>
      </c>
      <c r="I229" t="n">
        <v>0.1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t="n">
        <v>0</v>
      </c>
      <c r="S229" t="n">
        <v>0</v>
      </c>
      <c r="T229" t="n">
        <v>0</v>
      </c>
      <c r="U229" t="n">
        <v>0</v>
      </c>
      <c r="V229" s="2" t="inlineStr"/>
    </row>
    <row r="230" ht="15" customHeight="1">
      <c r="A230" t="inlineStr">
        <is>
          <t>A 51324-2024</t>
        </is>
      </c>
      <c r="B230" t="inlineStr">
        <is>
          <t>avverkningsanmälan</t>
        </is>
      </c>
      <c r="C230" t="inlineStr">
        <is>
          <t>Avverkning för annat ändamål</t>
        </is>
      </c>
      <c r="D230" s="1" t="n">
        <v>45604</v>
      </c>
      <c r="E230" s="1" t="n">
        <v>46232</v>
      </c>
      <c r="F230" t="inlineStr">
        <is>
          <t>DALARNAS LÄN</t>
        </is>
      </c>
      <c r="G230" t="inlineStr">
        <is>
          <t>SÄTER</t>
        </is>
      </c>
      <c r="I230" t="n">
        <v>0.3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t="n">
        <v>0</v>
      </c>
      <c r="S230" t="n">
        <v>0</v>
      </c>
      <c r="T230" t="n">
        <v>0</v>
      </c>
      <c r="U230" t="n">
        <v>0</v>
      </c>
      <c r="V230" s="2" t="inlineStr"/>
    </row>
    <row r="231" ht="15" customHeight="1">
      <c r="A231" t="inlineStr">
        <is>
          <t>A 12942-2026</t>
        </is>
      </c>
      <c r="B231" t="inlineStr">
        <is>
          <t>avverkningsanmälan</t>
        </is>
      </c>
      <c r="C231" t="inlineStr">
        <is>
          <t>Föryngringsavverkning</t>
        </is>
      </c>
      <c r="D231" s="1" t="n">
        <v>46092</v>
      </c>
      <c r="E231" s="1" t="n">
        <v>46232</v>
      </c>
      <c r="F231" t="inlineStr">
        <is>
          <t>DALARNAS LÄN</t>
        </is>
      </c>
      <c r="G231" t="inlineStr">
        <is>
          <t>SÄTER</t>
        </is>
      </c>
      <c r="I231" t="n">
        <v>2.3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t="n">
        <v>0</v>
      </c>
      <c r="S231" t="n">
        <v>0</v>
      </c>
      <c r="T231" t="n">
        <v>0</v>
      </c>
      <c r="U231" t="n">
        <v>0</v>
      </c>
      <c r="V231" s="2" t="inlineStr"/>
    </row>
    <row r="232" ht="15" customHeight="1">
      <c r="A232" t="inlineStr">
        <is>
          <t>A 29635-2024</t>
        </is>
      </c>
      <c r="B232" t="inlineStr">
        <is>
          <t>avverkningsanmälan</t>
        </is>
      </c>
      <c r="C232" t="inlineStr">
        <is>
          <t>Föryngringsavverkning</t>
        </is>
      </c>
      <c r="D232" s="1" t="n">
        <v>45484</v>
      </c>
      <c r="E232" s="1" t="n">
        <v>46232</v>
      </c>
      <c r="F232" t="inlineStr">
        <is>
          <t>DALARNAS LÄN</t>
        </is>
      </c>
      <c r="G232" t="inlineStr">
        <is>
          <t>SÄTER</t>
        </is>
      </c>
      <c r="I232" t="n">
        <v>1.1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t="n">
        <v>0</v>
      </c>
      <c r="S232" t="n">
        <v>0</v>
      </c>
      <c r="T232" t="n">
        <v>0</v>
      </c>
      <c r="U232" t="n">
        <v>0</v>
      </c>
      <c r="V232" s="2" t="inlineStr"/>
    </row>
    <row r="233" ht="15" customHeight="1">
      <c r="A233" t="inlineStr">
        <is>
          <t>A 59386-2024</t>
        </is>
      </c>
      <c r="B233" t="inlineStr">
        <is>
          <t>avverkningsanmälan</t>
        </is>
      </c>
      <c r="C233" t="inlineStr">
        <is>
          <t>Föryngringsavverkning</t>
        </is>
      </c>
      <c r="D233" s="1" t="n">
        <v>45638</v>
      </c>
      <c r="E233" s="1" t="n">
        <v>46232</v>
      </c>
      <c r="F233" t="inlineStr">
        <is>
          <t>DALARNAS LÄN</t>
        </is>
      </c>
      <c r="G233" t="inlineStr">
        <is>
          <t>SÄTER</t>
        </is>
      </c>
      <c r="I233" t="n">
        <v>0.2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t="n">
        <v>0</v>
      </c>
      <c r="S233" t="n">
        <v>0</v>
      </c>
      <c r="T233" t="n">
        <v>0</v>
      </c>
      <c r="U233" t="n">
        <v>0</v>
      </c>
      <c r="V233" s="2" t="inlineStr"/>
    </row>
    <row r="234" ht="15" customHeight="1">
      <c r="A234" t="inlineStr">
        <is>
          <t>A 51323-2024</t>
        </is>
      </c>
      <c r="B234" t="inlineStr">
        <is>
          <t>avverkningsanmälan</t>
        </is>
      </c>
      <c r="C234" t="inlineStr">
        <is>
          <t>Avverkning för annat ändamål</t>
        </is>
      </c>
      <c r="D234" s="1" t="n">
        <v>45604</v>
      </c>
      <c r="E234" s="1" t="n">
        <v>46232</v>
      </c>
      <c r="F234" t="inlineStr">
        <is>
          <t>DALARNAS LÄN</t>
        </is>
      </c>
      <c r="G234" t="inlineStr">
        <is>
          <t>SÄTER</t>
        </is>
      </c>
      <c r="I234" t="n">
        <v>0.2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t="n">
        <v>0</v>
      </c>
      <c r="S234" t="n">
        <v>0</v>
      </c>
      <c r="T234" t="n">
        <v>0</v>
      </c>
      <c r="U234" t="n">
        <v>0</v>
      </c>
      <c r="V234" s="2" t="inlineStr"/>
    </row>
    <row r="235" ht="15" customHeight="1">
      <c r="A235" t="inlineStr">
        <is>
          <t>A 12938-2026</t>
        </is>
      </c>
      <c r="B235" t="inlineStr">
        <is>
          <t>avverkningsanmälan</t>
        </is>
      </c>
      <c r="C235" t="inlineStr">
        <is>
          <t>Föryngringsavverkning</t>
        </is>
      </c>
      <c r="D235" s="1" t="n">
        <v>46092</v>
      </c>
      <c r="E235" s="1" t="n">
        <v>46232</v>
      </c>
      <c r="F235" t="inlineStr">
        <is>
          <t>DALARNAS LÄN</t>
        </is>
      </c>
      <c r="G235" t="inlineStr">
        <is>
          <t>SÄTER</t>
        </is>
      </c>
      <c r="I235" t="n">
        <v>1.6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t="n">
        <v>0</v>
      </c>
      <c r="S235" t="n">
        <v>0</v>
      </c>
      <c r="T235" t="n">
        <v>0</v>
      </c>
      <c r="U235" t="n">
        <v>0</v>
      </c>
      <c r="V235" s="2" t="inlineStr"/>
    </row>
    <row r="236" ht="15" customHeight="1">
      <c r="A236" t="inlineStr">
        <is>
          <t>A 34990-2024</t>
        </is>
      </c>
      <c r="B236" t="inlineStr">
        <is>
          <t>avverkningsanmälan</t>
        </is>
      </c>
      <c r="C236" t="inlineStr">
        <is>
          <t>Föryngringsavverkning</t>
        </is>
      </c>
      <c r="D236" s="1" t="n">
        <v>45527</v>
      </c>
      <c r="E236" s="1" t="n">
        <v>46232</v>
      </c>
      <c r="F236" t="inlineStr">
        <is>
          <t>DALARNAS LÄN</t>
        </is>
      </c>
      <c r="G236" t="inlineStr">
        <is>
          <t>SÄTER</t>
        </is>
      </c>
      <c r="I236" t="n">
        <v>0.9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t="n">
        <v>0</v>
      </c>
      <c r="S236" t="n">
        <v>0</v>
      </c>
      <c r="T236" t="n">
        <v>0</v>
      </c>
      <c r="U236" t="n">
        <v>0</v>
      </c>
      <c r="V236" s="2" t="inlineStr"/>
    </row>
    <row r="237" ht="15" customHeight="1">
      <c r="A237" t="inlineStr">
        <is>
          <t>A 34991-2024</t>
        </is>
      </c>
      <c r="B237" t="inlineStr">
        <is>
          <t>avverkningsanmälan</t>
        </is>
      </c>
      <c r="C237" t="inlineStr">
        <is>
          <t>Föryngringsavverkning</t>
        </is>
      </c>
      <c r="D237" s="1" t="n">
        <v>45527</v>
      </c>
      <c r="E237" s="1" t="n">
        <v>46232</v>
      </c>
      <c r="F237" t="inlineStr">
        <is>
          <t>DALARNAS LÄN</t>
        </is>
      </c>
      <c r="G237" t="inlineStr">
        <is>
          <t>SÄTER</t>
        </is>
      </c>
      <c r="I237" t="n">
        <v>0.4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t="n">
        <v>0</v>
      </c>
      <c r="S237" t="n">
        <v>0</v>
      </c>
      <c r="T237" t="n">
        <v>0</v>
      </c>
      <c r="U237" t="n">
        <v>0</v>
      </c>
      <c r="V237" s="2" t="inlineStr"/>
    </row>
    <row r="238" ht="15" customHeight="1">
      <c r="A238" t="inlineStr">
        <is>
          <t>A 13362-2026</t>
        </is>
      </c>
      <c r="B238" t="inlineStr">
        <is>
          <t>avverkningsanmälan</t>
        </is>
      </c>
      <c r="C238" t="inlineStr">
        <is>
          <t>Föryngringsavverkning</t>
        </is>
      </c>
      <c r="D238" s="1" t="n">
        <v>46094</v>
      </c>
      <c r="E238" s="1" t="n">
        <v>46232</v>
      </c>
      <c r="F238" t="inlineStr">
        <is>
          <t>DALARNAS LÄN</t>
        </is>
      </c>
      <c r="G238" t="inlineStr">
        <is>
          <t>SÄTER</t>
        </is>
      </c>
      <c r="I238" t="n">
        <v>9.1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t="n">
        <v>0</v>
      </c>
      <c r="S238" t="n">
        <v>0</v>
      </c>
      <c r="T238" t="n">
        <v>0</v>
      </c>
      <c r="U238" t="n">
        <v>0</v>
      </c>
      <c r="V238" s="2" t="inlineStr"/>
    </row>
    <row r="239" ht="15" customHeight="1">
      <c r="A239" t="inlineStr">
        <is>
          <t>A 51468-2024</t>
        </is>
      </c>
      <c r="B239" t="inlineStr">
        <is>
          <t>avverkningsanmälan</t>
        </is>
      </c>
      <c r="C239" t="inlineStr">
        <is>
          <t>Föryngringsavverkning</t>
        </is>
      </c>
      <c r="D239" s="1" t="n">
        <v>45604</v>
      </c>
      <c r="E239" s="1" t="n">
        <v>46232</v>
      </c>
      <c r="F239" t="inlineStr">
        <is>
          <t>DALARNAS LÄN</t>
        </is>
      </c>
      <c r="G239" t="inlineStr">
        <is>
          <t>SÄTER</t>
        </is>
      </c>
      <c r="I239" t="n">
        <v>1.2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t="n">
        <v>0</v>
      </c>
      <c r="S239" t="n">
        <v>0</v>
      </c>
      <c r="T239" t="n">
        <v>0</v>
      </c>
      <c r="U239" t="n">
        <v>0</v>
      </c>
      <c r="V239" s="2" t="inlineStr"/>
    </row>
    <row r="240" ht="15" customHeight="1">
      <c r="A240" t="inlineStr">
        <is>
          <t>A 35005-2024</t>
        </is>
      </c>
      <c r="B240" t="inlineStr">
        <is>
          <t>avverkningsanmälan</t>
        </is>
      </c>
      <c r="C240" t="inlineStr">
        <is>
          <t>Föryngringsavverkning</t>
        </is>
      </c>
      <c r="D240" s="1" t="n">
        <v>45527</v>
      </c>
      <c r="E240" s="1" t="n">
        <v>46232</v>
      </c>
      <c r="F240" t="inlineStr">
        <is>
          <t>DALARNAS LÄN</t>
        </is>
      </c>
      <c r="G240" t="inlineStr">
        <is>
          <t>SÄTER</t>
        </is>
      </c>
      <c r="I240" t="n">
        <v>1.8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t="n">
        <v>0</v>
      </c>
      <c r="S240" t="n">
        <v>0</v>
      </c>
      <c r="T240" t="n">
        <v>0</v>
      </c>
      <c r="U240" t="n">
        <v>0</v>
      </c>
      <c r="V240" s="2" t="inlineStr"/>
    </row>
    <row r="241" ht="15" customHeight="1">
      <c r="A241" t="inlineStr">
        <is>
          <t>A 6767-2024</t>
        </is>
      </c>
      <c r="B241" t="inlineStr">
        <is>
          <t>avverkningsanmälan</t>
        </is>
      </c>
      <c r="C241" t="inlineStr">
        <is>
          <t>Föryngringsavverkning</t>
        </is>
      </c>
      <c r="D241" s="1" t="n">
        <v>45342</v>
      </c>
      <c r="E241" s="1" t="n">
        <v>46232</v>
      </c>
      <c r="F241" t="inlineStr">
        <is>
          <t>DALARNAS LÄN</t>
        </is>
      </c>
      <c r="G241" t="inlineStr">
        <is>
          <t>SÄTER</t>
        </is>
      </c>
      <c r="I241" t="n">
        <v>1.3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t="n">
        <v>0</v>
      </c>
      <c r="S241" t="n">
        <v>0</v>
      </c>
      <c r="T241" t="n">
        <v>0</v>
      </c>
      <c r="U241" t="n">
        <v>0</v>
      </c>
      <c r="V241" s="2" t="inlineStr"/>
    </row>
    <row r="242" ht="15" customHeight="1">
      <c r="A242" t="inlineStr">
        <is>
          <t>A 44729-2024</t>
        </is>
      </c>
      <c r="B242" t="inlineStr">
        <is>
          <t>avverkningsanmälan</t>
        </is>
      </c>
      <c r="C242" t="inlineStr">
        <is>
          <t>Föryngringsavverkning</t>
        </is>
      </c>
      <c r="D242" s="1" t="n">
        <v>45574</v>
      </c>
      <c r="E242" s="1" t="n">
        <v>46232</v>
      </c>
      <c r="F242" t="inlineStr">
        <is>
          <t>DALARNAS LÄN</t>
        </is>
      </c>
      <c r="G242" t="inlineStr">
        <is>
          <t>SÄTER</t>
        </is>
      </c>
      <c r="H242" t="inlineStr">
        <is>
          <t>Bergvik skog väst AB</t>
        </is>
      </c>
      <c r="I242" t="n">
        <v>0.4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t="n">
        <v>0</v>
      </c>
      <c r="S242" t="n">
        <v>0</v>
      </c>
      <c r="T242" t="n">
        <v>0</v>
      </c>
      <c r="U242" t="n">
        <v>0</v>
      </c>
      <c r="V242" s="2" t="inlineStr"/>
    </row>
    <row r="243" ht="15" customHeight="1">
      <c r="A243" t="inlineStr">
        <is>
          <t>A 61743-2023</t>
        </is>
      </c>
      <c r="B243" t="inlineStr">
        <is>
          <t>avverkningsanmälan</t>
        </is>
      </c>
      <c r="C243" t="inlineStr">
        <is>
          <t>Föryngringsavverkning</t>
        </is>
      </c>
      <c r="D243" s="1" t="n">
        <v>45265</v>
      </c>
      <c r="E243" s="1" t="n">
        <v>46232</v>
      </c>
      <c r="F243" t="inlineStr">
        <is>
          <t>DALARNAS LÄN</t>
        </is>
      </c>
      <c r="G243" t="inlineStr">
        <is>
          <t>SÄTER</t>
        </is>
      </c>
      <c r="I243" t="n">
        <v>0.6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t="n">
        <v>0</v>
      </c>
      <c r="S243" t="n">
        <v>0</v>
      </c>
      <c r="T243" t="n">
        <v>0</v>
      </c>
      <c r="U243" t="n">
        <v>0</v>
      </c>
      <c r="V243" s="2" t="inlineStr"/>
    </row>
    <row r="244" ht="15" customHeight="1">
      <c r="A244" t="inlineStr">
        <is>
          <t>A 20057-2026</t>
        </is>
      </c>
      <c r="B244" t="inlineStr">
        <is>
          <t>avverkningsanmälan</t>
        </is>
      </c>
      <c r="C244" t="inlineStr">
        <is>
          <t>Föryngringsavverkning</t>
        </is>
      </c>
      <c r="D244" s="1" t="n">
        <v>46136</v>
      </c>
      <c r="E244" s="1" t="n">
        <v>46232</v>
      </c>
      <c r="F244" t="inlineStr">
        <is>
          <t>DALARNAS LÄN</t>
        </is>
      </c>
      <c r="G244" t="inlineStr">
        <is>
          <t>SÄTER</t>
        </is>
      </c>
      <c r="I244" t="n">
        <v>2.1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t="n">
        <v>0</v>
      </c>
      <c r="S244" t="n">
        <v>0</v>
      </c>
      <c r="T244" t="n">
        <v>0</v>
      </c>
      <c r="U244" t="n">
        <v>0</v>
      </c>
      <c r="V244" s="2" t="inlineStr"/>
    </row>
    <row r="245" ht="15" customHeight="1">
      <c r="A245" t="inlineStr">
        <is>
          <t>A 36847-2023</t>
        </is>
      </c>
      <c r="B245" t="inlineStr">
        <is>
          <t>avverkningsanmälan</t>
        </is>
      </c>
      <c r="C245" t="inlineStr">
        <is>
          <t>Föryngringsavverkning</t>
        </is>
      </c>
      <c r="D245" s="1" t="n">
        <v>45154</v>
      </c>
      <c r="E245" s="1" t="n">
        <v>46232</v>
      </c>
      <c r="F245" t="inlineStr">
        <is>
          <t>DALARNAS LÄN</t>
        </is>
      </c>
      <c r="G245" t="inlineStr">
        <is>
          <t>SÄTER</t>
        </is>
      </c>
      <c r="I245" t="n">
        <v>1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t="n">
        <v>0</v>
      </c>
      <c r="S245" t="n">
        <v>0</v>
      </c>
      <c r="T245" t="n">
        <v>0</v>
      </c>
      <c r="U245" t="n">
        <v>0</v>
      </c>
      <c r="V245" s="2" t="inlineStr"/>
    </row>
    <row r="246" ht="15" customHeight="1">
      <c r="A246" t="inlineStr">
        <is>
          <t>A 62533-2023</t>
        </is>
      </c>
      <c r="B246" t="inlineStr">
        <is>
          <t>avverkningsanmälan</t>
        </is>
      </c>
      <c r="C246" t="inlineStr">
        <is>
          <t>Föryngringsavverkning</t>
        </is>
      </c>
      <c r="D246" s="1" t="n">
        <v>45268</v>
      </c>
      <c r="E246" s="1" t="n">
        <v>46232</v>
      </c>
      <c r="F246" t="inlineStr">
        <is>
          <t>DALARNAS LÄN</t>
        </is>
      </c>
      <c r="G246" t="inlineStr">
        <is>
          <t>SÄTER</t>
        </is>
      </c>
      <c r="I246" t="n">
        <v>1.1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t="n">
        <v>0</v>
      </c>
      <c r="S246" t="n">
        <v>0</v>
      </c>
      <c r="T246" t="n">
        <v>0</v>
      </c>
      <c r="U246" t="n">
        <v>0</v>
      </c>
      <c r="V246" s="2" t="inlineStr"/>
    </row>
    <row r="247" ht="15" customHeight="1">
      <c r="A247" t="inlineStr">
        <is>
          <t>A 41954-2024</t>
        </is>
      </c>
      <c r="B247" t="inlineStr">
        <is>
          <t>avverkningsanmälan</t>
        </is>
      </c>
      <c r="C247" t="inlineStr">
        <is>
          <t>Föryngringsavverkning</t>
        </is>
      </c>
      <c r="D247" s="1" t="n">
        <v>45561</v>
      </c>
      <c r="E247" s="1" t="n">
        <v>46232</v>
      </c>
      <c r="F247" t="inlineStr">
        <is>
          <t>DALARNAS LÄN</t>
        </is>
      </c>
      <c r="G247" t="inlineStr">
        <is>
          <t>SÄTER</t>
        </is>
      </c>
      <c r="H247" t="inlineStr">
        <is>
          <t>Bergvik skog väst AB</t>
        </is>
      </c>
      <c r="I247" t="n">
        <v>2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t="n">
        <v>0</v>
      </c>
      <c r="S247" t="n">
        <v>0</v>
      </c>
      <c r="T247" t="n">
        <v>0</v>
      </c>
      <c r="U247" t="n">
        <v>0</v>
      </c>
      <c r="V247" s="2" t="inlineStr"/>
    </row>
    <row r="248" ht="15" customHeight="1">
      <c r="A248" t="inlineStr">
        <is>
          <t>A 5196-2024</t>
        </is>
      </c>
      <c r="B248" t="inlineStr">
        <is>
          <t>avverkningsanmälan</t>
        </is>
      </c>
      <c r="C248" t="inlineStr">
        <is>
          <t>Föryngringsavverkning</t>
        </is>
      </c>
      <c r="D248" s="1" t="n">
        <v>45330</v>
      </c>
      <c r="E248" s="1" t="n">
        <v>46232</v>
      </c>
      <c r="F248" t="inlineStr">
        <is>
          <t>DALARNAS LÄN</t>
        </is>
      </c>
      <c r="G248" t="inlineStr">
        <is>
          <t>SÄTER</t>
        </is>
      </c>
      <c r="I248" t="n">
        <v>2.4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t="n">
        <v>0</v>
      </c>
      <c r="S248" t="n">
        <v>0</v>
      </c>
      <c r="T248" t="n">
        <v>0</v>
      </c>
      <c r="U248" t="n">
        <v>0</v>
      </c>
      <c r="V248" s="2" t="inlineStr"/>
    </row>
    <row r="249" ht="15" customHeight="1">
      <c r="A249" t="inlineStr">
        <is>
          <t>A 16836-2024</t>
        </is>
      </c>
      <c r="B249" t="inlineStr">
        <is>
          <t>avverkningsanmälan</t>
        </is>
      </c>
      <c r="C249" t="inlineStr">
        <is>
          <t>Föryngringsavverkning</t>
        </is>
      </c>
      <c r="D249" s="1" t="n">
        <v>45411</v>
      </c>
      <c r="E249" s="1" t="n">
        <v>46232</v>
      </c>
      <c r="F249" t="inlineStr">
        <is>
          <t>DALARNAS LÄN</t>
        </is>
      </c>
      <c r="G249" t="inlineStr">
        <is>
          <t>SÄTER</t>
        </is>
      </c>
      <c r="I249" t="n">
        <v>0.6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t="n">
        <v>0</v>
      </c>
      <c r="S249" t="n">
        <v>0</v>
      </c>
      <c r="T249" t="n">
        <v>0</v>
      </c>
      <c r="U249" t="n">
        <v>0</v>
      </c>
      <c r="V249" s="2" t="inlineStr"/>
    </row>
    <row r="250" ht="15" customHeight="1">
      <c r="A250" t="inlineStr">
        <is>
          <t>A 16843-2024</t>
        </is>
      </c>
      <c r="B250" t="inlineStr">
        <is>
          <t>avverkningsanmälan</t>
        </is>
      </c>
      <c r="C250" t="inlineStr">
        <is>
          <t>Föryngringsavverkning</t>
        </is>
      </c>
      <c r="D250" s="1" t="n">
        <v>45411</v>
      </c>
      <c r="E250" s="1" t="n">
        <v>46232</v>
      </c>
      <c r="F250" t="inlineStr">
        <is>
          <t>DALARNAS LÄN</t>
        </is>
      </c>
      <c r="G250" t="inlineStr">
        <is>
          <t>SÄTER</t>
        </is>
      </c>
      <c r="I250" t="n">
        <v>2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t="n">
        <v>0</v>
      </c>
      <c r="S250" t="n">
        <v>0</v>
      </c>
      <c r="T250" t="n">
        <v>0</v>
      </c>
      <c r="U250" t="n">
        <v>0</v>
      </c>
      <c r="V250" s="2" t="inlineStr"/>
    </row>
    <row r="251" ht="15" customHeight="1">
      <c r="A251" t="inlineStr">
        <is>
          <t>A 44724-2024</t>
        </is>
      </c>
      <c r="B251" t="inlineStr">
        <is>
          <t>avverkningsanmälan</t>
        </is>
      </c>
      <c r="C251" t="inlineStr">
        <is>
          <t>Föryngringsavverkning</t>
        </is>
      </c>
      <c r="D251" s="1" t="n">
        <v>45574</v>
      </c>
      <c r="E251" s="1" t="n">
        <v>46232</v>
      </c>
      <c r="F251" t="inlineStr">
        <is>
          <t>DALARNAS LÄN</t>
        </is>
      </c>
      <c r="G251" t="inlineStr">
        <is>
          <t>SÄTER</t>
        </is>
      </c>
      <c r="H251" t="inlineStr">
        <is>
          <t>Bergvik skog väst AB</t>
        </is>
      </c>
      <c r="I251" t="n">
        <v>2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t="n">
        <v>0</v>
      </c>
      <c r="S251" t="n">
        <v>0</v>
      </c>
      <c r="T251" t="n">
        <v>0</v>
      </c>
      <c r="U251" t="n">
        <v>0</v>
      </c>
      <c r="V251" s="2" t="inlineStr"/>
    </row>
    <row r="252" ht="15" customHeight="1">
      <c r="A252" t="inlineStr">
        <is>
          <t>A 27018-2025</t>
        </is>
      </c>
      <c r="B252" t="inlineStr">
        <is>
          <t>avverkningsanmälan</t>
        </is>
      </c>
      <c r="C252" t="inlineStr">
        <is>
          <t>Föryngringsavverkning</t>
        </is>
      </c>
      <c r="D252" s="1" t="n">
        <v>45811</v>
      </c>
      <c r="E252" s="1" t="n">
        <v>46232</v>
      </c>
      <c r="F252" t="inlineStr">
        <is>
          <t>DALARNAS LÄN</t>
        </is>
      </c>
      <c r="G252" t="inlineStr">
        <is>
          <t>SÄTER</t>
        </is>
      </c>
      <c r="I252" t="n">
        <v>1.2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t="n">
        <v>0</v>
      </c>
      <c r="S252" t="n">
        <v>0</v>
      </c>
      <c r="T252" t="n">
        <v>0</v>
      </c>
      <c r="U252" t="n">
        <v>0</v>
      </c>
      <c r="V252" s="2" t="inlineStr"/>
    </row>
    <row r="253" ht="15" customHeight="1">
      <c r="A253" t="inlineStr">
        <is>
          <t>A 44719-2024</t>
        </is>
      </c>
      <c r="B253" t="inlineStr">
        <is>
          <t>avverkningsanmälan</t>
        </is>
      </c>
      <c r="C253" t="inlineStr">
        <is>
          <t>Föryngringsavverkning</t>
        </is>
      </c>
      <c r="D253" s="1" t="n">
        <v>45574</v>
      </c>
      <c r="E253" s="1" t="n">
        <v>46232</v>
      </c>
      <c r="F253" t="inlineStr">
        <is>
          <t>DALARNAS LÄN</t>
        </is>
      </c>
      <c r="G253" t="inlineStr">
        <is>
          <t>SÄTER</t>
        </is>
      </c>
      <c r="H253" t="inlineStr">
        <is>
          <t>Bergvik skog väst AB</t>
        </is>
      </c>
      <c r="I253" t="n">
        <v>10.8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t="n">
        <v>0</v>
      </c>
      <c r="S253" t="n">
        <v>0</v>
      </c>
      <c r="T253" t="n">
        <v>0</v>
      </c>
      <c r="U253" t="n">
        <v>0</v>
      </c>
      <c r="V253" s="2" t="inlineStr"/>
    </row>
    <row r="254" ht="15" customHeight="1">
      <c r="A254" t="inlineStr">
        <is>
          <t>A 45476-2024</t>
        </is>
      </c>
      <c r="B254" t="inlineStr">
        <is>
          <t>avverkningsanmälan</t>
        </is>
      </c>
      <c r="C254" t="inlineStr">
        <is>
          <t>Föryngringsavverkning</t>
        </is>
      </c>
      <c r="D254" s="1" t="n">
        <v>45576</v>
      </c>
      <c r="E254" s="1" t="n">
        <v>46232</v>
      </c>
      <c r="F254" t="inlineStr">
        <is>
          <t>DALARNAS LÄN</t>
        </is>
      </c>
      <c r="G254" t="inlineStr">
        <is>
          <t>SÄTER</t>
        </is>
      </c>
      <c r="I254" t="n">
        <v>1.2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t="n">
        <v>0</v>
      </c>
      <c r="S254" t="n">
        <v>0</v>
      </c>
      <c r="T254" t="n">
        <v>0</v>
      </c>
      <c r="U254" t="n">
        <v>0</v>
      </c>
      <c r="V254" s="2" t="inlineStr"/>
    </row>
    <row r="255" ht="15" customHeight="1">
      <c r="A255" t="inlineStr">
        <is>
          <t>A 16832-2024</t>
        </is>
      </c>
      <c r="B255" t="inlineStr">
        <is>
          <t>avverkningsanmälan</t>
        </is>
      </c>
      <c r="C255" t="inlineStr">
        <is>
          <t>Föryngringsavverkning</t>
        </is>
      </c>
      <c r="D255" s="1" t="n">
        <v>45411</v>
      </c>
      <c r="E255" s="1" t="n">
        <v>46232</v>
      </c>
      <c r="F255" t="inlineStr">
        <is>
          <t>DALARNAS LÄN</t>
        </is>
      </c>
      <c r="G255" t="inlineStr">
        <is>
          <t>SÄTER</t>
        </is>
      </c>
      <c r="I255" t="n">
        <v>0.9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t="n">
        <v>0</v>
      </c>
      <c r="S255" t="n">
        <v>0</v>
      </c>
      <c r="T255" t="n">
        <v>0</v>
      </c>
      <c r="U255" t="n">
        <v>0</v>
      </c>
      <c r="V255" s="2" t="inlineStr"/>
    </row>
    <row r="256" ht="15" customHeight="1">
      <c r="A256" t="inlineStr">
        <is>
          <t>A 16840-2024</t>
        </is>
      </c>
      <c r="B256" t="inlineStr">
        <is>
          <t>avverkningsanmälan</t>
        </is>
      </c>
      <c r="C256" t="inlineStr">
        <is>
          <t>Föryngringsavverkning</t>
        </is>
      </c>
      <c r="D256" s="1" t="n">
        <v>45411</v>
      </c>
      <c r="E256" s="1" t="n">
        <v>46232</v>
      </c>
      <c r="F256" t="inlineStr">
        <is>
          <t>DALARNAS LÄN</t>
        </is>
      </c>
      <c r="G256" t="inlineStr">
        <is>
          <t>SÄTER</t>
        </is>
      </c>
      <c r="I256" t="n">
        <v>4.6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t="n">
        <v>0</v>
      </c>
      <c r="S256" t="n">
        <v>0</v>
      </c>
      <c r="T256" t="n">
        <v>0</v>
      </c>
      <c r="U256" t="n">
        <v>0</v>
      </c>
      <c r="V256" s="2" t="inlineStr"/>
    </row>
    <row r="257" ht="15" customHeight="1">
      <c r="A257" t="inlineStr">
        <is>
          <t>A 14931-2024</t>
        </is>
      </c>
      <c r="B257" t="inlineStr">
        <is>
          <t>avverkningsanmälan</t>
        </is>
      </c>
      <c r="C257" t="inlineStr">
        <is>
          <t>Föryngringsavverkning</t>
        </is>
      </c>
      <c r="D257" s="1" t="n">
        <v>45398</v>
      </c>
      <c r="E257" s="1" t="n">
        <v>46232</v>
      </c>
      <c r="F257" t="inlineStr">
        <is>
          <t>DALARNAS LÄN</t>
        </is>
      </c>
      <c r="G257" t="inlineStr">
        <is>
          <t>SÄTER</t>
        </is>
      </c>
      <c r="I257" t="n">
        <v>1.6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t="n">
        <v>0</v>
      </c>
      <c r="S257" t="n">
        <v>0</v>
      </c>
      <c r="T257" t="n">
        <v>0</v>
      </c>
      <c r="U257" t="n">
        <v>0</v>
      </c>
      <c r="V257" s="2" t="inlineStr"/>
    </row>
    <row r="258" ht="15" customHeight="1">
      <c r="A258" t="inlineStr">
        <is>
          <t>A 63654-2025</t>
        </is>
      </c>
      <c r="B258" t="inlineStr">
        <is>
          <t>avverkningsanmälan</t>
        </is>
      </c>
      <c r="C258" t="inlineStr">
        <is>
          <t>Föryngringsavverkning</t>
        </is>
      </c>
      <c r="D258" s="1" t="n">
        <v>46014</v>
      </c>
      <c r="E258" s="1" t="n">
        <v>46232</v>
      </c>
      <c r="F258" t="inlineStr">
        <is>
          <t>DALARNAS LÄN</t>
        </is>
      </c>
      <c r="G258" t="inlineStr">
        <is>
          <t>SÄTER</t>
        </is>
      </c>
      <c r="I258" t="n">
        <v>4.1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t="n">
        <v>0</v>
      </c>
      <c r="S258" t="n">
        <v>0</v>
      </c>
      <c r="T258" t="n">
        <v>0</v>
      </c>
      <c r="U258" t="n">
        <v>0</v>
      </c>
      <c r="V258" s="2" t="inlineStr"/>
    </row>
    <row r="259" ht="15" customHeight="1">
      <c r="A259" t="inlineStr">
        <is>
          <t>A 7188-2023</t>
        </is>
      </c>
      <c r="B259" t="inlineStr">
        <is>
          <t>avverkningsanmälan</t>
        </is>
      </c>
      <c r="C259" t="inlineStr">
        <is>
          <t>Föryngringsavverkning</t>
        </is>
      </c>
      <c r="D259" s="1" t="n">
        <v>44965</v>
      </c>
      <c r="E259" s="1" t="n">
        <v>46232</v>
      </c>
      <c r="F259" t="inlineStr">
        <is>
          <t>DALARNAS LÄN</t>
        </is>
      </c>
      <c r="G259" t="inlineStr">
        <is>
          <t>SÄTER</t>
        </is>
      </c>
      <c r="I259" t="n">
        <v>1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t="n">
        <v>0</v>
      </c>
      <c r="S259" t="n">
        <v>0</v>
      </c>
      <c r="T259" t="n">
        <v>0</v>
      </c>
      <c r="U259" t="n">
        <v>0</v>
      </c>
      <c r="V259" s="2" t="inlineStr"/>
    </row>
    <row r="260" ht="15" customHeight="1">
      <c r="A260" t="inlineStr">
        <is>
          <t>A 39262-2021</t>
        </is>
      </c>
      <c r="B260" t="inlineStr">
        <is>
          <t>avverkningsanmälan</t>
        </is>
      </c>
      <c r="C260" t="inlineStr">
        <is>
          <t>Föryngringsavverkning</t>
        </is>
      </c>
      <c r="D260" s="1" t="n">
        <v>44413</v>
      </c>
      <c r="E260" s="1" t="n">
        <v>46232</v>
      </c>
      <c r="F260" t="inlineStr">
        <is>
          <t>DALARNAS LÄN</t>
        </is>
      </c>
      <c r="G260" t="inlineStr">
        <is>
          <t>SÄTER</t>
        </is>
      </c>
      <c r="I260" t="n">
        <v>3.5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t="n">
        <v>0</v>
      </c>
      <c r="S260" t="n">
        <v>0</v>
      </c>
      <c r="T260" t="n">
        <v>0</v>
      </c>
      <c r="U260" t="n">
        <v>0</v>
      </c>
      <c r="V260" s="2" t="inlineStr"/>
    </row>
    <row r="261" ht="15" customHeight="1">
      <c r="A261" t="inlineStr">
        <is>
          <t>A 3751-2026</t>
        </is>
      </c>
      <c r="B261" t="inlineStr">
        <is>
          <t>avverkningsanmälan</t>
        </is>
      </c>
      <c r="C261" t="inlineStr">
        <is>
          <t>Föryngringsavverkning</t>
        </is>
      </c>
      <c r="D261" s="1" t="n">
        <v>46043</v>
      </c>
      <c r="E261" s="1" t="n">
        <v>46232</v>
      </c>
      <c r="F261" t="inlineStr">
        <is>
          <t>DALARNAS LÄN</t>
        </is>
      </c>
      <c r="G261" t="inlineStr">
        <is>
          <t>SÄTER</t>
        </is>
      </c>
      <c r="I261" t="n">
        <v>1.5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t="n">
        <v>0</v>
      </c>
      <c r="S261" t="n">
        <v>0</v>
      </c>
      <c r="T261" t="n">
        <v>0</v>
      </c>
      <c r="U261" t="n">
        <v>0</v>
      </c>
      <c r="V261" s="2" t="inlineStr"/>
    </row>
    <row r="262" ht="15" customHeight="1">
      <c r="A262" t="inlineStr">
        <is>
          <t>A 56823-2024</t>
        </is>
      </c>
      <c r="B262" t="inlineStr">
        <is>
          <t>avverkningsanmälan</t>
        </is>
      </c>
      <c r="C262" t="inlineStr">
        <is>
          <t>Föryngringsavverkning</t>
        </is>
      </c>
      <c r="D262" s="1" t="n">
        <v>45628</v>
      </c>
      <c r="E262" s="1" t="n">
        <v>46232</v>
      </c>
      <c r="F262" t="inlineStr">
        <is>
          <t>DALARNAS LÄN</t>
        </is>
      </c>
      <c r="G262" t="inlineStr">
        <is>
          <t>SÄTER</t>
        </is>
      </c>
      <c r="I262" t="n">
        <v>1.3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t="n">
        <v>0</v>
      </c>
      <c r="S262" t="n">
        <v>0</v>
      </c>
      <c r="T262" t="n">
        <v>0</v>
      </c>
      <c r="U262" t="n">
        <v>0</v>
      </c>
      <c r="V262" s="2" t="inlineStr"/>
    </row>
    <row r="263" ht="15" customHeight="1">
      <c r="A263" t="inlineStr">
        <is>
          <t>A 34652-2024</t>
        </is>
      </c>
      <c r="B263" t="inlineStr">
        <is>
          <t>avverkningsanmälan</t>
        </is>
      </c>
      <c r="C263" t="inlineStr">
        <is>
          <t>Föryngringsavverkning</t>
        </is>
      </c>
      <c r="D263" s="1" t="n">
        <v>45526</v>
      </c>
      <c r="E263" s="1" t="n">
        <v>46232</v>
      </c>
      <c r="F263" t="inlineStr">
        <is>
          <t>DALARNAS LÄN</t>
        </is>
      </c>
      <c r="G263" t="inlineStr">
        <is>
          <t>SÄTER</t>
        </is>
      </c>
      <c r="I263" t="n">
        <v>1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t="n">
        <v>0</v>
      </c>
      <c r="S263" t="n">
        <v>0</v>
      </c>
      <c r="T263" t="n">
        <v>0</v>
      </c>
      <c r="U263" t="n">
        <v>0</v>
      </c>
      <c r="V263" s="2" t="inlineStr"/>
    </row>
    <row r="264" ht="15" customHeight="1">
      <c r="A264" t="inlineStr">
        <is>
          <t>A 43125-2024</t>
        </is>
      </c>
      <c r="B264" t="inlineStr">
        <is>
          <t>avverkningsanmälan</t>
        </is>
      </c>
      <c r="C264" t="inlineStr">
        <is>
          <t>Föryngringsavverkning</t>
        </is>
      </c>
      <c r="D264" s="1" t="n">
        <v>45567</v>
      </c>
      <c r="E264" s="1" t="n">
        <v>46232</v>
      </c>
      <c r="F264" t="inlineStr">
        <is>
          <t>DALARNAS LÄN</t>
        </is>
      </c>
      <c r="G264" t="inlineStr">
        <is>
          <t>SÄTER</t>
        </is>
      </c>
      <c r="I264" t="n">
        <v>2.8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t="n">
        <v>0</v>
      </c>
      <c r="S264" t="n">
        <v>0</v>
      </c>
      <c r="T264" t="n">
        <v>0</v>
      </c>
      <c r="U264" t="n">
        <v>0</v>
      </c>
      <c r="V264" s="2" t="inlineStr"/>
    </row>
    <row r="265" ht="15" customHeight="1">
      <c r="A265" t="inlineStr">
        <is>
          <t>A 20056-2026</t>
        </is>
      </c>
      <c r="B265" t="inlineStr">
        <is>
          <t>avverkningsanmälan</t>
        </is>
      </c>
      <c r="C265" t="inlineStr">
        <is>
          <t>Föryngringsavverkning</t>
        </is>
      </c>
      <c r="D265" s="1" t="n">
        <v>46136</v>
      </c>
      <c r="E265" s="1" t="n">
        <v>46232</v>
      </c>
      <c r="F265" t="inlineStr">
        <is>
          <t>DALARNAS LÄN</t>
        </is>
      </c>
      <c r="G265" t="inlineStr">
        <is>
          <t>SÄTER</t>
        </is>
      </c>
      <c r="I265" t="n">
        <v>1.7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t="n">
        <v>0</v>
      </c>
      <c r="S265" t="n">
        <v>0</v>
      </c>
      <c r="T265" t="n">
        <v>0</v>
      </c>
      <c r="U265" t="n">
        <v>0</v>
      </c>
      <c r="V265" s="2" t="inlineStr"/>
    </row>
    <row r="266" ht="15" customHeight="1">
      <c r="A266" t="inlineStr">
        <is>
          <t>A 41959-2024</t>
        </is>
      </c>
      <c r="B266" t="inlineStr">
        <is>
          <t>avverkningsanmälan</t>
        </is>
      </c>
      <c r="C266" t="inlineStr">
        <is>
          <t>Föryngringsavverkning</t>
        </is>
      </c>
      <c r="D266" s="1" t="n">
        <v>45561</v>
      </c>
      <c r="E266" s="1" t="n">
        <v>46232</v>
      </c>
      <c r="F266" t="inlineStr">
        <is>
          <t>DALARNAS LÄN</t>
        </is>
      </c>
      <c r="G266" t="inlineStr">
        <is>
          <t>SÄTER</t>
        </is>
      </c>
      <c r="H266" t="inlineStr">
        <is>
          <t>Bergvik skog väst AB</t>
        </is>
      </c>
      <c r="I266" t="n">
        <v>2.1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t="n">
        <v>0</v>
      </c>
      <c r="S266" t="n">
        <v>0</v>
      </c>
      <c r="T266" t="n">
        <v>0</v>
      </c>
      <c r="U266" t="n">
        <v>0</v>
      </c>
      <c r="V266" s="2" t="inlineStr"/>
    </row>
    <row r="267" ht="15" customHeight="1">
      <c r="A267" t="inlineStr">
        <is>
          <t>A 61344-2023</t>
        </is>
      </c>
      <c r="B267" t="inlineStr">
        <is>
          <t>avverkningsanmälan</t>
        </is>
      </c>
      <c r="C267" t="inlineStr">
        <is>
          <t>Föryngringsavverkning</t>
        </is>
      </c>
      <c r="D267" s="1" t="n">
        <v>45264</v>
      </c>
      <c r="E267" s="1" t="n">
        <v>46232</v>
      </c>
      <c r="F267" t="inlineStr">
        <is>
          <t>DALARNAS LÄN</t>
        </is>
      </c>
      <c r="G267" t="inlineStr">
        <is>
          <t>SÄTER</t>
        </is>
      </c>
      <c r="I267" t="n">
        <v>0.8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t="n">
        <v>0</v>
      </c>
      <c r="S267" t="n">
        <v>0</v>
      </c>
      <c r="T267" t="n">
        <v>0</v>
      </c>
      <c r="U267" t="n">
        <v>0</v>
      </c>
      <c r="V267" s="2" t="inlineStr"/>
    </row>
    <row r="268" ht="15" customHeight="1">
      <c r="A268" t="inlineStr">
        <is>
          <t>A 18974-2024</t>
        </is>
      </c>
      <c r="B268" t="inlineStr">
        <is>
          <t>avverkningsanmälan</t>
        </is>
      </c>
      <c r="C268" t="inlineStr">
        <is>
          <t>Föryngringsavverkning</t>
        </is>
      </c>
      <c r="D268" s="1" t="n">
        <v>45427</v>
      </c>
      <c r="E268" s="1" t="n">
        <v>46232</v>
      </c>
      <c r="F268" t="inlineStr">
        <is>
          <t>DALARNAS LÄN</t>
        </is>
      </c>
      <c r="G268" t="inlineStr">
        <is>
          <t>SÄTER</t>
        </is>
      </c>
      <c r="I268" t="n">
        <v>0.8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t="n">
        <v>0</v>
      </c>
      <c r="S268" t="n">
        <v>0</v>
      </c>
      <c r="T268" t="n">
        <v>0</v>
      </c>
      <c r="U268" t="n">
        <v>0</v>
      </c>
      <c r="V268" s="2" t="inlineStr"/>
    </row>
    <row r="269" ht="15" customHeight="1">
      <c r="A269" t="inlineStr">
        <is>
          <t>A 41951-2024</t>
        </is>
      </c>
      <c r="B269" t="inlineStr">
        <is>
          <t>avverkningsanmälan</t>
        </is>
      </c>
      <c r="C269" t="inlineStr">
        <is>
          <t>Föryngringsavverkning</t>
        </is>
      </c>
      <c r="D269" s="1" t="n">
        <v>45561</v>
      </c>
      <c r="E269" s="1" t="n">
        <v>46232</v>
      </c>
      <c r="F269" t="inlineStr">
        <is>
          <t>DALARNAS LÄN</t>
        </is>
      </c>
      <c r="G269" t="inlineStr">
        <is>
          <t>SÄTER</t>
        </is>
      </c>
      <c r="H269" t="inlineStr">
        <is>
          <t>Bergvik skog väst AB</t>
        </is>
      </c>
      <c r="I269" t="n">
        <v>10.8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t="n">
        <v>0</v>
      </c>
      <c r="S269" t="n">
        <v>0</v>
      </c>
      <c r="T269" t="n">
        <v>0</v>
      </c>
      <c r="U269" t="n">
        <v>0</v>
      </c>
      <c r="V269" s="2" t="inlineStr"/>
    </row>
    <row r="270" ht="15" customHeight="1">
      <c r="A270" t="inlineStr">
        <is>
          <t>A 10101-2026</t>
        </is>
      </c>
      <c r="B270" t="inlineStr">
        <is>
          <t>avverkningsanmälan</t>
        </is>
      </c>
      <c r="C270" t="inlineStr">
        <is>
          <t>Föryngringsavverkning</t>
        </is>
      </c>
      <c r="D270" s="1" t="n">
        <v>46073</v>
      </c>
      <c r="E270" s="1" t="n">
        <v>46232</v>
      </c>
      <c r="F270" t="inlineStr">
        <is>
          <t>DALARNAS LÄN</t>
        </is>
      </c>
      <c r="G270" t="inlineStr">
        <is>
          <t>SÄTER</t>
        </is>
      </c>
      <c r="I270" t="n">
        <v>1.5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t="n">
        <v>0</v>
      </c>
      <c r="S270" t="n">
        <v>0</v>
      </c>
      <c r="T270" t="n">
        <v>0</v>
      </c>
      <c r="U270" t="n">
        <v>0</v>
      </c>
      <c r="V270" s="2" t="inlineStr"/>
    </row>
    <row r="271" ht="15" customHeight="1">
      <c r="A271" t="inlineStr">
        <is>
          <t>A 21697-2023</t>
        </is>
      </c>
      <c r="B271" t="inlineStr">
        <is>
          <t>avverkningsanmälan</t>
        </is>
      </c>
      <c r="C271" t="inlineStr">
        <is>
          <t>Föryngringsavverkning</t>
        </is>
      </c>
      <c r="D271" s="1" t="n">
        <v>45063</v>
      </c>
      <c r="E271" s="1" t="n">
        <v>46232</v>
      </c>
      <c r="F271" t="inlineStr">
        <is>
          <t>DALARNAS LÄN</t>
        </is>
      </c>
      <c r="G271" t="inlineStr">
        <is>
          <t>SÄTER</t>
        </is>
      </c>
      <c r="H271" t="inlineStr">
        <is>
          <t>Kommuner</t>
        </is>
      </c>
      <c r="I271" t="n">
        <v>1.9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t="n">
        <v>0</v>
      </c>
      <c r="S271" t="n">
        <v>0</v>
      </c>
      <c r="T271" t="n">
        <v>0</v>
      </c>
      <c r="U271" t="n">
        <v>0</v>
      </c>
      <c r="V271" s="2" t="inlineStr"/>
    </row>
    <row r="272" ht="15" customHeight="1">
      <c r="A272" t="inlineStr">
        <is>
          <t>A 9408-2026</t>
        </is>
      </c>
      <c r="B272" t="inlineStr">
        <is>
          <t>avverkningsanmälan</t>
        </is>
      </c>
      <c r="C272" t="inlineStr">
        <is>
          <t>Föryngringsavverkning</t>
        </is>
      </c>
      <c r="D272" s="1" t="n">
        <v>46071</v>
      </c>
      <c r="E272" s="1" t="n">
        <v>46232</v>
      </c>
      <c r="F272" t="inlineStr">
        <is>
          <t>DALARNAS LÄN</t>
        </is>
      </c>
      <c r="G272" t="inlineStr">
        <is>
          <t>SÄTER</t>
        </is>
      </c>
      <c r="I272" t="n">
        <v>2.3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t="n">
        <v>0</v>
      </c>
      <c r="S272" t="n">
        <v>0</v>
      </c>
      <c r="T272" t="n">
        <v>0</v>
      </c>
      <c r="U272" t="n">
        <v>0</v>
      </c>
      <c r="V272" s="2" t="inlineStr"/>
    </row>
    <row r="273" ht="15" customHeight="1">
      <c r="A273" t="inlineStr">
        <is>
          <t>A 20490-2026</t>
        </is>
      </c>
      <c r="B273" t="inlineStr">
        <is>
          <t>avverkningsanmälan</t>
        </is>
      </c>
      <c r="C273" t="inlineStr">
        <is>
          <t>Föryngringsavverkning</t>
        </is>
      </c>
      <c r="D273" s="1" t="n">
        <v>46140</v>
      </c>
      <c r="E273" s="1" t="n">
        <v>46232</v>
      </c>
      <c r="F273" t="inlineStr">
        <is>
          <t>DALARNAS LÄN</t>
        </is>
      </c>
      <c r="G273" t="inlineStr">
        <is>
          <t>SÄTER</t>
        </is>
      </c>
      <c r="I273" t="n">
        <v>1.7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t="n">
        <v>0</v>
      </c>
      <c r="S273" t="n">
        <v>0</v>
      </c>
      <c r="T273" t="n">
        <v>0</v>
      </c>
      <c r="U273" t="n">
        <v>0</v>
      </c>
      <c r="V273" s="2" t="inlineStr"/>
    </row>
    <row r="274" ht="15" customHeight="1">
      <c r="A274" t="inlineStr">
        <is>
          <t>A 14019-2026</t>
        </is>
      </c>
      <c r="B274" t="inlineStr">
        <is>
          <t>avverkningsanmälan</t>
        </is>
      </c>
      <c r="C274" t="inlineStr">
        <is>
          <t>Föryngringsavverkning</t>
        </is>
      </c>
      <c r="D274" s="1" t="n">
        <v>46098</v>
      </c>
      <c r="E274" s="1" t="n">
        <v>46232</v>
      </c>
      <c r="F274" t="inlineStr">
        <is>
          <t>DALARNAS LÄN</t>
        </is>
      </c>
      <c r="G274" t="inlineStr">
        <is>
          <t>SÄTER</t>
        </is>
      </c>
      <c r="I274" t="n">
        <v>6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t="n">
        <v>0</v>
      </c>
      <c r="S274" t="n">
        <v>0</v>
      </c>
      <c r="T274" t="n">
        <v>0</v>
      </c>
      <c r="U274" t="n">
        <v>0</v>
      </c>
      <c r="V274" s="2" t="inlineStr"/>
    </row>
    <row r="275" ht="15" customHeight="1">
      <c r="A275" t="inlineStr">
        <is>
          <t>A 11733-2026</t>
        </is>
      </c>
      <c r="B275" t="inlineStr">
        <is>
          <t>avverkningsanmälan</t>
        </is>
      </c>
      <c r="C275" t="inlineStr">
        <is>
          <t>Föryngringsavverkning</t>
        </is>
      </c>
      <c r="D275" s="1" t="n">
        <v>46084</v>
      </c>
      <c r="E275" s="1" t="n">
        <v>46232</v>
      </c>
      <c r="F275" t="inlineStr">
        <is>
          <t>DALARNAS LÄN</t>
        </is>
      </c>
      <c r="G275" t="inlineStr">
        <is>
          <t>SÄTER</t>
        </is>
      </c>
      <c r="H275" t="inlineStr">
        <is>
          <t>Kommuner</t>
        </is>
      </c>
      <c r="I275" t="n">
        <v>5.1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t="n">
        <v>0</v>
      </c>
      <c r="S275" t="n">
        <v>0</v>
      </c>
      <c r="T275" t="n">
        <v>0</v>
      </c>
      <c r="U275" t="n">
        <v>0</v>
      </c>
      <c r="V275" s="2" t="inlineStr"/>
    </row>
    <row r="276" ht="15" customHeight="1">
      <c r="A276" t="inlineStr">
        <is>
          <t>A 12330-2026</t>
        </is>
      </c>
      <c r="B276" t="inlineStr">
        <is>
          <t>avverkningsanmälan</t>
        </is>
      </c>
      <c r="C276" t="inlineStr">
        <is>
          <t>Föryngringsavverkning</t>
        </is>
      </c>
      <c r="D276" s="1" t="n">
        <v>46087</v>
      </c>
      <c r="E276" s="1" t="n">
        <v>46232</v>
      </c>
      <c r="F276" t="inlineStr">
        <is>
          <t>DALARNAS LÄN</t>
        </is>
      </c>
      <c r="G276" t="inlineStr">
        <is>
          <t>SÄTER</t>
        </is>
      </c>
      <c r="I276" t="n">
        <v>1.8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t="n">
        <v>0</v>
      </c>
      <c r="S276" t="n">
        <v>0</v>
      </c>
      <c r="T276" t="n">
        <v>0</v>
      </c>
      <c r="U276" t="n">
        <v>0</v>
      </c>
      <c r="V276" s="2" t="inlineStr"/>
    </row>
    <row r="277" ht="15" customHeight="1">
      <c r="A277" t="inlineStr">
        <is>
          <t>A 1517-2026</t>
        </is>
      </c>
      <c r="B277" t="inlineStr">
        <is>
          <t>avverkningsanmälan</t>
        </is>
      </c>
      <c r="C277" t="inlineStr">
        <is>
          <t>Föryngringsavverkning</t>
        </is>
      </c>
      <c r="D277" s="1" t="n">
        <v>46034</v>
      </c>
      <c r="E277" s="1" t="n">
        <v>46232</v>
      </c>
      <c r="F277" t="inlineStr">
        <is>
          <t>DALARNAS LÄN</t>
        </is>
      </c>
      <c r="G277" t="inlineStr">
        <is>
          <t>SÄTER</t>
        </is>
      </c>
      <c r="I277" t="n">
        <v>8.1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t="n">
        <v>0</v>
      </c>
      <c r="S277" t="n">
        <v>0</v>
      </c>
      <c r="T277" t="n">
        <v>0</v>
      </c>
      <c r="U277" t="n">
        <v>0</v>
      </c>
      <c r="V277" s="2" t="inlineStr"/>
    </row>
    <row r="278" ht="15" customHeight="1">
      <c r="A278" t="inlineStr">
        <is>
          <t>A 43610-2025</t>
        </is>
      </c>
      <c r="B278" t="inlineStr">
        <is>
          <t>avverkningsanmälan</t>
        </is>
      </c>
      <c r="C278" t="inlineStr">
        <is>
          <t>Föryngringsavverkning</t>
        </is>
      </c>
      <c r="D278" s="1" t="n">
        <v>45911</v>
      </c>
      <c r="E278" s="1" t="n">
        <v>46232</v>
      </c>
      <c r="F278" t="inlineStr">
        <is>
          <t>DALARNAS LÄN</t>
        </is>
      </c>
      <c r="G278" t="inlineStr">
        <is>
          <t>SÄTER</t>
        </is>
      </c>
      <c r="I278" t="n">
        <v>2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t="n">
        <v>0</v>
      </c>
      <c r="S278" t="n">
        <v>0</v>
      </c>
      <c r="T278" t="n">
        <v>0</v>
      </c>
      <c r="U278" t="n">
        <v>0</v>
      </c>
      <c r="V278" s="2" t="inlineStr"/>
    </row>
    <row r="279" ht="15" customHeight="1">
      <c r="A279" t="inlineStr">
        <is>
          <t>A 26940-2025</t>
        </is>
      </c>
      <c r="B279" t="inlineStr">
        <is>
          <t>avverkningsanmälan</t>
        </is>
      </c>
      <c r="C279" t="inlineStr">
        <is>
          <t>Föryngringsavverkning</t>
        </is>
      </c>
      <c r="D279" s="1" t="n">
        <v>45811</v>
      </c>
      <c r="E279" s="1" t="n">
        <v>46232</v>
      </c>
      <c r="F279" t="inlineStr">
        <is>
          <t>DALARNAS LÄN</t>
        </is>
      </c>
      <c r="G279" t="inlineStr">
        <is>
          <t>SÄTER</t>
        </is>
      </c>
      <c r="I279" t="n">
        <v>2.3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t="n">
        <v>0</v>
      </c>
      <c r="S279" t="n">
        <v>0</v>
      </c>
      <c r="T279" t="n">
        <v>0</v>
      </c>
      <c r="U279" t="n">
        <v>0</v>
      </c>
      <c r="V279" s="2" t="inlineStr"/>
    </row>
    <row r="280" ht="15" customHeight="1">
      <c r="A280" t="inlineStr">
        <is>
          <t>A 8991-2026</t>
        </is>
      </c>
      <c r="B280" t="inlineStr">
        <is>
          <t>avverkningsanmälan</t>
        </is>
      </c>
      <c r="C280" t="inlineStr">
        <is>
          <t>Föryngringsavverkning</t>
        </is>
      </c>
      <c r="D280" s="1" t="n">
        <v>46069</v>
      </c>
      <c r="E280" s="1" t="n">
        <v>46232</v>
      </c>
      <c r="F280" t="inlineStr">
        <is>
          <t>DALARNAS LÄN</t>
        </is>
      </c>
      <c r="G280" t="inlineStr">
        <is>
          <t>SÄTER</t>
        </is>
      </c>
      <c r="I280" t="n">
        <v>4.4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t="n">
        <v>0</v>
      </c>
      <c r="S280" t="n">
        <v>0</v>
      </c>
      <c r="T280" t="n">
        <v>0</v>
      </c>
      <c r="U280" t="n">
        <v>0</v>
      </c>
      <c r="V280" s="2" t="inlineStr"/>
    </row>
    <row r="281" ht="15" customHeight="1">
      <c r="A281" t="inlineStr">
        <is>
          <t>A 6318-2026</t>
        </is>
      </c>
      <c r="B281" t="inlineStr">
        <is>
          <t>avverkningsanmälan</t>
        </is>
      </c>
      <c r="C281" t="inlineStr">
        <is>
          <t>Föryngringsavverkning</t>
        </is>
      </c>
      <c r="D281" s="1" t="n">
        <v>46051</v>
      </c>
      <c r="E281" s="1" t="n">
        <v>46232</v>
      </c>
      <c r="F281" t="inlineStr">
        <is>
          <t>DALARNAS LÄN</t>
        </is>
      </c>
      <c r="G281" t="inlineStr">
        <is>
          <t>SÄTER</t>
        </is>
      </c>
      <c r="H281" t="inlineStr">
        <is>
          <t>Kommuner</t>
        </is>
      </c>
      <c r="I281" t="n">
        <v>42.6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t="n">
        <v>0</v>
      </c>
      <c r="S281" t="n">
        <v>0</v>
      </c>
      <c r="T281" t="n">
        <v>0</v>
      </c>
      <c r="U281" t="n">
        <v>0</v>
      </c>
      <c r="V281" s="2" t="inlineStr"/>
    </row>
    <row r="282" ht="15" customHeight="1">
      <c r="A282" t="inlineStr">
        <is>
          <t>A 30256-2023</t>
        </is>
      </c>
      <c r="B282" t="inlineStr">
        <is>
          <t>avverkningsanmälan</t>
        </is>
      </c>
      <c r="C282" t="inlineStr">
        <is>
          <t>Föryngringsavverkning</t>
        </is>
      </c>
      <c r="D282" s="1" t="n">
        <v>45110</v>
      </c>
      <c r="E282" s="1" t="n">
        <v>46232</v>
      </c>
      <c r="F282" t="inlineStr">
        <is>
          <t>DALARNAS LÄN</t>
        </is>
      </c>
      <c r="G282" t="inlineStr">
        <is>
          <t>SÄTER</t>
        </is>
      </c>
      <c r="I282" t="n">
        <v>1.7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t="n">
        <v>0</v>
      </c>
      <c r="S282" t="n">
        <v>0</v>
      </c>
      <c r="T282" t="n">
        <v>0</v>
      </c>
      <c r="U282" t="n">
        <v>0</v>
      </c>
      <c r="V282" s="2" t="inlineStr"/>
    </row>
    <row r="283" ht="15" customHeight="1">
      <c r="A283" t="inlineStr">
        <is>
          <t>A 52193-2021</t>
        </is>
      </c>
      <c r="B283" t="inlineStr">
        <is>
          <t>avverkningsanmälan</t>
        </is>
      </c>
      <c r="C283" t="inlineStr">
        <is>
          <t>Föryngringsavverkning</t>
        </is>
      </c>
      <c r="D283" s="1" t="n">
        <v>44463</v>
      </c>
      <c r="E283" s="1" t="n">
        <v>46232</v>
      </c>
      <c r="F283" t="inlineStr">
        <is>
          <t>DALARNAS LÄN</t>
        </is>
      </c>
      <c r="G283" t="inlineStr">
        <is>
          <t>SÄTER</t>
        </is>
      </c>
      <c r="H283" t="inlineStr">
        <is>
          <t>Bergvik skog väst AB</t>
        </is>
      </c>
      <c r="I283" t="n">
        <v>3.3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t="n">
        <v>0</v>
      </c>
      <c r="S283" t="n">
        <v>0</v>
      </c>
      <c r="T283" t="n">
        <v>0</v>
      </c>
      <c r="U283" t="n">
        <v>0</v>
      </c>
      <c r="V283" s="2" t="inlineStr"/>
    </row>
    <row r="284" ht="15" customHeight="1">
      <c r="A284" t="inlineStr">
        <is>
          <t>A 23810-2024</t>
        </is>
      </c>
      <c r="B284" t="inlineStr">
        <is>
          <t>avverkningsanmälan</t>
        </is>
      </c>
      <c r="C284" t="inlineStr">
        <is>
          <t>Föryngringsavverkning</t>
        </is>
      </c>
      <c r="D284" s="1" t="n">
        <v>45455</v>
      </c>
      <c r="E284" s="1" t="n">
        <v>46232</v>
      </c>
      <c r="F284" t="inlineStr">
        <is>
          <t>DALARNAS LÄN</t>
        </is>
      </c>
      <c r="G284" t="inlineStr">
        <is>
          <t>SÄTER</t>
        </is>
      </c>
      <c r="I284" t="n">
        <v>1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t="n">
        <v>0</v>
      </c>
      <c r="S284" t="n">
        <v>0</v>
      </c>
      <c r="T284" t="n">
        <v>0</v>
      </c>
      <c r="U284" t="n">
        <v>0</v>
      </c>
      <c r="V284" s="2" t="inlineStr"/>
    </row>
    <row r="285" ht="15" customHeight="1">
      <c r="A285" t="inlineStr">
        <is>
          <t>A 52220-2021</t>
        </is>
      </c>
      <c r="B285" t="inlineStr">
        <is>
          <t>avverkningsanmälan</t>
        </is>
      </c>
      <c r="C285" t="inlineStr">
        <is>
          <t>Föryngringsavverkning</t>
        </is>
      </c>
      <c r="D285" s="1" t="n">
        <v>44462</v>
      </c>
      <c r="E285" s="1" t="n">
        <v>46232</v>
      </c>
      <c r="F285" t="inlineStr">
        <is>
          <t>DALARNAS LÄN</t>
        </is>
      </c>
      <c r="G285" t="inlineStr">
        <is>
          <t>SÄTER</t>
        </is>
      </c>
      <c r="H285" t="inlineStr">
        <is>
          <t>Bergvik skog väst AB</t>
        </is>
      </c>
      <c r="I285" t="n">
        <v>2.6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t="n">
        <v>0</v>
      </c>
      <c r="S285" t="n">
        <v>0</v>
      </c>
      <c r="T285" t="n">
        <v>0</v>
      </c>
      <c r="U285" t="n">
        <v>0</v>
      </c>
      <c r="V285" s="2" t="inlineStr"/>
    </row>
    <row r="286" ht="15" customHeight="1">
      <c r="A286" t="inlineStr">
        <is>
          <t>A 12646-2026</t>
        </is>
      </c>
      <c r="B286" t="inlineStr">
        <is>
          <t>avverkningsanmälan</t>
        </is>
      </c>
      <c r="C286" t="inlineStr">
        <is>
          <t>Föryngringsavverkning</t>
        </is>
      </c>
      <c r="D286" s="1" t="n">
        <v>46091</v>
      </c>
      <c r="E286" s="1" t="n">
        <v>46232</v>
      </c>
      <c r="F286" t="inlineStr">
        <is>
          <t>DALARNAS LÄN</t>
        </is>
      </c>
      <c r="G286" t="inlineStr">
        <is>
          <t>SÄTER</t>
        </is>
      </c>
      <c r="I286" t="n">
        <v>2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t="n">
        <v>0</v>
      </c>
      <c r="S286" t="n">
        <v>0</v>
      </c>
      <c r="T286" t="n">
        <v>0</v>
      </c>
      <c r="U286" t="n">
        <v>0</v>
      </c>
      <c r="V286" s="2" t="inlineStr"/>
    </row>
    <row r="287" ht="15" customHeight="1">
      <c r="A287" t="inlineStr">
        <is>
          <t>A 4050-2026</t>
        </is>
      </c>
      <c r="B287" t="inlineStr">
        <is>
          <t>avverkningsanmälan</t>
        </is>
      </c>
      <c r="C287" t="inlineStr">
        <is>
          <t>Föryngringsavverkning</t>
        </is>
      </c>
      <c r="D287" s="1" t="n">
        <v>46044</v>
      </c>
      <c r="E287" s="1" t="n">
        <v>46232</v>
      </c>
      <c r="F287" t="inlineStr">
        <is>
          <t>DALARNAS LÄN</t>
        </is>
      </c>
      <c r="G287" t="inlineStr">
        <is>
          <t>SÄTER</t>
        </is>
      </c>
      <c r="I287" t="n">
        <v>1.1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t="n">
        <v>0</v>
      </c>
      <c r="S287" t="n">
        <v>0</v>
      </c>
      <c r="T287" t="n">
        <v>0</v>
      </c>
      <c r="U287" t="n">
        <v>0</v>
      </c>
      <c r="V287" s="2" t="inlineStr"/>
    </row>
    <row r="288" ht="15" customHeight="1">
      <c r="A288" t="inlineStr">
        <is>
          <t>A 19773-2024</t>
        </is>
      </c>
      <c r="B288" t="inlineStr">
        <is>
          <t>avverkningsanmälan</t>
        </is>
      </c>
      <c r="C288" t="inlineStr">
        <is>
          <t>Föryngringsavverkning</t>
        </is>
      </c>
      <c r="D288" s="1" t="n">
        <v>45432</v>
      </c>
      <c r="E288" s="1" t="n">
        <v>46232</v>
      </c>
      <c r="F288" t="inlineStr">
        <is>
          <t>DALARNAS LÄN</t>
        </is>
      </c>
      <c r="G288" t="inlineStr">
        <is>
          <t>SÄTER</t>
        </is>
      </c>
      <c r="I288" t="n">
        <v>0.6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t="n">
        <v>0</v>
      </c>
      <c r="S288" t="n">
        <v>0</v>
      </c>
      <c r="T288" t="n">
        <v>0</v>
      </c>
      <c r="U288" t="n">
        <v>0</v>
      </c>
      <c r="V288" s="2" t="inlineStr"/>
    </row>
    <row r="289" ht="15" customHeight="1">
      <c r="A289" t="inlineStr">
        <is>
          <t>A 10540-2024</t>
        </is>
      </c>
      <c r="B289" t="inlineStr">
        <is>
          <t>avverkningsanmälan</t>
        </is>
      </c>
      <c r="C289" t="inlineStr">
        <is>
          <t>Föryngringsavverkning</t>
        </is>
      </c>
      <c r="D289" s="1" t="n">
        <v>45366</v>
      </c>
      <c r="E289" s="1" t="n">
        <v>46232</v>
      </c>
      <c r="F289" t="inlineStr">
        <is>
          <t>DALARNAS LÄN</t>
        </is>
      </c>
      <c r="G289" t="inlineStr">
        <is>
          <t>SÄTER</t>
        </is>
      </c>
      <c r="I289" t="n">
        <v>0.5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t="n">
        <v>0</v>
      </c>
      <c r="S289" t="n">
        <v>0</v>
      </c>
      <c r="T289" t="n">
        <v>0</v>
      </c>
      <c r="U289" t="n">
        <v>0</v>
      </c>
      <c r="V289" s="2" t="inlineStr"/>
    </row>
    <row r="290" ht="15" customHeight="1">
      <c r="A290" t="inlineStr">
        <is>
          <t>A 27771-2026</t>
        </is>
      </c>
      <c r="B290" t="inlineStr">
        <is>
          <t>avverkningsanmälan</t>
        </is>
      </c>
      <c r="C290" t="inlineStr">
        <is>
          <t>Föryngringsavverkning</t>
        </is>
      </c>
      <c r="D290" s="1" t="n">
        <v>46191</v>
      </c>
      <c r="E290" s="1" t="n">
        <v>46232</v>
      </c>
      <c r="F290" t="inlineStr">
        <is>
          <t>DALARNAS LÄN</t>
        </is>
      </c>
      <c r="G290" t="inlineStr">
        <is>
          <t>SÄTER</t>
        </is>
      </c>
      <c r="I290" t="n">
        <v>1.3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t="n">
        <v>0</v>
      </c>
      <c r="S290" t="n">
        <v>0</v>
      </c>
      <c r="T290" t="n">
        <v>0</v>
      </c>
      <c r="U290" t="n">
        <v>0</v>
      </c>
      <c r="V290" s="2" t="inlineStr"/>
    </row>
    <row r="291" ht="15" customHeight="1">
      <c r="A291" t="inlineStr">
        <is>
          <t>A 38240-2022</t>
        </is>
      </c>
      <c r="B291" t="inlineStr">
        <is>
          <t>avverkningsanmälan</t>
        </is>
      </c>
      <c r="C291" t="inlineStr">
        <is>
          <t>Föryngringsavverkning</t>
        </is>
      </c>
      <c r="D291" s="1" t="n">
        <v>44812</v>
      </c>
      <c r="E291" s="1" t="n">
        <v>46232</v>
      </c>
      <c r="F291" t="inlineStr">
        <is>
          <t>DALARNAS LÄN</t>
        </is>
      </c>
      <c r="G291" t="inlineStr">
        <is>
          <t>SÄTER</t>
        </is>
      </c>
      <c r="I291" t="n">
        <v>2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t="n">
        <v>0</v>
      </c>
      <c r="S291" t="n">
        <v>0</v>
      </c>
      <c r="T291" t="n">
        <v>0</v>
      </c>
      <c r="U291" t="n">
        <v>0</v>
      </c>
      <c r="V291" s="2" t="inlineStr"/>
    </row>
    <row r="292" ht="15" customHeight="1">
      <c r="A292" t="inlineStr">
        <is>
          <t>A 19162-2022</t>
        </is>
      </c>
      <c r="B292" t="inlineStr">
        <is>
          <t>avverkningsanmälan</t>
        </is>
      </c>
      <c r="C292" t="inlineStr">
        <is>
          <t>Föryngringsavverkning</t>
        </is>
      </c>
      <c r="D292" s="1" t="n">
        <v>44691</v>
      </c>
      <c r="E292" s="1" t="n">
        <v>46232</v>
      </c>
      <c r="F292" t="inlineStr">
        <is>
          <t>DALARNAS LÄN</t>
        </is>
      </c>
      <c r="G292" t="inlineStr">
        <is>
          <t>SÄTER</t>
        </is>
      </c>
      <c r="I292" t="n">
        <v>1.7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t="n">
        <v>0</v>
      </c>
      <c r="S292" t="n">
        <v>0</v>
      </c>
      <c r="T292" t="n">
        <v>0</v>
      </c>
      <c r="U292" t="n">
        <v>0</v>
      </c>
      <c r="V292" s="2" t="inlineStr"/>
    </row>
    <row r="293" ht="15" customHeight="1">
      <c r="A293" t="inlineStr">
        <is>
          <t>A 22148-2026</t>
        </is>
      </c>
      <c r="B293" t="inlineStr">
        <is>
          <t>avverkningsanmälan</t>
        </is>
      </c>
      <c r="C293" t="inlineStr">
        <is>
          <t>Föryngringsavverkning</t>
        </is>
      </c>
      <c r="D293" s="1" t="n">
        <v>46153</v>
      </c>
      <c r="E293" s="1" t="n">
        <v>46232</v>
      </c>
      <c r="F293" t="inlineStr">
        <is>
          <t>DALARNAS LÄN</t>
        </is>
      </c>
      <c r="G293" t="inlineStr">
        <is>
          <t>SÄTER</t>
        </is>
      </c>
      <c r="I293" t="n">
        <v>1.7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t="n">
        <v>0</v>
      </c>
      <c r="S293" t="n">
        <v>0</v>
      </c>
      <c r="T293" t="n">
        <v>0</v>
      </c>
      <c r="U293" t="n">
        <v>0</v>
      </c>
      <c r="V293" s="2" t="inlineStr"/>
    </row>
    <row r="294" ht="15" customHeight="1">
      <c r="A294" t="inlineStr">
        <is>
          <t>A 22028-2026</t>
        </is>
      </c>
      <c r="B294" t="inlineStr">
        <is>
          <t>avverkningsanmälan</t>
        </is>
      </c>
      <c r="C294" t="inlineStr">
        <is>
          <t>Föryngringsavverkning</t>
        </is>
      </c>
      <c r="D294" s="1" t="n">
        <v>46153</v>
      </c>
      <c r="E294" s="1" t="n">
        <v>46232</v>
      </c>
      <c r="F294" t="inlineStr">
        <is>
          <t>DALARNAS LÄN</t>
        </is>
      </c>
      <c r="G294" t="inlineStr">
        <is>
          <t>SÄTER</t>
        </is>
      </c>
      <c r="I294" t="n">
        <v>10.1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t="n">
        <v>0</v>
      </c>
      <c r="S294" t="n">
        <v>0</v>
      </c>
      <c r="T294" t="n">
        <v>0</v>
      </c>
      <c r="U294" t="n">
        <v>0</v>
      </c>
      <c r="V294" s="2" t="inlineStr"/>
    </row>
    <row r="295" ht="15" customHeight="1">
      <c r="A295" t="inlineStr">
        <is>
          <t>A 59707-2022</t>
        </is>
      </c>
      <c r="B295" t="inlineStr">
        <is>
          <t>avverkningsanmälan</t>
        </is>
      </c>
      <c r="C295" t="inlineStr">
        <is>
          <t>Föryngringsavverkning</t>
        </is>
      </c>
      <c r="D295" s="1" t="n">
        <v>44908</v>
      </c>
      <c r="E295" s="1" t="n">
        <v>46232</v>
      </c>
      <c r="F295" t="inlineStr">
        <is>
          <t>DALARNAS LÄN</t>
        </is>
      </c>
      <c r="G295" t="inlineStr">
        <is>
          <t>SÄTER</t>
        </is>
      </c>
      <c r="I295" t="n">
        <v>4.6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t="n">
        <v>0</v>
      </c>
      <c r="S295" t="n">
        <v>0</v>
      </c>
      <c r="T295" t="n">
        <v>0</v>
      </c>
      <c r="U295" t="n">
        <v>0</v>
      </c>
      <c r="V295" s="2" t="inlineStr"/>
    </row>
    <row r="296" ht="15" customHeight="1">
      <c r="A296" t="inlineStr">
        <is>
          <t>A 13339-2023</t>
        </is>
      </c>
      <c r="B296" t="inlineStr">
        <is>
          <t>avverkningsanmälan</t>
        </is>
      </c>
      <c r="C296" t="inlineStr">
        <is>
          <t>Föryngringsavverkning</t>
        </is>
      </c>
      <c r="D296" s="1" t="n">
        <v>45005</v>
      </c>
      <c r="E296" s="1" t="n">
        <v>46232</v>
      </c>
      <c r="F296" t="inlineStr">
        <is>
          <t>DALARNAS LÄN</t>
        </is>
      </c>
      <c r="G296" t="inlineStr">
        <is>
          <t>SÄTER</t>
        </is>
      </c>
      <c r="I296" t="n">
        <v>8.6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t="n">
        <v>0</v>
      </c>
      <c r="S296" t="n">
        <v>0</v>
      </c>
      <c r="T296" t="n">
        <v>0</v>
      </c>
      <c r="U296" t="n">
        <v>0</v>
      </c>
      <c r="V296" s="2" t="inlineStr"/>
    </row>
    <row r="297" ht="15" customHeight="1">
      <c r="A297" t="inlineStr">
        <is>
          <t>A 69744-2021</t>
        </is>
      </c>
      <c r="B297" t="inlineStr">
        <is>
          <t>avverkningsanmälan</t>
        </is>
      </c>
      <c r="C297" t="inlineStr">
        <is>
          <t>Föryngringsavverkning</t>
        </is>
      </c>
      <c r="D297" s="1" t="n">
        <v>44532</v>
      </c>
      <c r="E297" s="1" t="n">
        <v>46232</v>
      </c>
      <c r="F297" t="inlineStr">
        <is>
          <t>DALARNAS LÄN</t>
        </is>
      </c>
      <c r="G297" t="inlineStr">
        <is>
          <t>SÄTER</t>
        </is>
      </c>
      <c r="H297" t="inlineStr">
        <is>
          <t>Bergvik skog väst AB</t>
        </is>
      </c>
      <c r="I297" t="n">
        <v>1.2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t="n">
        <v>0</v>
      </c>
      <c r="S297" t="n">
        <v>0</v>
      </c>
      <c r="T297" t="n">
        <v>0</v>
      </c>
      <c r="U297" t="n">
        <v>0</v>
      </c>
      <c r="V297" s="2" t="inlineStr"/>
    </row>
    <row r="298" ht="15" customHeight="1">
      <c r="A298" t="inlineStr">
        <is>
          <t>A 22261-2026</t>
        </is>
      </c>
      <c r="B298" t="inlineStr">
        <is>
          <t>avverkningsanmälan</t>
        </is>
      </c>
      <c r="C298" t="inlineStr">
        <is>
          <t>Föryngringsavverkning</t>
        </is>
      </c>
      <c r="D298" s="1" t="n">
        <v>46154</v>
      </c>
      <c r="E298" s="1" t="n">
        <v>46232</v>
      </c>
      <c r="F298" t="inlineStr">
        <is>
          <t>DALARNAS LÄN</t>
        </is>
      </c>
      <c r="G298" t="inlineStr">
        <is>
          <t>SÄTER</t>
        </is>
      </c>
      <c r="I298" t="n">
        <v>9.6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t="n">
        <v>0</v>
      </c>
      <c r="S298" t="n">
        <v>0</v>
      </c>
      <c r="T298" t="n">
        <v>0</v>
      </c>
      <c r="U298" t="n">
        <v>0</v>
      </c>
      <c r="V298" s="2" t="inlineStr"/>
    </row>
    <row r="299" ht="15" customHeight="1">
      <c r="A299" t="inlineStr">
        <is>
          <t>A 28281-2026</t>
        </is>
      </c>
      <c r="B299" t="inlineStr">
        <is>
          <t>avverkningsanmälan</t>
        </is>
      </c>
      <c r="C299" t="inlineStr">
        <is>
          <t>Föryngringsavverkning</t>
        </is>
      </c>
      <c r="D299" s="1" t="n">
        <v>46196</v>
      </c>
      <c r="E299" s="1" t="n">
        <v>46232</v>
      </c>
      <c r="F299" t="inlineStr">
        <is>
          <t>DALARNAS LÄN</t>
        </is>
      </c>
      <c r="G299" t="inlineStr">
        <is>
          <t>SÄTER</t>
        </is>
      </c>
      <c r="H299" t="inlineStr">
        <is>
          <t>Sveaskog</t>
        </is>
      </c>
      <c r="I299" t="n">
        <v>19.8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t="n">
        <v>0</v>
      </c>
      <c r="S299" t="n">
        <v>0</v>
      </c>
      <c r="T299" t="n">
        <v>0</v>
      </c>
      <c r="U299" t="n">
        <v>0</v>
      </c>
      <c r="V299" s="2" t="inlineStr"/>
    </row>
    <row r="300" ht="15" customHeight="1">
      <c r="A300" t="inlineStr">
        <is>
          <t>A 26456-2024</t>
        </is>
      </c>
      <c r="B300" t="inlineStr">
        <is>
          <t>avverkningsanmälan</t>
        </is>
      </c>
      <c r="C300" t="inlineStr">
        <is>
          <t>Föryngringsavverkning</t>
        </is>
      </c>
      <c r="D300" s="1" t="n">
        <v>45469</v>
      </c>
      <c r="E300" s="1" t="n">
        <v>46232</v>
      </c>
      <c r="F300" t="inlineStr">
        <is>
          <t>DALARNAS LÄN</t>
        </is>
      </c>
      <c r="G300" t="inlineStr">
        <is>
          <t>SÄTER</t>
        </is>
      </c>
      <c r="I300" t="n">
        <v>1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t="n">
        <v>0</v>
      </c>
      <c r="S300" t="n">
        <v>0</v>
      </c>
      <c r="T300" t="n">
        <v>0</v>
      </c>
      <c r="U300" t="n">
        <v>0</v>
      </c>
      <c r="V300" s="2" t="inlineStr"/>
    </row>
    <row r="301" ht="15" customHeight="1">
      <c r="A301" t="inlineStr">
        <is>
          <t>A 22850-2026</t>
        </is>
      </c>
      <c r="B301" t="inlineStr">
        <is>
          <t>avverkningsanmälan</t>
        </is>
      </c>
      <c r="C301" t="inlineStr">
        <is>
          <t>Föryngringsavverkning</t>
        </is>
      </c>
      <c r="D301" s="1" t="n">
        <v>46155</v>
      </c>
      <c r="E301" s="1" t="n">
        <v>46232</v>
      </c>
      <c r="F301" t="inlineStr">
        <is>
          <t>DALARNAS LÄN</t>
        </is>
      </c>
      <c r="G301" t="inlineStr">
        <is>
          <t>SÄTER</t>
        </is>
      </c>
      <c r="H301" t="inlineStr">
        <is>
          <t>Bergvik skog väst AB</t>
        </is>
      </c>
      <c r="I301" t="n">
        <v>9.5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t="n">
        <v>0</v>
      </c>
      <c r="S301" t="n">
        <v>0</v>
      </c>
      <c r="T301" t="n">
        <v>0</v>
      </c>
      <c r="U301" t="n">
        <v>0</v>
      </c>
      <c r="V301" s="2" t="inlineStr"/>
    </row>
    <row r="302" ht="15" customHeight="1">
      <c r="A302" t="inlineStr">
        <is>
          <t>A 847-2025</t>
        </is>
      </c>
      <c r="B302" t="inlineStr">
        <is>
          <t>avverkningsanmälan</t>
        </is>
      </c>
      <c r="C302" t="inlineStr">
        <is>
          <t>Föryngringsavverkning</t>
        </is>
      </c>
      <c r="D302" s="1" t="n">
        <v>45665</v>
      </c>
      <c r="E302" s="1" t="n">
        <v>46232</v>
      </c>
      <c r="F302" t="inlineStr">
        <is>
          <t>DALARNAS LÄN</t>
        </is>
      </c>
      <c r="G302" t="inlineStr">
        <is>
          <t>SÄTER</t>
        </is>
      </c>
      <c r="I302" t="n">
        <v>1.2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t="n">
        <v>0</v>
      </c>
      <c r="S302" t="n">
        <v>0</v>
      </c>
      <c r="T302" t="n">
        <v>0</v>
      </c>
      <c r="U302" t="n">
        <v>0</v>
      </c>
      <c r="V302" s="2" t="inlineStr"/>
    </row>
    <row r="303" ht="15" customHeight="1">
      <c r="A303" t="inlineStr">
        <is>
          <t>A 5543-2022</t>
        </is>
      </c>
      <c r="B303" t="inlineStr">
        <is>
          <t>avverkningsanmälan</t>
        </is>
      </c>
      <c r="C303" t="inlineStr">
        <is>
          <t>Föryngringsavverkning</t>
        </is>
      </c>
      <c r="D303" s="1" t="n">
        <v>44595</v>
      </c>
      <c r="E303" s="1" t="n">
        <v>46232</v>
      </c>
      <c r="F303" t="inlineStr">
        <is>
          <t>DALARNAS LÄN</t>
        </is>
      </c>
      <c r="G303" t="inlineStr">
        <is>
          <t>SÄTER</t>
        </is>
      </c>
      <c r="I303" t="n">
        <v>2.3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t="n">
        <v>0</v>
      </c>
      <c r="S303" t="n">
        <v>0</v>
      </c>
      <c r="T303" t="n">
        <v>0</v>
      </c>
      <c r="U303" t="n">
        <v>0</v>
      </c>
      <c r="V303" s="2" t="inlineStr"/>
    </row>
    <row r="304" ht="15" customHeight="1">
      <c r="A304" t="inlineStr">
        <is>
          <t>A 60655-2024</t>
        </is>
      </c>
      <c r="B304" t="inlineStr">
        <is>
          <t>avverkningsanmälan</t>
        </is>
      </c>
      <c r="C304" t="inlineStr">
        <is>
          <t>Föryngringsavverkning</t>
        </is>
      </c>
      <c r="D304" s="1" t="n">
        <v>45644</v>
      </c>
      <c r="E304" s="1" t="n">
        <v>46232</v>
      </c>
      <c r="F304" t="inlineStr">
        <is>
          <t>DALARNAS LÄN</t>
        </is>
      </c>
      <c r="G304" t="inlineStr">
        <is>
          <t>SÄTER</t>
        </is>
      </c>
      <c r="I304" t="n">
        <v>1.7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t="n">
        <v>0</v>
      </c>
      <c r="S304" t="n">
        <v>0</v>
      </c>
      <c r="T304" t="n">
        <v>0</v>
      </c>
      <c r="U304" t="n">
        <v>0</v>
      </c>
      <c r="V304" s="2" t="inlineStr"/>
    </row>
    <row r="305" ht="15" customHeight="1">
      <c r="A305" t="inlineStr">
        <is>
          <t>A 59445-2024</t>
        </is>
      </c>
      <c r="B305" t="inlineStr">
        <is>
          <t>avverkningsanmälan</t>
        </is>
      </c>
      <c r="C305" t="inlineStr">
        <is>
          <t>Föryngringsavverkning</t>
        </is>
      </c>
      <c r="D305" s="1" t="n">
        <v>45638</v>
      </c>
      <c r="E305" s="1" t="n">
        <v>46232</v>
      </c>
      <c r="F305" t="inlineStr">
        <is>
          <t>DALARNAS LÄN</t>
        </is>
      </c>
      <c r="G305" t="inlineStr">
        <is>
          <t>SÄTER</t>
        </is>
      </c>
      <c r="I305" t="n">
        <v>0.7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t="n">
        <v>0</v>
      </c>
      <c r="S305" t="n">
        <v>0</v>
      </c>
      <c r="T305" t="n">
        <v>0</v>
      </c>
      <c r="U305" t="n">
        <v>0</v>
      </c>
      <c r="V305" s="2" t="inlineStr"/>
    </row>
    <row r="306" ht="15" customHeight="1">
      <c r="A306" t="inlineStr">
        <is>
          <t>A 28613-2026</t>
        </is>
      </c>
      <c r="B306" t="inlineStr">
        <is>
          <t>avverkningsanmälan</t>
        </is>
      </c>
      <c r="C306" t="inlineStr">
        <is>
          <t>Föryngringsavverkning</t>
        </is>
      </c>
      <c r="D306" s="1" t="n">
        <v>46190</v>
      </c>
      <c r="E306" s="1" t="n">
        <v>46232</v>
      </c>
      <c r="F306" t="inlineStr">
        <is>
          <t>DALARNAS LÄN</t>
        </is>
      </c>
      <c r="G306" t="inlineStr">
        <is>
          <t>SÄTER</t>
        </is>
      </c>
      <c r="H306" t="inlineStr">
        <is>
          <t>Bergvik skog väst AB</t>
        </is>
      </c>
      <c r="I306" t="n">
        <v>7.5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t="n">
        <v>0</v>
      </c>
      <c r="S306" t="n">
        <v>0</v>
      </c>
      <c r="T306" t="n">
        <v>0</v>
      </c>
      <c r="U306" t="n">
        <v>0</v>
      </c>
      <c r="V306" s="2" t="inlineStr"/>
    </row>
    <row r="307" ht="15" customHeight="1">
      <c r="A307" t="inlineStr">
        <is>
          <t>A 10150-2025</t>
        </is>
      </c>
      <c r="B307" t="inlineStr">
        <is>
          <t>avverkningsanmälan</t>
        </is>
      </c>
      <c r="C307" t="inlineStr">
        <is>
          <t>Föryngringsavverkning</t>
        </is>
      </c>
      <c r="D307" s="1" t="n">
        <v>45719</v>
      </c>
      <c r="E307" s="1" t="n">
        <v>46232</v>
      </c>
      <c r="F307" t="inlineStr">
        <is>
          <t>DALARNAS LÄN</t>
        </is>
      </c>
      <c r="G307" t="inlineStr">
        <is>
          <t>SÄTER</t>
        </is>
      </c>
      <c r="H307" t="inlineStr">
        <is>
          <t>Bergvik skog väst AB</t>
        </is>
      </c>
      <c r="I307" t="n">
        <v>0.7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t="n">
        <v>0</v>
      </c>
      <c r="S307" t="n">
        <v>0</v>
      </c>
      <c r="T307" t="n">
        <v>0</v>
      </c>
      <c r="U307" t="n">
        <v>0</v>
      </c>
      <c r="V307" s="2" t="inlineStr"/>
    </row>
    <row r="308" ht="15" customHeight="1">
      <c r="A308" t="inlineStr">
        <is>
          <t>A 38700-2023</t>
        </is>
      </c>
      <c r="B308" t="inlineStr">
        <is>
          <t>avverkningsanmälan</t>
        </is>
      </c>
      <c r="C308" t="inlineStr">
        <is>
          <t>Föryngringsavverkning</t>
        </is>
      </c>
      <c r="D308" s="1" t="n">
        <v>45163</v>
      </c>
      <c r="E308" s="1" t="n">
        <v>46232</v>
      </c>
      <c r="F308" t="inlineStr">
        <is>
          <t>DALARNAS LÄN</t>
        </is>
      </c>
      <c r="G308" t="inlineStr">
        <is>
          <t>SÄTER</t>
        </is>
      </c>
      <c r="I308" t="n">
        <v>2.5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t="n">
        <v>0</v>
      </c>
      <c r="S308" t="n">
        <v>0</v>
      </c>
      <c r="T308" t="n">
        <v>0</v>
      </c>
      <c r="U308" t="n">
        <v>0</v>
      </c>
      <c r="V308" s="2" t="inlineStr"/>
    </row>
    <row r="309" ht="15" customHeight="1">
      <c r="A309" t="inlineStr">
        <is>
          <t>A 39487-2022</t>
        </is>
      </c>
      <c r="B309" t="inlineStr">
        <is>
          <t>avverkningsanmälan</t>
        </is>
      </c>
      <c r="C309" t="inlineStr">
        <is>
          <t>Föryngringsavverkning</t>
        </is>
      </c>
      <c r="D309" s="1" t="n">
        <v>44817</v>
      </c>
      <c r="E309" s="1" t="n">
        <v>46232</v>
      </c>
      <c r="F309" t="inlineStr">
        <is>
          <t>DALARNAS LÄN</t>
        </is>
      </c>
      <c r="G309" t="inlineStr">
        <is>
          <t>SÄTER</t>
        </is>
      </c>
      <c r="I309" t="n">
        <v>2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t="n">
        <v>0</v>
      </c>
      <c r="S309" t="n">
        <v>0</v>
      </c>
      <c r="T309" t="n">
        <v>0</v>
      </c>
      <c r="U309" t="n">
        <v>0</v>
      </c>
      <c r="V309" s="2" t="inlineStr"/>
    </row>
    <row r="310" ht="15" customHeight="1">
      <c r="A310" t="inlineStr">
        <is>
          <t>A 5698-2024</t>
        </is>
      </c>
      <c r="B310" t="inlineStr">
        <is>
          <t>avverkningsanmälan</t>
        </is>
      </c>
      <c r="C310" t="inlineStr">
        <is>
          <t>Föryngringsavverkning</t>
        </is>
      </c>
      <c r="D310" s="1" t="n">
        <v>45334</v>
      </c>
      <c r="E310" s="1" t="n">
        <v>46232</v>
      </c>
      <c r="F310" t="inlineStr">
        <is>
          <t>DALARNAS LÄN</t>
        </is>
      </c>
      <c r="G310" t="inlineStr">
        <is>
          <t>SÄTER</t>
        </is>
      </c>
      <c r="H310" t="inlineStr">
        <is>
          <t>Kommuner</t>
        </is>
      </c>
      <c r="I310" t="n">
        <v>3.2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t="n">
        <v>0</v>
      </c>
      <c r="S310" t="n">
        <v>0</v>
      </c>
      <c r="T310" t="n">
        <v>0</v>
      </c>
      <c r="U310" t="n">
        <v>0</v>
      </c>
      <c r="V310" s="2" t="inlineStr"/>
    </row>
    <row r="311" ht="15" customHeight="1">
      <c r="A311" t="inlineStr">
        <is>
          <t>A 41556-2021</t>
        </is>
      </c>
      <c r="B311" t="inlineStr">
        <is>
          <t>avverkningsanmälan</t>
        </is>
      </c>
      <c r="C311" t="inlineStr">
        <is>
          <t>Föryngringsavverkning</t>
        </is>
      </c>
      <c r="D311" s="1" t="n">
        <v>44425</v>
      </c>
      <c r="E311" s="1" t="n">
        <v>46232</v>
      </c>
      <c r="F311" t="inlineStr">
        <is>
          <t>DALARNAS LÄN</t>
        </is>
      </c>
      <c r="G311" t="inlineStr">
        <is>
          <t>SÄTER</t>
        </is>
      </c>
      <c r="I311" t="n">
        <v>10.8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t="n">
        <v>0</v>
      </c>
      <c r="S311" t="n">
        <v>0</v>
      </c>
      <c r="T311" t="n">
        <v>0</v>
      </c>
      <c r="U311" t="n">
        <v>0</v>
      </c>
      <c r="V311" s="2" t="inlineStr"/>
    </row>
    <row r="312" ht="15" customHeight="1">
      <c r="A312" t="inlineStr">
        <is>
          <t>A 12265-2026</t>
        </is>
      </c>
      <c r="B312" t="inlineStr">
        <is>
          <t>avverkningsanmälan</t>
        </is>
      </c>
      <c r="C312" t="inlineStr">
        <is>
          <t>Föryngringsavverkning</t>
        </is>
      </c>
      <c r="D312" s="1" t="n">
        <v>46087</v>
      </c>
      <c r="E312" s="1" t="n">
        <v>46232</v>
      </c>
      <c r="F312" t="inlineStr">
        <is>
          <t>DALARNAS LÄN</t>
        </is>
      </c>
      <c r="G312" t="inlineStr">
        <is>
          <t>SÄTER</t>
        </is>
      </c>
      <c r="H312" t="inlineStr">
        <is>
          <t>Kommuner</t>
        </is>
      </c>
      <c r="I312" t="n">
        <v>2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t="n">
        <v>0</v>
      </c>
      <c r="S312" t="n">
        <v>0</v>
      </c>
      <c r="T312" t="n">
        <v>0</v>
      </c>
      <c r="U312" t="n">
        <v>0</v>
      </c>
      <c r="V312" s="2" t="inlineStr"/>
    </row>
    <row r="313" ht="15" customHeight="1">
      <c r="A313" t="inlineStr">
        <is>
          <t>A 38521-2024</t>
        </is>
      </c>
      <c r="B313" t="inlineStr">
        <is>
          <t>avverkningsanmälan</t>
        </is>
      </c>
      <c r="C313" t="inlineStr">
        <is>
          <t>Föryngringsavverkning</t>
        </is>
      </c>
      <c r="D313" s="1" t="n">
        <v>45546</v>
      </c>
      <c r="E313" s="1" t="n">
        <v>46232</v>
      </c>
      <c r="F313" t="inlineStr">
        <is>
          <t>DALARNAS LÄN</t>
        </is>
      </c>
      <c r="G313" t="inlineStr">
        <is>
          <t>SÄTER</t>
        </is>
      </c>
      <c r="I313" t="n">
        <v>3.8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t="n">
        <v>0</v>
      </c>
      <c r="S313" t="n">
        <v>0</v>
      </c>
      <c r="T313" t="n">
        <v>0</v>
      </c>
      <c r="U313" t="n">
        <v>0</v>
      </c>
      <c r="V313" s="2" t="inlineStr"/>
    </row>
    <row r="314" ht="15" customHeight="1">
      <c r="A314" t="inlineStr">
        <is>
          <t>A 23547-2026</t>
        </is>
      </c>
      <c r="B314" t="inlineStr">
        <is>
          <t>avverkningsanmälan</t>
        </is>
      </c>
      <c r="C314" t="inlineStr">
        <is>
          <t>Föryngringsavverkning</t>
        </is>
      </c>
      <c r="D314" s="1" t="n">
        <v>46163</v>
      </c>
      <c r="E314" s="1" t="n">
        <v>46232</v>
      </c>
      <c r="F314" t="inlineStr">
        <is>
          <t>DALARNAS LÄN</t>
        </is>
      </c>
      <c r="G314" t="inlineStr">
        <is>
          <t>SÄTER</t>
        </is>
      </c>
      <c r="I314" t="n">
        <v>1.6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t="n">
        <v>0</v>
      </c>
      <c r="S314" t="n">
        <v>0</v>
      </c>
      <c r="T314" t="n">
        <v>0</v>
      </c>
      <c r="U314" t="n">
        <v>0</v>
      </c>
      <c r="V314" s="2" t="inlineStr"/>
    </row>
    <row r="315" ht="15" customHeight="1">
      <c r="A315" t="inlineStr">
        <is>
          <t>A 23735-2026</t>
        </is>
      </c>
      <c r="B315" t="inlineStr">
        <is>
          <t>avverkningsanmälan</t>
        </is>
      </c>
      <c r="C315" t="inlineStr">
        <is>
          <t>Föryngringsavverkning</t>
        </is>
      </c>
      <c r="D315" s="1" t="n">
        <v>46163</v>
      </c>
      <c r="E315" s="1" t="n">
        <v>46232</v>
      </c>
      <c r="F315" t="inlineStr">
        <is>
          <t>DALARNAS LÄN</t>
        </is>
      </c>
      <c r="G315" t="inlineStr">
        <is>
          <t>SÄTER</t>
        </is>
      </c>
      <c r="H315" t="inlineStr">
        <is>
          <t>Bergvik skog väst AB</t>
        </is>
      </c>
      <c r="I315" t="n">
        <v>1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t="n">
        <v>0</v>
      </c>
      <c r="S315" t="n">
        <v>0</v>
      </c>
      <c r="T315" t="n">
        <v>0</v>
      </c>
      <c r="U315" t="n">
        <v>0</v>
      </c>
      <c r="V315" s="2" t="inlineStr"/>
    </row>
    <row r="316" ht="15" customHeight="1">
      <c r="A316" t="inlineStr">
        <is>
          <t>A 23736-2026</t>
        </is>
      </c>
      <c r="B316" t="inlineStr">
        <is>
          <t>avverkningsanmälan</t>
        </is>
      </c>
      <c r="C316" t="inlineStr">
        <is>
          <t>Föryngringsavverkning</t>
        </is>
      </c>
      <c r="D316" s="1" t="n">
        <v>46163</v>
      </c>
      <c r="E316" s="1" t="n">
        <v>46232</v>
      </c>
      <c r="F316" t="inlineStr">
        <is>
          <t>DALARNAS LÄN</t>
        </is>
      </c>
      <c r="G316" t="inlineStr">
        <is>
          <t>SÄTER</t>
        </is>
      </c>
      <c r="H316" t="inlineStr">
        <is>
          <t>Bergvik skog väst AB</t>
        </is>
      </c>
      <c r="I316" t="n">
        <v>2.2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t="n">
        <v>0</v>
      </c>
      <c r="S316" t="n">
        <v>0</v>
      </c>
      <c r="T316" t="n">
        <v>0</v>
      </c>
      <c r="U316" t="n">
        <v>0</v>
      </c>
      <c r="V316" s="2" t="inlineStr"/>
    </row>
    <row r="317" ht="15" customHeight="1">
      <c r="A317" t="inlineStr">
        <is>
          <t>A 23736-2026</t>
        </is>
      </c>
      <c r="B317" t="inlineStr">
        <is>
          <t>avverkningsanmälan</t>
        </is>
      </c>
      <c r="C317" t="inlineStr">
        <is>
          <t>Föryngringsavverkning</t>
        </is>
      </c>
      <c r="D317" s="1" t="n">
        <v>46163</v>
      </c>
      <c r="E317" s="1" t="n">
        <v>46232</v>
      </c>
      <c r="F317" t="inlineStr">
        <is>
          <t>DALARNAS LÄN</t>
        </is>
      </c>
      <c r="G317" t="inlineStr">
        <is>
          <t>SÄTER</t>
        </is>
      </c>
      <c r="H317" t="inlineStr">
        <is>
          <t>Bergvik skog väst AB</t>
        </is>
      </c>
      <c r="I317" t="n">
        <v>0.5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t="n">
        <v>0</v>
      </c>
      <c r="S317" t="n">
        <v>0</v>
      </c>
      <c r="T317" t="n">
        <v>0</v>
      </c>
      <c r="U317" t="n">
        <v>0</v>
      </c>
      <c r="V317" s="2" t="inlineStr"/>
    </row>
    <row r="318" ht="15" customHeight="1">
      <c r="A318" t="inlineStr">
        <is>
          <t>A 55497-2024</t>
        </is>
      </c>
      <c r="B318" t="inlineStr">
        <is>
          <t>avverkningsanmälan</t>
        </is>
      </c>
      <c r="C318" t="inlineStr">
        <is>
          <t>Föryngringsavverkning</t>
        </is>
      </c>
      <c r="D318" s="1" t="n">
        <v>45622</v>
      </c>
      <c r="E318" s="1" t="n">
        <v>46232</v>
      </c>
      <c r="F318" t="inlineStr">
        <is>
          <t>DALARNAS LÄN</t>
        </is>
      </c>
      <c r="G318" t="inlineStr">
        <is>
          <t>SÄTER</t>
        </is>
      </c>
      <c r="I318" t="n">
        <v>0.6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t="n">
        <v>0</v>
      </c>
      <c r="S318" t="n">
        <v>0</v>
      </c>
      <c r="T318" t="n">
        <v>0</v>
      </c>
      <c r="U318" t="n">
        <v>0</v>
      </c>
      <c r="V318" s="2" t="inlineStr"/>
    </row>
    <row r="319" ht="15" customHeight="1">
      <c r="A319" t="inlineStr">
        <is>
          <t>A 23737-2026</t>
        </is>
      </c>
      <c r="B319" t="inlineStr">
        <is>
          <t>avverkningsanmälan</t>
        </is>
      </c>
      <c r="C319" t="inlineStr">
        <is>
          <t>Föryngringsavverkning</t>
        </is>
      </c>
      <c r="D319" s="1" t="n">
        <v>46163</v>
      </c>
      <c r="E319" s="1" t="n">
        <v>46232</v>
      </c>
      <c r="F319" t="inlineStr">
        <is>
          <t>DALARNAS LÄN</t>
        </is>
      </c>
      <c r="G319" t="inlineStr">
        <is>
          <t>SÄTER</t>
        </is>
      </c>
      <c r="H319" t="inlineStr">
        <is>
          <t>Bergvik skog väst AB</t>
        </is>
      </c>
      <c r="I319" t="n">
        <v>6.7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t="n">
        <v>0</v>
      </c>
      <c r="S319" t="n">
        <v>0</v>
      </c>
      <c r="T319" t="n">
        <v>0</v>
      </c>
      <c r="U319" t="n">
        <v>0</v>
      </c>
      <c r="V319" s="2" t="inlineStr"/>
    </row>
    <row r="320" ht="15" customHeight="1">
      <c r="A320" t="inlineStr">
        <is>
          <t>A 32904-2022</t>
        </is>
      </c>
      <c r="B320" t="inlineStr">
        <is>
          <t>avverkningsanmälan</t>
        </is>
      </c>
      <c r="C320" t="inlineStr">
        <is>
          <t>Föryngringsavverkning</t>
        </is>
      </c>
      <c r="D320" s="1" t="n">
        <v>44784</v>
      </c>
      <c r="E320" s="1" t="n">
        <v>46232</v>
      </c>
      <c r="F320" t="inlineStr">
        <is>
          <t>DALARNAS LÄN</t>
        </is>
      </c>
      <c r="G320" t="inlineStr">
        <is>
          <t>SÄTER</t>
        </is>
      </c>
      <c r="H320" t="inlineStr">
        <is>
          <t>Bergvik skog väst AB</t>
        </is>
      </c>
      <c r="I320" t="n">
        <v>0.6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t="n">
        <v>0</v>
      </c>
      <c r="S320" t="n">
        <v>0</v>
      </c>
      <c r="T320" t="n">
        <v>0</v>
      </c>
      <c r="U320" t="n">
        <v>0</v>
      </c>
      <c r="V320" s="2" t="inlineStr"/>
    </row>
    <row r="321" ht="15" customHeight="1">
      <c r="A321" t="inlineStr">
        <is>
          <t>A 23679-2026</t>
        </is>
      </c>
      <c r="B321" t="inlineStr">
        <is>
          <t>avverkningsanmälan</t>
        </is>
      </c>
      <c r="C321" t="inlineStr">
        <is>
          <t>Föryngringsavverkning</t>
        </is>
      </c>
      <c r="D321" s="1" t="n">
        <v>46164</v>
      </c>
      <c r="E321" s="1" t="n">
        <v>46232</v>
      </c>
      <c r="F321" t="inlineStr">
        <is>
          <t>DALARNAS LÄN</t>
        </is>
      </c>
      <c r="G321" t="inlineStr">
        <is>
          <t>SÄTER</t>
        </is>
      </c>
      <c r="I321" t="n">
        <v>10.1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t="n">
        <v>0</v>
      </c>
      <c r="S321" t="n">
        <v>0</v>
      </c>
      <c r="T321" t="n">
        <v>0</v>
      </c>
      <c r="U321" t="n">
        <v>0</v>
      </c>
      <c r="V321" s="2" t="inlineStr"/>
    </row>
    <row r="322" ht="15" customHeight="1">
      <c r="A322" t="inlineStr">
        <is>
          <t>A 57824-2023</t>
        </is>
      </c>
      <c r="B322" t="inlineStr">
        <is>
          <t>avverkningsanmälan</t>
        </is>
      </c>
      <c r="C322" t="inlineStr">
        <is>
          <t>Föryngringsavverkning</t>
        </is>
      </c>
      <c r="D322" s="1" t="n">
        <v>45247</v>
      </c>
      <c r="E322" s="1" t="n">
        <v>46232</v>
      </c>
      <c r="F322" t="inlineStr">
        <is>
          <t>DALARNAS LÄN</t>
        </is>
      </c>
      <c r="G322" t="inlineStr">
        <is>
          <t>SÄTER</t>
        </is>
      </c>
      <c r="I322" t="n">
        <v>2.9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t="n">
        <v>0</v>
      </c>
      <c r="S322" t="n">
        <v>0</v>
      </c>
      <c r="T322" t="n">
        <v>0</v>
      </c>
      <c r="U322" t="n">
        <v>0</v>
      </c>
      <c r="V322" s="2" t="inlineStr"/>
    </row>
    <row r="323" ht="15" customHeight="1">
      <c r="A323" t="inlineStr">
        <is>
          <t>A 47044-2023</t>
        </is>
      </c>
      <c r="B323" t="inlineStr">
        <is>
          <t>avverkningsanmälan</t>
        </is>
      </c>
      <c r="C323" t="inlineStr">
        <is>
          <t>Föryngringsavverkning</t>
        </is>
      </c>
      <c r="D323" s="1" t="n">
        <v>45201</v>
      </c>
      <c r="E323" s="1" t="n">
        <v>46232</v>
      </c>
      <c r="F323" t="inlineStr">
        <is>
          <t>DALARNAS LÄN</t>
        </is>
      </c>
      <c r="G323" t="inlineStr">
        <is>
          <t>SÄTER</t>
        </is>
      </c>
      <c r="I323" t="n">
        <v>2.2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t="n">
        <v>0</v>
      </c>
      <c r="S323" t="n">
        <v>0</v>
      </c>
      <c r="T323" t="n">
        <v>0</v>
      </c>
      <c r="U323" t="n">
        <v>0</v>
      </c>
      <c r="V323" s="2" t="inlineStr"/>
    </row>
    <row r="324" ht="15" customHeight="1">
      <c r="A324" t="inlineStr">
        <is>
          <t>A 30706-2026</t>
        </is>
      </c>
      <c r="B324" t="inlineStr">
        <is>
          <t>avverkningsanmälan</t>
        </is>
      </c>
      <c r="C324" t="inlineStr">
        <is>
          <t>Föryngringsavverkning</t>
        </is>
      </c>
      <c r="D324" s="1" t="n">
        <v>46211</v>
      </c>
      <c r="E324" s="1" t="n">
        <v>46232</v>
      </c>
      <c r="F324" t="inlineStr">
        <is>
          <t>DALARNAS LÄN</t>
        </is>
      </c>
      <c r="G324" t="inlineStr">
        <is>
          <t>SÄTER</t>
        </is>
      </c>
      <c r="I324" t="n">
        <v>2.4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t="n">
        <v>0</v>
      </c>
      <c r="S324" t="n">
        <v>0</v>
      </c>
      <c r="T324" t="n">
        <v>0</v>
      </c>
      <c r="U324" t="n">
        <v>0</v>
      </c>
      <c r="V324" s="2" t="inlineStr"/>
    </row>
    <row r="325" ht="15" customHeight="1">
      <c r="A325" t="inlineStr">
        <is>
          <t>A 24376-2026</t>
        </is>
      </c>
      <c r="B325" t="inlineStr">
        <is>
          <t>avverkningsanmälan</t>
        </is>
      </c>
      <c r="C325" t="inlineStr">
        <is>
          <t>Föryngringsavverkning</t>
        </is>
      </c>
      <c r="D325" s="1" t="n">
        <v>46167</v>
      </c>
      <c r="E325" s="1" t="n">
        <v>46232</v>
      </c>
      <c r="F325" t="inlineStr">
        <is>
          <t>DALARNAS LÄN</t>
        </is>
      </c>
      <c r="G325" t="inlineStr">
        <is>
          <t>SÄTER</t>
        </is>
      </c>
      <c r="I325" t="n">
        <v>7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t="n">
        <v>0</v>
      </c>
      <c r="S325" t="n">
        <v>0</v>
      </c>
      <c r="T325" t="n">
        <v>0</v>
      </c>
      <c r="U325" t="n">
        <v>0</v>
      </c>
      <c r="V325" s="2" t="inlineStr"/>
    </row>
    <row r="326" ht="15" customHeight="1">
      <c r="A326" t="inlineStr">
        <is>
          <t>A 11164-2023</t>
        </is>
      </c>
      <c r="B326" t="inlineStr">
        <is>
          <t>avverkningsanmälan</t>
        </is>
      </c>
      <c r="C326" t="inlineStr">
        <is>
          <t>Föryngringsavverkning</t>
        </is>
      </c>
      <c r="D326" s="1" t="n">
        <v>44992</v>
      </c>
      <c r="E326" s="1" t="n">
        <v>46232</v>
      </c>
      <c r="F326" t="inlineStr">
        <is>
          <t>DALARNAS LÄN</t>
        </is>
      </c>
      <c r="G326" t="inlineStr">
        <is>
          <t>SÄTER</t>
        </is>
      </c>
      <c r="I326" t="n">
        <v>7.6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t="n">
        <v>0</v>
      </c>
      <c r="S326" t="n">
        <v>0</v>
      </c>
      <c r="T326" t="n">
        <v>0</v>
      </c>
      <c r="U326" t="n">
        <v>0</v>
      </c>
      <c r="V326" s="2" t="inlineStr"/>
    </row>
    <row r="327" ht="15" customHeight="1">
      <c r="A327" t="inlineStr">
        <is>
          <t>A 30515-2026</t>
        </is>
      </c>
      <c r="B327" t="inlineStr">
        <is>
          <t>avverkningsanmälan</t>
        </is>
      </c>
      <c r="C327" t="inlineStr">
        <is>
          <t>Föryngringsavverkning</t>
        </is>
      </c>
      <c r="D327" s="1" t="n">
        <v>46204</v>
      </c>
      <c r="E327" s="1" t="n">
        <v>46232</v>
      </c>
      <c r="F327" t="inlineStr">
        <is>
          <t>DALARNAS LÄN</t>
        </is>
      </c>
      <c r="G327" t="inlineStr">
        <is>
          <t>SÄTER</t>
        </is>
      </c>
      <c r="I327" t="n">
        <v>5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t="n">
        <v>0</v>
      </c>
      <c r="S327" t="n">
        <v>0</v>
      </c>
      <c r="T327" t="n">
        <v>0</v>
      </c>
      <c r="U327" t="n">
        <v>0</v>
      </c>
      <c r="V327" s="2" t="inlineStr"/>
    </row>
    <row r="328" ht="15" customHeight="1">
      <c r="A328" t="inlineStr">
        <is>
          <t>A 25033-2026</t>
        </is>
      </c>
      <c r="B328" t="inlineStr">
        <is>
          <t>avverkningsanmälan</t>
        </is>
      </c>
      <c r="C328" t="inlineStr">
        <is>
          <t>Föryngringsavverkning</t>
        </is>
      </c>
      <c r="D328" s="1" t="n">
        <v>46174</v>
      </c>
      <c r="E328" s="1" t="n">
        <v>46232</v>
      </c>
      <c r="F328" t="inlineStr">
        <is>
          <t>DALARNAS LÄN</t>
        </is>
      </c>
      <c r="G328" t="inlineStr">
        <is>
          <t>SÄTER</t>
        </is>
      </c>
      <c r="H328" t="inlineStr">
        <is>
          <t>Bergvik skog väst AB</t>
        </is>
      </c>
      <c r="I328" t="n">
        <v>3.5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t="n">
        <v>0</v>
      </c>
      <c r="S328" t="n">
        <v>0</v>
      </c>
      <c r="T328" t="n">
        <v>0</v>
      </c>
      <c r="U328" t="n">
        <v>0</v>
      </c>
      <c r="V328" s="2" t="inlineStr"/>
    </row>
    <row r="329" ht="15" customHeight="1">
      <c r="A329" t="inlineStr">
        <is>
          <t>A 51333-2024</t>
        </is>
      </c>
      <c r="B329" t="inlineStr">
        <is>
          <t>avverkningsanmälan</t>
        </is>
      </c>
      <c r="C329" t="inlineStr">
        <is>
          <t>Avverkning för annat ändamål</t>
        </is>
      </c>
      <c r="D329" s="1" t="n">
        <v>45604</v>
      </c>
      <c r="E329" s="1" t="n">
        <v>46232</v>
      </c>
      <c r="F329" t="inlineStr">
        <is>
          <t>DALARNAS LÄN</t>
        </is>
      </c>
      <c r="G329" t="inlineStr">
        <is>
          <t>SÄTER</t>
        </is>
      </c>
      <c r="I329" t="n">
        <v>0.3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t="n">
        <v>0</v>
      </c>
      <c r="S329" t="n">
        <v>0</v>
      </c>
      <c r="T329" t="n">
        <v>0</v>
      </c>
      <c r="U329" t="n">
        <v>0</v>
      </c>
      <c r="V329" s="2" t="inlineStr"/>
    </row>
    <row r="330" ht="15" customHeight="1">
      <c r="A330" t="inlineStr">
        <is>
          <t>A 19979-2025</t>
        </is>
      </c>
      <c r="B330" t="inlineStr">
        <is>
          <t>avverkningsanmälan</t>
        </is>
      </c>
      <c r="C330" t="inlineStr">
        <is>
          <t>Föryngringsavverkning</t>
        </is>
      </c>
      <c r="D330" s="1" t="n">
        <v>45771</v>
      </c>
      <c r="E330" s="1" t="n">
        <v>46232</v>
      </c>
      <c r="F330" t="inlineStr">
        <is>
          <t>DALARNAS LÄN</t>
        </is>
      </c>
      <c r="G330" t="inlineStr">
        <is>
          <t>SÄTER</t>
        </is>
      </c>
      <c r="I330" t="n">
        <v>1.2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t="n">
        <v>0</v>
      </c>
      <c r="S330" t="n">
        <v>0</v>
      </c>
      <c r="T330" t="n">
        <v>0</v>
      </c>
      <c r="U330" t="n">
        <v>0</v>
      </c>
      <c r="V330" s="2" t="inlineStr"/>
    </row>
    <row r="331" ht="15" customHeight="1">
      <c r="A331" t="inlineStr">
        <is>
          <t>A 32892-2022</t>
        </is>
      </c>
      <c r="B331" t="inlineStr">
        <is>
          <t>avverkningsanmälan</t>
        </is>
      </c>
      <c r="C331" t="inlineStr">
        <is>
          <t>Föryngringsavverkning</t>
        </is>
      </c>
      <c r="D331" s="1" t="n">
        <v>44784</v>
      </c>
      <c r="E331" s="1" t="n">
        <v>46232</v>
      </c>
      <c r="F331" t="inlineStr">
        <is>
          <t>DALARNAS LÄN</t>
        </is>
      </c>
      <c r="G331" t="inlineStr">
        <is>
          <t>SÄTER</t>
        </is>
      </c>
      <c r="I331" t="n">
        <v>6.8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t="n">
        <v>0</v>
      </c>
      <c r="S331" t="n">
        <v>0</v>
      </c>
      <c r="T331" t="n">
        <v>0</v>
      </c>
      <c r="U331" t="n">
        <v>0</v>
      </c>
      <c r="V331" s="2" t="inlineStr"/>
    </row>
    <row r="332" ht="15" customHeight="1">
      <c r="A332" t="inlineStr">
        <is>
          <t>A 34497-2023</t>
        </is>
      </c>
      <c r="B332" t="inlineStr">
        <is>
          <t>avverkningsanmälan</t>
        </is>
      </c>
      <c r="C332" t="inlineStr">
        <is>
          <t>Föryngringsavverkning</t>
        </is>
      </c>
      <c r="D332" s="1" t="n">
        <v>45140</v>
      </c>
      <c r="E332" s="1" t="n">
        <v>46232</v>
      </c>
      <c r="F332" t="inlineStr">
        <is>
          <t>DALARNAS LÄN</t>
        </is>
      </c>
      <c r="G332" t="inlineStr">
        <is>
          <t>SÄTER</t>
        </is>
      </c>
      <c r="I332" t="n">
        <v>1.5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t="n">
        <v>0</v>
      </c>
      <c r="S332" t="n">
        <v>0</v>
      </c>
      <c r="T332" t="n">
        <v>0</v>
      </c>
      <c r="U332" t="n">
        <v>0</v>
      </c>
      <c r="V332" s="2" t="inlineStr"/>
    </row>
    <row r="333" ht="15" customHeight="1">
      <c r="A333" t="inlineStr">
        <is>
          <t>A 52161-2025</t>
        </is>
      </c>
      <c r="B333" t="inlineStr">
        <is>
          <t>avverkningsanmälan</t>
        </is>
      </c>
      <c r="C333" t="inlineStr">
        <is>
          <t>Föryngringsavverkning</t>
        </is>
      </c>
      <c r="D333" s="1" t="n">
        <v>45953</v>
      </c>
      <c r="E333" s="1" t="n">
        <v>46232</v>
      </c>
      <c r="F333" t="inlineStr">
        <is>
          <t>DALARNAS LÄN</t>
        </is>
      </c>
      <c r="G333" t="inlineStr">
        <is>
          <t>SÄTER</t>
        </is>
      </c>
      <c r="I333" t="n">
        <v>1.6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t="n">
        <v>0</v>
      </c>
      <c r="S333" t="n">
        <v>0</v>
      </c>
      <c r="T333" t="n">
        <v>0</v>
      </c>
      <c r="U333" t="n">
        <v>0</v>
      </c>
      <c r="V333" s="2" t="inlineStr"/>
    </row>
    <row r="334" ht="15" customHeight="1">
      <c r="A334" t="inlineStr">
        <is>
          <t>A 63377-2025</t>
        </is>
      </c>
      <c r="B334" t="inlineStr">
        <is>
          <t>avverkningsanmälan</t>
        </is>
      </c>
      <c r="C334" t="inlineStr">
        <is>
          <t>Föryngringsavverkning</t>
        </is>
      </c>
      <c r="D334" s="1" t="n">
        <v>46010</v>
      </c>
      <c r="E334" s="1" t="n">
        <v>46232</v>
      </c>
      <c r="F334" t="inlineStr">
        <is>
          <t>DALARNAS LÄN</t>
        </is>
      </c>
      <c r="G334" t="inlineStr">
        <is>
          <t>SÄTER</t>
        </is>
      </c>
      <c r="H334" t="inlineStr">
        <is>
          <t>Övriga statliga verk och myndigheter</t>
        </is>
      </c>
      <c r="I334" t="n">
        <v>0.8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t="n">
        <v>0</v>
      </c>
      <c r="S334" t="n">
        <v>0</v>
      </c>
      <c r="T334" t="n">
        <v>0</v>
      </c>
      <c r="U334" t="n">
        <v>0</v>
      </c>
      <c r="V334" s="2" t="inlineStr"/>
    </row>
    <row r="335" ht="15" customHeight="1">
      <c r="A335" t="inlineStr">
        <is>
          <t>A 23262-2024</t>
        </is>
      </c>
      <c r="B335" t="inlineStr">
        <is>
          <t>avverkningsanmälan</t>
        </is>
      </c>
      <c r="C335" t="inlineStr">
        <is>
          <t>Föryngringsavverkning</t>
        </is>
      </c>
      <c r="D335" s="1" t="n">
        <v>45453</v>
      </c>
      <c r="E335" s="1" t="n">
        <v>46232</v>
      </c>
      <c r="F335" t="inlineStr">
        <is>
          <t>DALARNAS LÄN</t>
        </is>
      </c>
      <c r="G335" t="inlineStr">
        <is>
          <t>SÄTER</t>
        </is>
      </c>
      <c r="I335" t="n">
        <v>0.9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t="n">
        <v>0</v>
      </c>
      <c r="S335" t="n">
        <v>0</v>
      </c>
      <c r="T335" t="n">
        <v>0</v>
      </c>
      <c r="U335" t="n">
        <v>0</v>
      </c>
      <c r="V335" s="2" t="inlineStr"/>
    </row>
    <row r="336" ht="15" customHeight="1">
      <c r="A336" t="inlineStr">
        <is>
          <t>A 10285-2026</t>
        </is>
      </c>
      <c r="B336" t="inlineStr">
        <is>
          <t>avverkningsanmälan</t>
        </is>
      </c>
      <c r="C336" t="inlineStr">
        <is>
          <t>Föryngringsavverkning</t>
        </is>
      </c>
      <c r="D336" s="1" t="n">
        <v>46076</v>
      </c>
      <c r="E336" s="1" t="n">
        <v>46232</v>
      </c>
      <c r="F336" t="inlineStr">
        <is>
          <t>DALARNAS LÄN</t>
        </is>
      </c>
      <c r="G336" t="inlineStr">
        <is>
          <t>SÄTER</t>
        </is>
      </c>
      <c r="I336" t="n">
        <v>2.3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t="n">
        <v>0</v>
      </c>
      <c r="S336" t="n">
        <v>0</v>
      </c>
      <c r="T336" t="n">
        <v>0</v>
      </c>
      <c r="U336" t="n">
        <v>0</v>
      </c>
      <c r="V336" s="2" t="inlineStr"/>
    </row>
    <row r="337" ht="15" customHeight="1">
      <c r="A337" t="inlineStr">
        <is>
          <t>A 37923-2022</t>
        </is>
      </c>
      <c r="B337" t="inlineStr">
        <is>
          <t>avverkningsanmälan</t>
        </is>
      </c>
      <c r="C337" t="inlineStr">
        <is>
          <t>Föryngringsavverkning</t>
        </is>
      </c>
      <c r="D337" s="1" t="n">
        <v>44811</v>
      </c>
      <c r="E337" s="1" t="n">
        <v>46232</v>
      </c>
      <c r="F337" t="inlineStr">
        <is>
          <t>DALARNAS LÄN</t>
        </is>
      </c>
      <c r="G337" t="inlineStr">
        <is>
          <t>SÄTER</t>
        </is>
      </c>
      <c r="I337" t="n">
        <v>0.9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t="n">
        <v>0</v>
      </c>
      <c r="S337" t="n">
        <v>0</v>
      </c>
      <c r="T337" t="n">
        <v>0</v>
      </c>
      <c r="U337" t="n">
        <v>0</v>
      </c>
      <c r="V337" s="2" t="inlineStr"/>
    </row>
    <row r="338" ht="15" customHeight="1">
      <c r="A338" t="inlineStr">
        <is>
          <t>A 16834-2024</t>
        </is>
      </c>
      <c r="B338" t="inlineStr">
        <is>
          <t>avverkningsanmälan</t>
        </is>
      </c>
      <c r="C338" t="inlineStr">
        <is>
          <t>Föryngringsavverkning</t>
        </is>
      </c>
      <c r="D338" s="1" t="n">
        <v>45411</v>
      </c>
      <c r="E338" s="1" t="n">
        <v>46232</v>
      </c>
      <c r="F338" t="inlineStr">
        <is>
          <t>DALARNAS LÄN</t>
        </is>
      </c>
      <c r="G338" t="inlineStr">
        <is>
          <t>SÄTER</t>
        </is>
      </c>
      <c r="I338" t="n">
        <v>3.3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t="n">
        <v>0</v>
      </c>
      <c r="S338" t="n">
        <v>0</v>
      </c>
      <c r="T338" t="n">
        <v>0</v>
      </c>
      <c r="U338" t="n">
        <v>0</v>
      </c>
      <c r="V338" s="2" t="inlineStr"/>
    </row>
    <row r="339" ht="15" customHeight="1">
      <c r="A339" t="inlineStr">
        <is>
          <t>A 34993-2024</t>
        </is>
      </c>
      <c r="B339" t="inlineStr">
        <is>
          <t>avverkningsanmälan</t>
        </is>
      </c>
      <c r="C339" t="inlineStr">
        <is>
          <t>Föryngringsavverkning</t>
        </is>
      </c>
      <c r="D339" s="1" t="n">
        <v>45527</v>
      </c>
      <c r="E339" s="1" t="n">
        <v>46232</v>
      </c>
      <c r="F339" t="inlineStr">
        <is>
          <t>DALARNAS LÄN</t>
        </is>
      </c>
      <c r="G339" t="inlineStr">
        <is>
          <t>SÄTER</t>
        </is>
      </c>
      <c r="I339" t="n">
        <v>0.9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t="n">
        <v>0</v>
      </c>
      <c r="S339" t="n">
        <v>0</v>
      </c>
      <c r="T339" t="n">
        <v>0</v>
      </c>
      <c r="U339" t="n">
        <v>0</v>
      </c>
      <c r="V339" s="2" t="inlineStr"/>
    </row>
    <row r="340" ht="15" customHeight="1">
      <c r="A340" t="inlineStr">
        <is>
          <t>A 21766-2024</t>
        </is>
      </c>
      <c r="B340" t="inlineStr">
        <is>
          <t>avverkningsanmälan</t>
        </is>
      </c>
      <c r="C340" t="inlineStr">
        <is>
          <t>Föryngringsavverkning</t>
        </is>
      </c>
      <c r="D340" s="1" t="n">
        <v>45442</v>
      </c>
      <c r="E340" s="1" t="n">
        <v>46232</v>
      </c>
      <c r="F340" t="inlineStr">
        <is>
          <t>DALARNAS LÄN</t>
        </is>
      </c>
      <c r="G340" t="inlineStr">
        <is>
          <t>SÄTER</t>
        </is>
      </c>
      <c r="I340" t="n">
        <v>0.7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t="n">
        <v>0</v>
      </c>
      <c r="S340" t="n">
        <v>0</v>
      </c>
      <c r="T340" t="n">
        <v>0</v>
      </c>
      <c r="U340" t="n">
        <v>0</v>
      </c>
      <c r="V340" s="2" t="inlineStr"/>
    </row>
    <row r="341" ht="15" customHeight="1">
      <c r="A341" t="inlineStr">
        <is>
          <t>A 12957-2022</t>
        </is>
      </c>
      <c r="B341" t="inlineStr">
        <is>
          <t>avverkningsanmälan</t>
        </is>
      </c>
      <c r="C341" t="inlineStr">
        <is>
          <t>Föryngringsavverkning</t>
        </is>
      </c>
      <c r="D341" s="1" t="n">
        <v>44643</v>
      </c>
      <c r="E341" s="1" t="n">
        <v>46232</v>
      </c>
      <c r="F341" t="inlineStr">
        <is>
          <t>DALARNAS LÄN</t>
        </is>
      </c>
      <c r="G341" t="inlineStr">
        <is>
          <t>SÄTER</t>
        </is>
      </c>
      <c r="I341" t="n">
        <v>8.1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t="n">
        <v>0</v>
      </c>
      <c r="S341" t="n">
        <v>0</v>
      </c>
      <c r="T341" t="n">
        <v>0</v>
      </c>
      <c r="U341" t="n">
        <v>0</v>
      </c>
      <c r="V341" s="2" t="inlineStr"/>
    </row>
    <row r="342" ht="15" customHeight="1">
      <c r="A342" t="inlineStr">
        <is>
          <t>A 56827-2024</t>
        </is>
      </c>
      <c r="B342" t="inlineStr">
        <is>
          <t>avverkningsanmälan</t>
        </is>
      </c>
      <c r="C342" t="inlineStr">
        <is>
          <t>Föryngringsavverkning</t>
        </is>
      </c>
      <c r="D342" s="1" t="n">
        <v>45628</v>
      </c>
      <c r="E342" s="1" t="n">
        <v>46232</v>
      </c>
      <c r="F342" t="inlineStr">
        <is>
          <t>DALARNAS LÄN</t>
        </is>
      </c>
      <c r="G342" t="inlineStr">
        <is>
          <t>SÄTER</t>
        </is>
      </c>
      <c r="I342" t="n">
        <v>1.7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t="n">
        <v>0</v>
      </c>
      <c r="S342" t="n">
        <v>0</v>
      </c>
      <c r="T342" t="n">
        <v>0</v>
      </c>
      <c r="U342" t="n">
        <v>0</v>
      </c>
      <c r="V342" s="2" t="inlineStr"/>
    </row>
    <row r="343" ht="15" customHeight="1">
      <c r="A343" t="inlineStr">
        <is>
          <t>A 54312-2023</t>
        </is>
      </c>
      <c r="B343" t="inlineStr">
        <is>
          <t>avverkningsanmälan</t>
        </is>
      </c>
      <c r="C343" t="inlineStr">
        <is>
          <t>Föryngringsavverkning</t>
        </is>
      </c>
      <c r="D343" s="1" t="n">
        <v>45232</v>
      </c>
      <c r="E343" s="1" t="n">
        <v>46232</v>
      </c>
      <c r="F343" t="inlineStr">
        <is>
          <t>DALARNAS LÄN</t>
        </is>
      </c>
      <c r="G343" t="inlineStr">
        <is>
          <t>SÄTER</t>
        </is>
      </c>
      <c r="I343" t="n">
        <v>2.7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t="n">
        <v>0</v>
      </c>
      <c r="S343" t="n">
        <v>0</v>
      </c>
      <c r="T343" t="n">
        <v>0</v>
      </c>
      <c r="U343" t="n">
        <v>0</v>
      </c>
      <c r="V343" s="2" t="inlineStr"/>
    </row>
    <row r="344" ht="15" customHeight="1">
      <c r="A344" t="inlineStr">
        <is>
          <t>A 4216-2023</t>
        </is>
      </c>
      <c r="B344" t="inlineStr">
        <is>
          <t>avverkningsanmälan</t>
        </is>
      </c>
      <c r="C344" t="inlineStr">
        <is>
          <t>Föryngringsavverkning</t>
        </is>
      </c>
      <c r="D344" s="1" t="n">
        <v>44953</v>
      </c>
      <c r="E344" s="1" t="n">
        <v>46232</v>
      </c>
      <c r="F344" t="inlineStr">
        <is>
          <t>DALARNAS LÄN</t>
        </is>
      </c>
      <c r="G344" t="inlineStr">
        <is>
          <t>SÄTER</t>
        </is>
      </c>
      <c r="I344" t="n">
        <v>2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t="n">
        <v>0</v>
      </c>
      <c r="S344" t="n">
        <v>0</v>
      </c>
      <c r="T344" t="n">
        <v>0</v>
      </c>
      <c r="U344" t="n">
        <v>0</v>
      </c>
      <c r="V344" s="2" t="inlineStr"/>
    </row>
    <row r="345" ht="15" customHeight="1">
      <c r="A345" t="inlineStr">
        <is>
          <t>A 5981-2023</t>
        </is>
      </c>
      <c r="B345" t="inlineStr">
        <is>
          <t>avverkningsanmälan</t>
        </is>
      </c>
      <c r="C345" t="inlineStr">
        <is>
          <t>Föryngringsavverkning</t>
        </is>
      </c>
      <c r="D345" s="1" t="n">
        <v>44964</v>
      </c>
      <c r="E345" s="1" t="n">
        <v>46232</v>
      </c>
      <c r="F345" t="inlineStr">
        <is>
          <t>DALARNAS LÄN</t>
        </is>
      </c>
      <c r="G345" t="inlineStr">
        <is>
          <t>SÄTER</t>
        </is>
      </c>
      <c r="I345" t="n">
        <v>1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t="n">
        <v>0</v>
      </c>
      <c r="S345" t="n">
        <v>0</v>
      </c>
      <c r="T345" t="n">
        <v>0</v>
      </c>
      <c r="U345" t="n">
        <v>0</v>
      </c>
      <c r="V345" s="2" t="inlineStr"/>
    </row>
    <row r="346" ht="15" customHeight="1">
      <c r="A346" t="inlineStr">
        <is>
          <t>A 33872-2024</t>
        </is>
      </c>
      <c r="B346" t="inlineStr">
        <is>
          <t>avverkningsanmälan</t>
        </is>
      </c>
      <c r="C346" t="inlineStr">
        <is>
          <t>Föryngringsavverkning</t>
        </is>
      </c>
      <c r="D346" s="1" t="n">
        <v>45520</v>
      </c>
      <c r="E346" s="1" t="n">
        <v>46232</v>
      </c>
      <c r="F346" t="inlineStr">
        <is>
          <t>DALARNAS LÄN</t>
        </is>
      </c>
      <c r="G346" t="inlineStr">
        <is>
          <t>SÄTER</t>
        </is>
      </c>
      <c r="I346" t="n">
        <v>1.1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t="n">
        <v>0</v>
      </c>
      <c r="S346" t="n">
        <v>0</v>
      </c>
      <c r="T346" t="n">
        <v>0</v>
      </c>
      <c r="U346" t="n">
        <v>0</v>
      </c>
      <c r="V346" s="2" t="inlineStr"/>
    </row>
    <row r="347" ht="15" customHeight="1">
      <c r="A347" t="inlineStr">
        <is>
          <t>A 42998-2023</t>
        </is>
      </c>
      <c r="B347" t="inlineStr">
        <is>
          <t>avverkningsanmälan</t>
        </is>
      </c>
      <c r="C347" t="inlineStr">
        <is>
          <t>Avverkning för annat ändamål</t>
        </is>
      </c>
      <c r="D347" s="1" t="n">
        <v>45182</v>
      </c>
      <c r="E347" s="1" t="n">
        <v>46232</v>
      </c>
      <c r="F347" t="inlineStr">
        <is>
          <t>DALARNAS LÄN</t>
        </is>
      </c>
      <c r="G347" t="inlineStr">
        <is>
          <t>SÄTER</t>
        </is>
      </c>
      <c r="I347" t="n">
        <v>2.1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t="n">
        <v>0</v>
      </c>
      <c r="S347" t="n">
        <v>0</v>
      </c>
      <c r="T347" t="n">
        <v>0</v>
      </c>
      <c r="U347" t="n">
        <v>0</v>
      </c>
      <c r="V347" s="2" t="inlineStr"/>
    </row>
    <row r="348" ht="15" customHeight="1">
      <c r="A348" t="inlineStr">
        <is>
          <t>A 51847-2024</t>
        </is>
      </c>
      <c r="B348" t="inlineStr">
        <is>
          <t>avverkningsanmälan</t>
        </is>
      </c>
      <c r="C348" t="inlineStr">
        <is>
          <t>Föryngringsavverkning</t>
        </is>
      </c>
      <c r="D348" s="1" t="n">
        <v>45604</v>
      </c>
      <c r="E348" s="1" t="n">
        <v>46232</v>
      </c>
      <c r="F348" t="inlineStr">
        <is>
          <t>DALARNAS LÄN</t>
        </is>
      </c>
      <c r="G348" t="inlineStr">
        <is>
          <t>SÄTER</t>
        </is>
      </c>
      <c r="H348" t="inlineStr">
        <is>
          <t>Bergvik skog väst AB</t>
        </is>
      </c>
      <c r="I348" t="n">
        <v>2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t="n">
        <v>0</v>
      </c>
      <c r="S348" t="n">
        <v>0</v>
      </c>
      <c r="T348" t="n">
        <v>0</v>
      </c>
      <c r="U348" t="n">
        <v>0</v>
      </c>
      <c r="V348" s="2" t="inlineStr"/>
    </row>
    <row r="349" ht="15" customHeight="1">
      <c r="A349" t="inlineStr">
        <is>
          <t>A 54310-2023</t>
        </is>
      </c>
      <c r="B349" t="inlineStr">
        <is>
          <t>avverkningsanmälan</t>
        </is>
      </c>
      <c r="C349" t="inlineStr">
        <is>
          <t>Föryngringsavverkning</t>
        </is>
      </c>
      <c r="D349" s="1" t="n">
        <v>45232</v>
      </c>
      <c r="E349" s="1" t="n">
        <v>46232</v>
      </c>
      <c r="F349" t="inlineStr">
        <is>
          <t>DALARNAS LÄN</t>
        </is>
      </c>
      <c r="G349" t="inlineStr">
        <is>
          <t>SÄTER</t>
        </is>
      </c>
      <c r="I349" t="n">
        <v>1.9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t="n">
        <v>0</v>
      </c>
      <c r="S349" t="n">
        <v>0</v>
      </c>
      <c r="T349" t="n">
        <v>0</v>
      </c>
      <c r="U349" t="n">
        <v>0</v>
      </c>
      <c r="V349" s="2" t="inlineStr"/>
    </row>
    <row r="350" ht="15" customHeight="1">
      <c r="A350" t="inlineStr">
        <is>
          <t>A 37440-2022</t>
        </is>
      </c>
      <c r="B350" t="inlineStr">
        <is>
          <t>avverkningsanmälan</t>
        </is>
      </c>
      <c r="C350" t="inlineStr">
        <is>
          <t>Föryngringsavverkning</t>
        </is>
      </c>
      <c r="D350" s="1" t="n">
        <v>44809</v>
      </c>
      <c r="E350" s="1" t="n">
        <v>46232</v>
      </c>
      <c r="F350" t="inlineStr">
        <is>
          <t>DALARNAS LÄN</t>
        </is>
      </c>
      <c r="G350" t="inlineStr">
        <is>
          <t>SÄTER</t>
        </is>
      </c>
      <c r="I350" t="n">
        <v>0.8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t="n">
        <v>0</v>
      </c>
      <c r="S350" t="n">
        <v>0</v>
      </c>
      <c r="T350" t="n">
        <v>0</v>
      </c>
      <c r="U350" t="n">
        <v>0</v>
      </c>
      <c r="V350" s="2" t="inlineStr"/>
    </row>
    <row r="351" ht="15" customHeight="1">
      <c r="A351" t="inlineStr">
        <is>
          <t>A 33473-2022</t>
        </is>
      </c>
      <c r="B351" t="inlineStr">
        <is>
          <t>avverkningsanmälan</t>
        </is>
      </c>
      <c r="C351" t="inlineStr">
        <is>
          <t>Föryngringsavverkning</t>
        </is>
      </c>
      <c r="D351" s="1" t="n">
        <v>44788</v>
      </c>
      <c r="E351" s="1" t="n">
        <v>46232</v>
      </c>
      <c r="F351" t="inlineStr">
        <is>
          <t>DALARNAS LÄN</t>
        </is>
      </c>
      <c r="G351" t="inlineStr">
        <is>
          <t>SÄTER</t>
        </is>
      </c>
      <c r="I351" t="n">
        <v>1.8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t="n">
        <v>0</v>
      </c>
      <c r="S351" t="n">
        <v>0</v>
      </c>
      <c r="T351" t="n">
        <v>0</v>
      </c>
      <c r="U351" t="n">
        <v>0</v>
      </c>
      <c r="V351" s="2" t="inlineStr"/>
    </row>
    <row r="352" ht="15" customHeight="1">
      <c r="A352" t="inlineStr">
        <is>
          <t>A 28549-2022</t>
        </is>
      </c>
      <c r="B352" t="inlineStr">
        <is>
          <t>avverkningsanmälan</t>
        </is>
      </c>
      <c r="C352" t="inlineStr">
        <is>
          <t>Avverkning för annat ändamål</t>
        </is>
      </c>
      <c r="D352" s="1" t="n">
        <v>44748</v>
      </c>
      <c r="E352" s="1" t="n">
        <v>46232</v>
      </c>
      <c r="F352" t="inlineStr">
        <is>
          <t>DALARNAS LÄN</t>
        </is>
      </c>
      <c r="G352" t="inlineStr">
        <is>
          <t>SÄTER</t>
        </is>
      </c>
      <c r="H352" t="inlineStr">
        <is>
          <t>Bergvik skog väst AB</t>
        </is>
      </c>
      <c r="I352" t="n">
        <v>2.1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t="n">
        <v>0</v>
      </c>
      <c r="S352" t="n">
        <v>0</v>
      </c>
      <c r="T352" t="n">
        <v>0</v>
      </c>
      <c r="U352" t="n">
        <v>0</v>
      </c>
      <c r="V352" s="2" t="inlineStr"/>
    </row>
    <row r="353" ht="15" customHeight="1">
      <c r="A353" t="inlineStr">
        <is>
          <t>A 46559-2021</t>
        </is>
      </c>
      <c r="B353" t="inlineStr">
        <is>
          <t>avverkningsanmälan</t>
        </is>
      </c>
      <c r="C353" t="inlineStr">
        <is>
          <t>Föryngringsavverkning</t>
        </is>
      </c>
      <c r="D353" s="1" t="n">
        <v>44445</v>
      </c>
      <c r="E353" s="1" t="n">
        <v>46232</v>
      </c>
      <c r="F353" t="inlineStr">
        <is>
          <t>DALARNAS LÄN</t>
        </is>
      </c>
      <c r="G353" t="inlineStr">
        <is>
          <t>SÄTER</t>
        </is>
      </c>
      <c r="I353" t="n">
        <v>1.3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t="n">
        <v>0</v>
      </c>
      <c r="S353" t="n">
        <v>0</v>
      </c>
      <c r="T353" t="n">
        <v>0</v>
      </c>
      <c r="U353" t="n">
        <v>0</v>
      </c>
      <c r="V353" s="2" t="inlineStr"/>
    </row>
    <row r="354" ht="15" customHeight="1">
      <c r="A354" t="inlineStr">
        <is>
          <t>A 41471-2023</t>
        </is>
      </c>
      <c r="B354" t="inlineStr">
        <is>
          <t>avverkningsanmälan</t>
        </is>
      </c>
      <c r="C354" t="inlineStr">
        <is>
          <t>Föryngringsavverkning</t>
        </is>
      </c>
      <c r="D354" s="1" t="n">
        <v>45171</v>
      </c>
      <c r="E354" s="1" t="n">
        <v>46232</v>
      </c>
      <c r="F354" t="inlineStr">
        <is>
          <t>DALARNAS LÄN</t>
        </is>
      </c>
      <c r="G354" t="inlineStr">
        <is>
          <t>SÄTER</t>
        </is>
      </c>
      <c r="H354" t="inlineStr">
        <is>
          <t>Bergvik skog väst AB</t>
        </is>
      </c>
      <c r="I354" t="n">
        <v>5.6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t="n">
        <v>0</v>
      </c>
      <c r="S354" t="n">
        <v>0</v>
      </c>
      <c r="T354" t="n">
        <v>0</v>
      </c>
      <c r="U354" t="n">
        <v>0</v>
      </c>
      <c r="V354" s="2" t="inlineStr"/>
    </row>
    <row r="355" ht="15" customHeight="1">
      <c r="A355" t="inlineStr">
        <is>
          <t>A 21583-2025</t>
        </is>
      </c>
      <c r="B355" t="inlineStr">
        <is>
          <t>avverkningsanmälan</t>
        </is>
      </c>
      <c r="C355" t="inlineStr">
        <is>
          <t>Föryngringsavverkning</t>
        </is>
      </c>
      <c r="D355" s="1" t="n">
        <v>45783</v>
      </c>
      <c r="E355" s="1" t="n">
        <v>46232</v>
      </c>
      <c r="F355" t="inlineStr">
        <is>
          <t>DALARNAS LÄN</t>
        </is>
      </c>
      <c r="G355" t="inlineStr">
        <is>
          <t>SÄTER</t>
        </is>
      </c>
      <c r="I355" t="n">
        <v>0.9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t="n">
        <v>0</v>
      </c>
      <c r="S355" t="n">
        <v>0</v>
      </c>
      <c r="T355" t="n">
        <v>0</v>
      </c>
      <c r="U355" t="n">
        <v>0</v>
      </c>
      <c r="V355" s="2" t="inlineStr"/>
    </row>
    <row r="356" ht="15" customHeight="1">
      <c r="A356" t="inlineStr">
        <is>
          <t>A 49684-2024</t>
        </is>
      </c>
      <c r="B356" t="inlineStr">
        <is>
          <t>avverkningsanmälan</t>
        </is>
      </c>
      <c r="C356" t="inlineStr">
        <is>
          <t>Föryngringsavverkning</t>
        </is>
      </c>
      <c r="D356" s="1" t="n">
        <v>45596</v>
      </c>
      <c r="E356" s="1" t="n">
        <v>46232</v>
      </c>
      <c r="F356" t="inlineStr">
        <is>
          <t>DALARNAS LÄN</t>
        </is>
      </c>
      <c r="G356" t="inlineStr">
        <is>
          <t>SÄTER</t>
        </is>
      </c>
      <c r="I356" t="n">
        <v>2.2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t="n">
        <v>0</v>
      </c>
      <c r="S356" t="n">
        <v>0</v>
      </c>
      <c r="T356" t="n">
        <v>0</v>
      </c>
      <c r="U356" t="n">
        <v>0</v>
      </c>
      <c r="V356" s="2" t="inlineStr"/>
    </row>
    <row r="357" ht="15" customHeight="1">
      <c r="A357" t="inlineStr">
        <is>
          <t>A 19322-2024</t>
        </is>
      </c>
      <c r="B357" t="inlineStr">
        <is>
          <t>avverkningsanmälan</t>
        </is>
      </c>
      <c r="C357" t="inlineStr">
        <is>
          <t>Föryngringsavverkning</t>
        </is>
      </c>
      <c r="D357" s="1" t="n">
        <v>45428</v>
      </c>
      <c r="E357" s="1" t="n">
        <v>46232</v>
      </c>
      <c r="F357" t="inlineStr">
        <is>
          <t>DALARNAS LÄN</t>
        </is>
      </c>
      <c r="G357" t="inlineStr">
        <is>
          <t>SÄTER</t>
        </is>
      </c>
      <c r="I357" t="n">
        <v>2.2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t="n">
        <v>0</v>
      </c>
      <c r="S357" t="n">
        <v>0</v>
      </c>
      <c r="T357" t="n">
        <v>0</v>
      </c>
      <c r="U357" t="n">
        <v>0</v>
      </c>
      <c r="V357" s="2" t="inlineStr"/>
    </row>
    <row r="358" ht="15" customHeight="1">
      <c r="A358" t="inlineStr">
        <is>
          <t>A 19767-2024</t>
        </is>
      </c>
      <c r="B358" t="inlineStr">
        <is>
          <t>avverkningsanmälan</t>
        </is>
      </c>
      <c r="C358" t="inlineStr">
        <is>
          <t>Föryngringsavverkning</t>
        </is>
      </c>
      <c r="D358" s="1" t="n">
        <v>45432</v>
      </c>
      <c r="E358" s="1" t="n">
        <v>46232</v>
      </c>
      <c r="F358" t="inlineStr">
        <is>
          <t>DALARNAS LÄN</t>
        </is>
      </c>
      <c r="G358" t="inlineStr">
        <is>
          <t>SÄTER</t>
        </is>
      </c>
      <c r="I358" t="n">
        <v>3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t="n">
        <v>0</v>
      </c>
      <c r="S358" t="n">
        <v>0</v>
      </c>
      <c r="T358" t="n">
        <v>0</v>
      </c>
      <c r="U358" t="n">
        <v>0</v>
      </c>
      <c r="V358" s="2" t="inlineStr"/>
    </row>
    <row r="359" ht="15" customHeight="1">
      <c r="A359" t="inlineStr">
        <is>
          <t>A 6640-2025</t>
        </is>
      </c>
      <c r="B359" t="inlineStr">
        <is>
          <t>avverkningsanmälan</t>
        </is>
      </c>
      <c r="C359" t="inlineStr">
        <is>
          <t>Föryngringsavverkning</t>
        </is>
      </c>
      <c r="D359" s="1" t="n">
        <v>45700</v>
      </c>
      <c r="E359" s="1" t="n">
        <v>46232</v>
      </c>
      <c r="F359" t="inlineStr">
        <is>
          <t>DALARNAS LÄN</t>
        </is>
      </c>
      <c r="G359" t="inlineStr">
        <is>
          <t>SÄTER</t>
        </is>
      </c>
      <c r="I359" t="n">
        <v>1.6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t="n">
        <v>0</v>
      </c>
      <c r="S359" t="n">
        <v>0</v>
      </c>
      <c r="T359" t="n">
        <v>0</v>
      </c>
      <c r="U359" t="n">
        <v>0</v>
      </c>
      <c r="V359" s="2" t="inlineStr"/>
    </row>
    <row r="360" ht="15" customHeight="1">
      <c r="A360" t="inlineStr">
        <is>
          <t>A 22970-2025</t>
        </is>
      </c>
      <c r="B360" t="inlineStr">
        <is>
          <t>avverkningsanmälan</t>
        </is>
      </c>
      <c r="C360" t="inlineStr">
        <is>
          <t>Föryngringsavverkning</t>
        </is>
      </c>
      <c r="D360" s="1" t="n">
        <v>45790</v>
      </c>
      <c r="E360" s="1" t="n">
        <v>46232</v>
      </c>
      <c r="F360" t="inlineStr">
        <is>
          <t>DALARNAS LÄN</t>
        </is>
      </c>
      <c r="G360" t="inlineStr">
        <is>
          <t>SÄTER</t>
        </is>
      </c>
      <c r="H360" t="inlineStr">
        <is>
          <t>Bergvik skog väst AB</t>
        </is>
      </c>
      <c r="I360" t="n">
        <v>1.5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t="n">
        <v>0</v>
      </c>
      <c r="S360" t="n">
        <v>0</v>
      </c>
      <c r="T360" t="n">
        <v>0</v>
      </c>
      <c r="U360" t="n">
        <v>0</v>
      </c>
      <c r="V360" s="2" t="inlineStr"/>
    </row>
    <row r="361" ht="15" customHeight="1">
      <c r="A361" t="inlineStr">
        <is>
          <t>A 10404-2024</t>
        </is>
      </c>
      <c r="B361" t="inlineStr">
        <is>
          <t>avverkningsanmälan</t>
        </is>
      </c>
      <c r="C361" t="inlineStr">
        <is>
          <t>Föryngringsavverkning</t>
        </is>
      </c>
      <c r="D361" s="1" t="n">
        <v>45365</v>
      </c>
      <c r="E361" s="1" t="n">
        <v>46232</v>
      </c>
      <c r="F361" t="inlineStr">
        <is>
          <t>DALARNAS LÄN</t>
        </is>
      </c>
      <c r="G361" t="inlineStr">
        <is>
          <t>SÄTER</t>
        </is>
      </c>
      <c r="I361" t="n">
        <v>1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t="n">
        <v>0</v>
      </c>
      <c r="S361" t="n">
        <v>0</v>
      </c>
      <c r="T361" t="n">
        <v>0</v>
      </c>
      <c r="U361" t="n">
        <v>0</v>
      </c>
      <c r="V361" s="2" t="inlineStr"/>
    </row>
    <row r="362" ht="15" customHeight="1">
      <c r="A362" t="inlineStr">
        <is>
          <t>A 1123-2025</t>
        </is>
      </c>
      <c r="B362" t="inlineStr">
        <is>
          <t>avverkningsanmälan</t>
        </is>
      </c>
      <c r="C362" t="inlineStr">
        <is>
          <t>Föryngringsavverkning</t>
        </is>
      </c>
      <c r="D362" s="1" t="n">
        <v>45666</v>
      </c>
      <c r="E362" s="1" t="n">
        <v>46232</v>
      </c>
      <c r="F362" t="inlineStr">
        <is>
          <t>DALARNAS LÄN</t>
        </is>
      </c>
      <c r="G362" t="inlineStr">
        <is>
          <t>SÄTER</t>
        </is>
      </c>
      <c r="I362" t="n">
        <v>2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t="n">
        <v>0</v>
      </c>
      <c r="S362" t="n">
        <v>0</v>
      </c>
      <c r="T362" t="n">
        <v>0</v>
      </c>
      <c r="U362" t="n">
        <v>0</v>
      </c>
      <c r="V362" s="2" t="inlineStr"/>
    </row>
    <row r="363" ht="15" customHeight="1">
      <c r="A363" t="inlineStr">
        <is>
          <t>A 33482-2023</t>
        </is>
      </c>
      <c r="B363" t="inlineStr">
        <is>
          <t>avverkningsanmälan</t>
        </is>
      </c>
      <c r="C363" t="inlineStr">
        <is>
          <t>Föryngringsavverkning</t>
        </is>
      </c>
      <c r="D363" s="1" t="n">
        <v>45118</v>
      </c>
      <c r="E363" s="1" t="n">
        <v>46232</v>
      </c>
      <c r="F363" t="inlineStr">
        <is>
          <t>DALARNAS LÄN</t>
        </is>
      </c>
      <c r="G363" t="inlineStr">
        <is>
          <t>SÄTER</t>
        </is>
      </c>
      <c r="H363" t="inlineStr">
        <is>
          <t>Bergvik skog väst AB</t>
        </is>
      </c>
      <c r="I363" t="n">
        <v>1.4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t="n">
        <v>0</v>
      </c>
      <c r="S363" t="n">
        <v>0</v>
      </c>
      <c r="T363" t="n">
        <v>0</v>
      </c>
      <c r="U363" t="n">
        <v>0</v>
      </c>
      <c r="V363" s="2" t="inlineStr"/>
    </row>
    <row r="364" ht="15" customHeight="1">
      <c r="A364" t="inlineStr">
        <is>
          <t>A 21911-2024</t>
        </is>
      </c>
      <c r="B364" t="inlineStr">
        <is>
          <t>avverkningsanmälan</t>
        </is>
      </c>
      <c r="C364" t="inlineStr">
        <is>
          <t>Föryngringsavverkning</t>
        </is>
      </c>
      <c r="D364" s="1" t="n">
        <v>45443</v>
      </c>
      <c r="E364" s="1" t="n">
        <v>46232</v>
      </c>
      <c r="F364" t="inlineStr">
        <is>
          <t>DALARNAS LÄN</t>
        </is>
      </c>
      <c r="G364" t="inlineStr">
        <is>
          <t>SÄTER</t>
        </is>
      </c>
      <c r="I364" t="n">
        <v>1.4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t="n">
        <v>0</v>
      </c>
      <c r="S364" t="n">
        <v>0</v>
      </c>
      <c r="T364" t="n">
        <v>0</v>
      </c>
      <c r="U364" t="n">
        <v>0</v>
      </c>
      <c r="V364" s="2" t="inlineStr"/>
    </row>
    <row r="365" ht="15" customHeight="1">
      <c r="A365" t="inlineStr">
        <is>
          <t>A 25294-2024</t>
        </is>
      </c>
      <c r="B365" t="inlineStr">
        <is>
          <t>avverkningsanmälan</t>
        </is>
      </c>
      <c r="C365" t="inlineStr">
        <is>
          <t>Föryngringsavverkning</t>
        </is>
      </c>
      <c r="D365" s="1" t="n">
        <v>45462</v>
      </c>
      <c r="E365" s="1" t="n">
        <v>46232</v>
      </c>
      <c r="F365" t="inlineStr">
        <is>
          <t>DALARNAS LÄN</t>
        </is>
      </c>
      <c r="G365" t="inlineStr">
        <is>
          <t>SÄTER</t>
        </is>
      </c>
      <c r="I365" t="n">
        <v>3.5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t="n">
        <v>0</v>
      </c>
      <c r="S365" t="n">
        <v>0</v>
      </c>
      <c r="T365" t="n">
        <v>0</v>
      </c>
      <c r="U365" t="n">
        <v>0</v>
      </c>
      <c r="V365" s="2" t="inlineStr"/>
    </row>
    <row r="366" ht="15" customHeight="1">
      <c r="A366" t="inlineStr">
        <is>
          <t>S 2585-2020</t>
        </is>
      </c>
      <c r="B366" t="inlineStr">
        <is>
          <t>samrådsanmälan</t>
        </is>
      </c>
      <c r="C366" t="n">
        <v/>
      </c>
      <c r="D366" s="1" t="n">
        <v>44155</v>
      </c>
      <c r="E366" s="1" t="n">
        <v>46232</v>
      </c>
      <c r="F366" t="inlineStr">
        <is>
          <t>DALARNAS LÄN</t>
        </is>
      </c>
      <c r="G366" t="inlineStr">
        <is>
          <t>SÄTER</t>
        </is>
      </c>
      <c r="H366" t="inlineStr">
        <is>
          <t>Bergvik skog väst AB</t>
        </is>
      </c>
      <c r="I366" t="n">
        <v>3.2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t="n">
        <v>0</v>
      </c>
      <c r="S366" t="n">
        <v>0</v>
      </c>
      <c r="T366" t="n">
        <v>0</v>
      </c>
      <c r="U366" t="n">
        <v>0</v>
      </c>
      <c r="V366" s="2" t="inlineStr"/>
    </row>
    <row r="367" ht="15" customHeight="1">
      <c r="A367" t="inlineStr">
        <is>
          <t>S 1868-2020</t>
        </is>
      </c>
      <c r="B367" t="inlineStr">
        <is>
          <t>samrådsanmälan</t>
        </is>
      </c>
      <c r="C367" t="inlineStr">
        <is>
          <t>Askåterföring</t>
        </is>
      </c>
      <c r="D367" s="1" t="n">
        <v>44071</v>
      </c>
      <c r="E367" s="1" t="n">
        <v>46232</v>
      </c>
      <c r="F367" t="inlineStr">
        <is>
          <t>DALARNAS LÄN</t>
        </is>
      </c>
      <c r="G367" t="inlineStr">
        <is>
          <t>SÄTER</t>
        </is>
      </c>
      <c r="I367" t="n">
        <v>29.2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t="n">
        <v>0</v>
      </c>
      <c r="S367" t="n">
        <v>0</v>
      </c>
      <c r="T367" t="n">
        <v>0</v>
      </c>
      <c r="U367" t="n">
        <v>0</v>
      </c>
      <c r="V367" s="2" t="inlineStr"/>
    </row>
    <row r="368" ht="15" customHeight="1">
      <c r="A368" t="inlineStr">
        <is>
          <t>S 3057-2023</t>
        </is>
      </c>
      <c r="B368" t="inlineStr">
        <is>
          <t>samrådsanmälan</t>
        </is>
      </c>
      <c r="C368" t="inlineStr">
        <is>
          <t>Annan skogsbruksåtgärd</t>
        </is>
      </c>
      <c r="D368" s="1" t="n">
        <v>45182</v>
      </c>
      <c r="E368" s="1" t="n">
        <v>46232</v>
      </c>
      <c r="F368" t="inlineStr">
        <is>
          <t>DALARNAS LÄN</t>
        </is>
      </c>
      <c r="G368" t="inlineStr">
        <is>
          <t>SÄTER</t>
        </is>
      </c>
      <c r="I368" t="n">
        <v>1.1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t="n">
        <v>0</v>
      </c>
      <c r="S368" t="n">
        <v>0</v>
      </c>
      <c r="T368" t="n">
        <v>0</v>
      </c>
      <c r="U368" t="n">
        <v>0</v>
      </c>
      <c r="V368" s="2" t="inlineStr"/>
    </row>
    <row r="369" ht="15" customHeight="1">
      <c r="A369" t="inlineStr">
        <is>
          <t>S 405-2022</t>
        </is>
      </c>
      <c r="B369" t="inlineStr">
        <is>
          <t>samrådsanmälan</t>
        </is>
      </c>
      <c r="C369" t="inlineStr">
        <is>
          <t>Skogsgödsling</t>
        </is>
      </c>
      <c r="D369" s="1" t="n">
        <v>44585</v>
      </c>
      <c r="E369" s="1" t="n">
        <v>46232</v>
      </c>
      <c r="F369" t="inlineStr">
        <is>
          <t>DALARNAS LÄN</t>
        </is>
      </c>
      <c r="G369" t="inlineStr">
        <is>
          <t>SÄTER</t>
        </is>
      </c>
      <c r="H369" t="inlineStr">
        <is>
          <t>Bergvik skog väst AB</t>
        </is>
      </c>
      <c r="I369" t="n">
        <v>79.09999999999999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t="n">
        <v>0</v>
      </c>
      <c r="S369" t="n">
        <v>0</v>
      </c>
      <c r="T369" t="n">
        <v>0</v>
      </c>
      <c r="U369" t="n">
        <v>0</v>
      </c>
      <c r="V369" s="2" t="inlineStr"/>
    </row>
    <row r="370" ht="15" customHeight="1">
      <c r="A370" t="inlineStr">
        <is>
          <t>S 1098-2024</t>
        </is>
      </c>
      <c r="B370" t="inlineStr">
        <is>
          <t>samrådsanmälan</t>
        </is>
      </c>
      <c r="C370" t="inlineStr">
        <is>
          <t>Skogsgödsling</t>
        </is>
      </c>
      <c r="D370" s="1" t="n">
        <v>45391</v>
      </c>
      <c r="E370" s="1" t="n">
        <v>46232</v>
      </c>
      <c r="F370" t="inlineStr">
        <is>
          <t>DALARNAS LÄN</t>
        </is>
      </c>
      <c r="G370" t="inlineStr">
        <is>
          <t>SÄTER</t>
        </is>
      </c>
      <c r="H370" t="inlineStr">
        <is>
          <t>Bergvik skog väst AB</t>
        </is>
      </c>
      <c r="I370" t="n">
        <v>189.2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t="n">
        <v>0</v>
      </c>
      <c r="S370" t="n">
        <v>0</v>
      </c>
      <c r="T370" t="n">
        <v>0</v>
      </c>
      <c r="U370" t="n">
        <v>0</v>
      </c>
      <c r="V370" s="2" t="inlineStr"/>
    </row>
    <row r="371" ht="15" customHeight="1">
      <c r="A371" t="inlineStr">
        <is>
          <t>S 705-2025</t>
        </is>
      </c>
      <c r="B371" t="inlineStr">
        <is>
          <t>samrådsanmälan</t>
        </is>
      </c>
      <c r="C371" t="inlineStr">
        <is>
          <t>Skogsgödsling</t>
        </is>
      </c>
      <c r="D371" s="1" t="n">
        <v>45720</v>
      </c>
      <c r="E371" s="1" t="n">
        <v>46232</v>
      </c>
      <c r="F371" t="inlineStr">
        <is>
          <t>DALARNAS LÄN</t>
        </is>
      </c>
      <c r="G371" t="inlineStr">
        <is>
          <t>SÄTER</t>
        </is>
      </c>
      <c r="H371" t="inlineStr">
        <is>
          <t>Bergvik skog väst AB</t>
        </is>
      </c>
      <c r="I371" t="n">
        <v>21.7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t="n">
        <v>0</v>
      </c>
      <c r="S371" t="n">
        <v>0</v>
      </c>
      <c r="T371" t="n">
        <v>0</v>
      </c>
      <c r="U371" t="n">
        <v>0</v>
      </c>
      <c r="V371" s="2" t="inlineStr"/>
    </row>
    <row r="372" ht="15" customHeight="1">
      <c r="A372" t="inlineStr">
        <is>
          <t>S 2939-2025</t>
        </is>
      </c>
      <c r="B372" t="inlineStr">
        <is>
          <t>samrådsanmälan</t>
        </is>
      </c>
      <c r="C372" t="inlineStr">
        <is>
          <t>Annan skogsbruksåtgärd</t>
        </is>
      </c>
      <c r="D372" s="1" t="n">
        <v>45951</v>
      </c>
      <c r="E372" s="1" t="n">
        <v>46232</v>
      </c>
      <c r="F372" t="inlineStr">
        <is>
          <t>DALARNAS LÄN</t>
        </is>
      </c>
      <c r="G372" t="inlineStr">
        <is>
          <t>SÄTER</t>
        </is>
      </c>
      <c r="H372" t="inlineStr">
        <is>
          <t>Bergvik skog väst AB</t>
        </is>
      </c>
      <c r="I372" t="n">
        <v>2.3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t="n">
        <v>0</v>
      </c>
      <c r="S372" t="n">
        <v>0</v>
      </c>
      <c r="T372" t="n">
        <v>0</v>
      </c>
      <c r="U372" t="n">
        <v>0</v>
      </c>
      <c r="V372" s="2" t="inlineStr"/>
    </row>
    <row r="373" ht="15" customHeight="1">
      <c r="A373" t="inlineStr">
        <is>
          <t>S 2964-2025</t>
        </is>
      </c>
      <c r="B373" t="inlineStr">
        <is>
          <t>samrådsanmälan</t>
        </is>
      </c>
      <c r="C373" t="inlineStr">
        <is>
          <t>Annan skogsbruksåtgärd</t>
        </is>
      </c>
      <c r="D373" s="1" t="n">
        <v>45952</v>
      </c>
      <c r="E373" s="1" t="n">
        <v>46232</v>
      </c>
      <c r="F373" t="inlineStr">
        <is>
          <t>DALARNAS LÄN</t>
        </is>
      </c>
      <c r="G373" t="inlineStr">
        <is>
          <t>SÄTER</t>
        </is>
      </c>
      <c r="H373" t="inlineStr">
        <is>
          <t>Bergvik skog väst AB</t>
        </is>
      </c>
      <c r="I373" t="n">
        <v>1.9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t="n">
        <v>0</v>
      </c>
      <c r="S373" t="n">
        <v>0</v>
      </c>
      <c r="T373" t="n">
        <v>0</v>
      </c>
      <c r="U373" t="n">
        <v>0</v>
      </c>
      <c r="V373" s="2" t="inlineStr"/>
    </row>
    <row r="374">
      <c r="A374" t="inlineStr">
        <is>
          <t>S 611-2026</t>
        </is>
      </c>
      <c r="B374" t="inlineStr">
        <is>
          <t>samrådsanmälan</t>
        </is>
      </c>
      <c r="C374" t="inlineStr">
        <is>
          <t>Skogsgödsling</t>
        </is>
      </c>
      <c r="D374" s="1" t="n">
        <v>46085</v>
      </c>
      <c r="E374" s="1" t="n">
        <v>46232</v>
      </c>
      <c r="F374" t="inlineStr">
        <is>
          <t>DALARNAS LÄN</t>
        </is>
      </c>
      <c r="G374" t="inlineStr">
        <is>
          <t>SÄTER</t>
        </is>
      </c>
      <c r="H374" t="inlineStr">
        <is>
          <t>Bergvik skog väst AB</t>
        </is>
      </c>
      <c r="I374" t="n">
        <v>44.7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t="n">
        <v>0</v>
      </c>
      <c r="S374" t="n">
        <v>0</v>
      </c>
      <c r="T374" t="n">
        <v>0</v>
      </c>
      <c r="U374" t="n">
        <v>0</v>
      </c>
      <c r="V374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2026-07-29T01:54:08Z</dcterms:created>
  <dcterms:modified xmlns:dcterms="http://purl.org/dc/terms/" xmlns:xsi="http://www.w3.org/2001/XMLSchema-instance" xsi:type="dcterms:W3CDTF">2026-07-29T01:54:08Z</dcterms:modified>
</cp:coreProperties>
</file>