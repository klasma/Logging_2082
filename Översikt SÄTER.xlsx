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46225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46225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46225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46225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46225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46225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46225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46225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46225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46225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46225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3</v>
      </c>
      <c r="V12" s="2" t="inlineStr">
        <is>
          <t>Rynkskinn
Ullticka
Stuplav
Kungsfågel</t>
        </is>
      </c>
      <c r="W12">
        <f>HYPERLINK("https://klasma.github.io/Logging_2082/artfynd/A 42492-2025 artfynd.xlsx", "A 42492-2025")</f>
        <v/>
      </c>
      <c r="X12">
        <f>HYPERLINK("https://klasma.github.io/Logging_2082/kartor/A 42492-2025 karta.png", "A 42492-2025")</f>
        <v/>
      </c>
      <c r="Y12">
        <f>HYPERLINK("https://klasma.github.io/Logging_2082/kartor_geotiff/A 42492-2025 georefererad karta.tif", "A 42492-2025")</f>
        <v/>
      </c>
      <c r="AA12">
        <f>HYPERLINK("https://klasma.github.io/Logging_2082/klagomål/A 42492-2025 FSC-klagomål.docx", "A 42492-2025")</f>
        <v/>
      </c>
      <c r="AB12">
        <f>HYPERLINK("https://klasma.github.io/Logging_2082/klagomålsmail/A 42492-2025 FSC-klagomål mail.docx", "A 42492-2025")</f>
        <v/>
      </c>
      <c r="AC12">
        <f>HYPERLINK("https://klasma.github.io/Logging_2082/tillsyn/A 42492-2025 tillsynsbegäran.docx", "A 42492-2025")</f>
        <v/>
      </c>
      <c r="AD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46225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27374-2022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44742</v>
      </c>
      <c r="E14" s="1" t="n">
        <v>46225</v>
      </c>
      <c r="F14" t="inlineStr">
        <is>
          <t>DALARNAS LÄN</t>
        </is>
      </c>
      <c r="G14" t="inlineStr">
        <is>
          <t>SÄTER</t>
        </is>
      </c>
      <c r="H14" t="inlineStr">
        <is>
          <t>Kommuner</t>
        </is>
      </c>
      <c r="I14" t="n">
        <v>4.3</v>
      </c>
      <c r="J14" t="n">
        <v>2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13</v>
      </c>
      <c r="U14" t="n">
        <v>0</v>
      </c>
      <c r="V14" s="2" t="inlineStr">
        <is>
          <t>Garnlav
Knärot
Nästrot</t>
        </is>
      </c>
      <c r="W14">
        <f>HYPERLINK("https://klasma.github.io/Logging_2082/artfynd/A 27374-2022 artfynd.xlsx", "A 27374-2022")</f>
        <v/>
      </c>
      <c r="X14">
        <f>HYPERLINK("https://klasma.github.io/Logging_2082/kartor/A 27374-2022 karta.png", "A 27374-2022")</f>
        <v/>
      </c>
      <c r="Y14">
        <f>HYPERLINK("https://klasma.github.io/Logging_2082/kartor_geotiff/A 27374-2022 georefererad karta.tif", "A 27374-2022")</f>
        <v/>
      </c>
      <c r="Z14">
        <f>HYPERLINK("https://klasma.github.io/Logging_2082/knärot/A 27374-2022 karta knärot.png", "A 27374-2022")</f>
        <v/>
      </c>
      <c r="AA14">
        <f>HYPERLINK("https://klasma.github.io/Logging_2082/klagomål/A 27374-2022 FSC-klagomål.docx", "A 27374-2022")</f>
        <v/>
      </c>
      <c r="AB14">
        <f>HYPERLINK("https://klasma.github.io/Logging_2082/klagomålsmail/A 27374-2022 FSC-klagomål mail.docx", "A 27374-2022")</f>
        <v/>
      </c>
      <c r="AC14">
        <f>HYPERLINK("https://klasma.github.io/Logging_2082/tillsyn/A 27374-2022 tillsynsbegäran.docx", "A 27374-2022")</f>
        <v/>
      </c>
      <c r="AD14">
        <f>HYPERLINK("https://klasma.github.io/Logging_2082/tillsynsmail/A 27374-2022 tillsynsbegäran mail.docx", "A 27374-2022")</f>
        <v/>
      </c>
    </row>
    <row r="15" ht="15" customHeight="1">
      <c r="A15" t="inlineStr">
        <is>
          <t>A 12817-2026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46225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28.2</v>
      </c>
      <c r="J15" t="n">
        <v>1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Ask
Grönsångare
Kransmossa</t>
        </is>
      </c>
      <c r="W15">
        <f>HYPERLINK("https://klasma.github.io/Logging_2082/artfynd/A 12817-2026 artfynd.xlsx", "A 12817-2026")</f>
        <v/>
      </c>
      <c r="X15">
        <f>HYPERLINK("https://klasma.github.io/Logging_2082/kartor/A 12817-2026 karta.png", "A 12817-2026")</f>
        <v/>
      </c>
      <c r="Y15">
        <f>HYPERLINK("https://klasma.github.io/Logging_2082/kartor_geotiff/A 12817-2026 georefererad karta.tif", "A 12817-2026")</f>
        <v/>
      </c>
      <c r="AA15">
        <f>HYPERLINK("https://klasma.github.io/Logging_2082/klagomål/A 12817-2026 FSC-klagomål.docx", "A 12817-2026")</f>
        <v/>
      </c>
      <c r="AB15">
        <f>HYPERLINK("https://klasma.github.io/Logging_2082/klagomålsmail/A 12817-2026 FSC-klagomål mail.docx", "A 12817-2026")</f>
        <v/>
      </c>
      <c r="AC15">
        <f>HYPERLINK("https://klasma.github.io/Logging_2082/tillsyn/A 12817-2026 tillsynsbegäran.docx", "A 12817-2026")</f>
        <v/>
      </c>
      <c r="AD15">
        <f>HYPERLINK("https://klasma.github.io/Logging_2082/tillsynsmail/A 12817-2026 tillsynsbegäran mail.docx", "A 12817-2026")</f>
        <v/>
      </c>
      <c r="AE15">
        <f>HYPERLINK("https://klasma.github.io/Logging_2082/fåglar/A 12817-2026 prioriterade fågelarter.docx", "A 12817-2026")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46225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46225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46225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46225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46225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46225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46225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46225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46225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46225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46225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Jungfrulin
Klasefibbla</t>
        </is>
      </c>
      <c r="W26">
        <f>HYPERLINK("https://klasma.github.io/Logging_2082/artfynd/A 52205-2021 artfynd.xlsx", "A 52205-2021")</f>
        <v/>
      </c>
      <c r="X26">
        <f>HYPERLINK("https://klasma.github.io/Logging_2082/kartor/A 52205-2021 karta.png", "A 52205-2021")</f>
        <v/>
      </c>
      <c r="Y26">
        <f>HYPERLINK("https://klasma.github.io/Logging_2082/kartor_geotiff/A 52205-2021 georefererad karta.tif", "A 52205-2021")</f>
        <v/>
      </c>
      <c r="AA26">
        <f>HYPERLINK("https://klasma.github.io/Logging_2082/klagomål/A 52205-2021 FSC-klagomål.docx", "A 52205-2021")</f>
        <v/>
      </c>
      <c r="AB26">
        <f>HYPERLINK("https://klasma.github.io/Logging_2082/klagomålsmail/A 52205-2021 FSC-klagomål mail.docx", "A 52205-2021")</f>
        <v/>
      </c>
      <c r="AC26">
        <f>HYPERLINK("https://klasma.github.io/Logging_2082/tillsyn/A 52205-2021 tillsynsbegäran.docx", "A 52205-2021")</f>
        <v/>
      </c>
      <c r="AD26">
        <f>HYPERLINK("https://klasma.github.io/Logging_2082/tillsynsmail/A 52205-2021 tillsynsbegäran mail.docx", "A 52205-2021")</f>
        <v/>
      </c>
    </row>
    <row r="27" ht="15" customHeight="1">
      <c r="A27" t="inlineStr">
        <is>
          <t>A 23917-2024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46225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Ullticka
Svavelriska</t>
        </is>
      </c>
      <c r="W27">
        <f>HYPERLINK("https://klasma.github.io/Logging_2082/artfynd/A 23917-2024 artfynd.xlsx", "A 23917-2024")</f>
        <v/>
      </c>
      <c r="X27">
        <f>HYPERLINK("https://klasma.github.io/Logging_2082/kartor/A 23917-2024 karta.png", "A 23917-2024")</f>
        <v/>
      </c>
      <c r="Y27">
        <f>HYPERLINK("https://klasma.github.io/Logging_2082/kartor_geotiff/A 23917-2024 georefererad karta.tif", "A 23917-2024")</f>
        <v/>
      </c>
      <c r="AA27">
        <f>HYPERLINK("https://klasma.github.io/Logging_2082/klagomål/A 23917-2024 FSC-klagomål.docx", "A 23917-2024")</f>
        <v/>
      </c>
      <c r="AB27">
        <f>HYPERLINK("https://klasma.github.io/Logging_2082/klagomålsmail/A 23917-2024 FSC-klagomål mail.docx", "A 23917-2024")</f>
        <v/>
      </c>
      <c r="AC27">
        <f>HYPERLINK("https://klasma.github.io/Logging_2082/tillsyn/A 23917-2024 tillsynsbegäran.docx", "A 23917-2024")</f>
        <v/>
      </c>
      <c r="AD27">
        <f>HYPERLINK("https://klasma.github.io/Logging_2082/tillsynsmail/A 23917-2024 tillsynsbegäran mail.docx", "A 23917-2024")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46225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46225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46225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46225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46225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46225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46225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5232-2022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44594</v>
      </c>
      <c r="E35" s="1" t="n">
        <v>46225</v>
      </c>
      <c r="F35" t="inlineStr">
        <is>
          <t>DALARNAS LÄN</t>
        </is>
      </c>
      <c r="G35" t="inlineStr">
        <is>
          <t>SÄTER</t>
        </is>
      </c>
      <c r="I35" t="n">
        <v>2.5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Tvåblad</t>
        </is>
      </c>
      <c r="W35">
        <f>HYPERLINK("https://klasma.github.io/Logging_2082/artfynd/A 5232-2022 artfynd.xlsx", "A 5232-2022")</f>
        <v/>
      </c>
      <c r="X35">
        <f>HYPERLINK("https://klasma.github.io/Logging_2082/kartor/A 5232-2022 karta.png", "A 5232-2022")</f>
        <v/>
      </c>
      <c r="Y35">
        <f>HYPERLINK("https://klasma.github.io/Logging_2082/kartor_geotiff/A 5232-2022 georefererad karta.tif", "A 5232-2022")</f>
        <v/>
      </c>
      <c r="AA35">
        <f>HYPERLINK("https://klasma.github.io/Logging_2082/klagomål/A 5232-2022 FSC-klagomål.docx", "A 5232-2022")</f>
        <v/>
      </c>
      <c r="AB35">
        <f>HYPERLINK("https://klasma.github.io/Logging_2082/klagomålsmail/A 5232-2022 FSC-klagomål mail.docx", "A 5232-2022")</f>
        <v/>
      </c>
      <c r="AC35">
        <f>HYPERLINK("https://klasma.github.io/Logging_2082/tillsyn/A 5232-2022 tillsynsbegäran.docx", "A 5232-2022")</f>
        <v/>
      </c>
      <c r="AD35">
        <f>HYPERLINK("https://klasma.github.io/Logging_2082/tillsynsmail/A 5232-2022 tillsynsbegäran mail.docx", "A 5232-2022")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46225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21120-2026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46225</v>
      </c>
      <c r="F37" t="inlineStr">
        <is>
          <t>DALARNAS LÄN</t>
        </is>
      </c>
      <c r="G37" t="inlineStr">
        <is>
          <t>SÄTER</t>
        </is>
      </c>
      <c r="I37" t="n">
        <v>4.8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21120-2026 artfynd.xlsx", "A 21120-2026")</f>
        <v/>
      </c>
      <c r="X37">
        <f>HYPERLINK("https://klasma.github.io/Logging_2082/kartor/A 21120-2026 karta.png", "A 21120-2026")</f>
        <v/>
      </c>
      <c r="Y37">
        <f>HYPERLINK("https://klasma.github.io/Logging_2082/kartor_geotiff/A 21120-2026 georefererad karta.tif", "A 21120-2026")</f>
        <v/>
      </c>
      <c r="Z37">
        <f>HYPERLINK("https://klasma.github.io/Logging_2082/knärot/A 21120-2026 karta knärot.png", "A 21120-2026")</f>
        <v/>
      </c>
      <c r="AA37">
        <f>HYPERLINK("https://klasma.github.io/Logging_2082/klagomål/A 21120-2026 FSC-klagomål.docx", "A 21120-2026")</f>
        <v/>
      </c>
      <c r="AB37">
        <f>HYPERLINK("https://klasma.github.io/Logging_2082/klagomålsmail/A 21120-2026 FSC-klagomål mail.docx", "A 21120-2026")</f>
        <v/>
      </c>
      <c r="AC37">
        <f>HYPERLINK("https://klasma.github.io/Logging_2082/tillsyn/A 21120-2026 tillsynsbegäran.docx", "A 21120-2026")</f>
        <v/>
      </c>
      <c r="AD37">
        <f>HYPERLINK("https://klasma.github.io/Logging_2082/tillsynsmail/A 21120-2026 tillsynsbegäran mail.docx", "A 21120-2026")</f>
        <v/>
      </c>
    </row>
    <row r="38" ht="15" customHeight="1">
      <c r="A38" t="inlineStr">
        <is>
          <t>A 21111-2026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46225</v>
      </c>
      <c r="F38" t="inlineStr">
        <is>
          <t>DALARNAS LÄN</t>
        </is>
      </c>
      <c r="G38" t="inlineStr">
        <is>
          <t>SÄTER</t>
        </is>
      </c>
      <c r="I38" t="n">
        <v>4.6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Fjällig taggsvamp s.str.</t>
        </is>
      </c>
      <c r="W38">
        <f>HYPERLINK("https://klasma.github.io/Logging_2082/artfynd/A 21111-2026 artfynd.xlsx", "A 21111-2026")</f>
        <v/>
      </c>
      <c r="X38">
        <f>HYPERLINK("https://klasma.github.io/Logging_2082/kartor/A 21111-2026 karta.png", "A 21111-2026")</f>
        <v/>
      </c>
      <c r="Y38">
        <f>HYPERLINK("https://klasma.github.io/Logging_2082/kartor_geotiff/A 21111-2026 georefererad karta.tif", "A 21111-2026")</f>
        <v/>
      </c>
      <c r="AA38">
        <f>HYPERLINK("https://klasma.github.io/Logging_2082/klagomål/A 21111-2026 FSC-klagomål.docx", "A 21111-2026")</f>
        <v/>
      </c>
      <c r="AB38">
        <f>HYPERLINK("https://klasma.github.io/Logging_2082/klagomålsmail/A 21111-2026 FSC-klagomål mail.docx", "A 21111-2026")</f>
        <v/>
      </c>
      <c r="AC38">
        <f>HYPERLINK("https://klasma.github.io/Logging_2082/tillsyn/A 21111-2026 tillsynsbegäran.docx", "A 21111-2026")</f>
        <v/>
      </c>
      <c r="AD38">
        <f>HYPERLINK("https://klasma.github.io/Logging_2082/tillsynsmail/A 21111-2026 tillsynsbegäran mail.docx", "A 21111-2026")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46225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68448-2021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46225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68448-2021 artfynd.xlsx", "A 68448-2021")</f>
        <v/>
      </c>
      <c r="X40">
        <f>HYPERLINK("https://klasma.github.io/Logging_2082/kartor/A 68448-2021 karta.png", "A 68448-2021")</f>
        <v/>
      </c>
      <c r="Y40">
        <f>HYPERLINK("https://klasma.github.io/Logging_2082/kartor_geotiff/A 68448-2021 georefererad karta.tif", "A 68448-2021")</f>
        <v/>
      </c>
      <c r="Z40">
        <f>HYPERLINK("https://klasma.github.io/Logging_2082/knärot/A 68448-2021 karta knärot.png", "A 68448-2021")</f>
        <v/>
      </c>
      <c r="AA40">
        <f>HYPERLINK("https://klasma.github.io/Logging_2082/klagomål/A 68448-2021 FSC-klagomål.docx", "A 68448-2021")</f>
        <v/>
      </c>
      <c r="AB40">
        <f>HYPERLINK("https://klasma.github.io/Logging_2082/klagomålsmail/A 68448-2021 FSC-klagomål mail.docx", "A 68448-2021")</f>
        <v/>
      </c>
      <c r="AC40">
        <f>HYPERLINK("https://klasma.github.io/Logging_2082/tillsyn/A 68448-2021 tillsynsbegäran.docx", "A 68448-2021")</f>
        <v/>
      </c>
      <c r="AD40">
        <f>HYPERLINK("https://klasma.github.io/Logging_2082/tillsynsmail/A 68448-2021 tillsynsbegäran mail.docx", "A 68448-2021")</f>
        <v/>
      </c>
    </row>
    <row r="41" ht="15" customHeight="1">
      <c r="A41" t="inlineStr">
        <is>
          <t>A 9682-2025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45716</v>
      </c>
      <c r="E41" s="1" t="n">
        <v>46225</v>
      </c>
      <c r="F41" t="inlineStr">
        <is>
          <t>DALARNAS LÄN</t>
        </is>
      </c>
      <c r="G41" t="inlineStr">
        <is>
          <t>SÄTER</t>
        </is>
      </c>
      <c r="I41" t="n">
        <v>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Ögonpyrola</t>
        </is>
      </c>
      <c r="W41">
        <f>HYPERLINK("https://klasma.github.io/Logging_2082/artfynd/A 9682-2025 artfynd.xlsx", "A 9682-2025")</f>
        <v/>
      </c>
      <c r="X41">
        <f>HYPERLINK("https://klasma.github.io/Logging_2082/kartor/A 9682-2025 karta.png", "A 9682-2025")</f>
        <v/>
      </c>
      <c r="Y41">
        <f>HYPERLINK("https://klasma.github.io/Logging_2082/kartor_geotiff/A 9682-2025 georefererad karta.tif", "A 9682-2025")</f>
        <v/>
      </c>
      <c r="AA41">
        <f>HYPERLINK("https://klasma.github.io/Logging_2082/klagomål/A 9682-2025 FSC-klagomål.docx", "A 9682-2025")</f>
        <v/>
      </c>
      <c r="AB41">
        <f>HYPERLINK("https://klasma.github.io/Logging_2082/klagomålsmail/A 9682-2025 FSC-klagomål mail.docx", "A 9682-2025")</f>
        <v/>
      </c>
      <c r="AC41">
        <f>HYPERLINK("https://klasma.github.io/Logging_2082/tillsyn/A 9682-2025 tillsynsbegäran.docx", "A 9682-2025")</f>
        <v/>
      </c>
      <c r="AD41">
        <f>HYPERLINK("https://klasma.github.io/Logging_2082/tillsynsmail/A 9682-2025 tillsynsbegäran mail.docx", "A 9682-2025")</f>
        <v/>
      </c>
    </row>
    <row r="42" ht="15" customHeight="1">
      <c r="A42" t="inlineStr">
        <is>
          <t>A 39406-2024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45551</v>
      </c>
      <c r="E42" s="1" t="n">
        <v>46225</v>
      </c>
      <c r="F42" t="inlineStr">
        <is>
          <t>DALARNAS LÄN</t>
        </is>
      </c>
      <c r="G42" t="inlineStr">
        <is>
          <t>SÄTER</t>
        </is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Sotriska</t>
        </is>
      </c>
      <c r="W42">
        <f>HYPERLINK("https://klasma.github.io/Logging_2082/artfynd/A 39406-2024 artfynd.xlsx", "A 39406-2024")</f>
        <v/>
      </c>
      <c r="X42">
        <f>HYPERLINK("https://klasma.github.io/Logging_2082/kartor/A 39406-2024 karta.png", "A 39406-2024")</f>
        <v/>
      </c>
      <c r="Y42">
        <f>HYPERLINK("https://klasma.github.io/Logging_2082/kartor_geotiff/A 39406-2024 georefererad karta.tif", "A 39406-2024")</f>
        <v/>
      </c>
      <c r="AA42">
        <f>HYPERLINK("https://klasma.github.io/Logging_2082/klagomål/A 39406-2024 FSC-klagomål.docx", "A 39406-2024")</f>
        <v/>
      </c>
      <c r="AB42">
        <f>HYPERLINK("https://klasma.github.io/Logging_2082/klagomålsmail/A 39406-2024 FSC-klagomål mail.docx", "A 39406-2024")</f>
        <v/>
      </c>
      <c r="AC42">
        <f>HYPERLINK("https://klasma.github.io/Logging_2082/tillsyn/A 39406-2024 tillsynsbegäran.docx", "A 39406-2024")</f>
        <v/>
      </c>
      <c r="AD42">
        <f>HYPERLINK("https://klasma.github.io/Logging_2082/tillsynsmail/A 39406-2024 tillsynsbegäran mail.docx", "A 39406-2024")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46225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44992-2024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45575</v>
      </c>
      <c r="E44" s="1" t="n">
        <v>46225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9.9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HYPERLINK("https://klasma.github.io/Logging_2082/artfynd/A 44992-2024 artfynd.xlsx", "A 44992-2024")</f>
        <v/>
      </c>
      <c r="X44">
        <f>HYPERLINK("https://klasma.github.io/Logging_2082/kartor/A 44992-2024 karta.png", "A 44992-2024")</f>
        <v/>
      </c>
      <c r="Y44">
        <f>HYPERLINK("https://klasma.github.io/Logging_2082/kartor_geotiff/A 44992-2024 georefererad karta.tif", "A 44992-2024")</f>
        <v/>
      </c>
      <c r="AA44">
        <f>HYPERLINK("https://klasma.github.io/Logging_2082/klagomål/A 44992-2024 FSC-klagomål.docx", "A 44992-2024")</f>
        <v/>
      </c>
      <c r="AB44">
        <f>HYPERLINK("https://klasma.github.io/Logging_2082/klagomålsmail/A 44992-2024 FSC-klagomål mail.docx", "A 44992-2024")</f>
        <v/>
      </c>
      <c r="AC44">
        <f>HYPERLINK("https://klasma.github.io/Logging_2082/tillsyn/A 44992-2024 tillsynsbegäran.docx", "A 44992-2024")</f>
        <v/>
      </c>
      <c r="AD44">
        <f>HYPERLINK("https://klasma.github.io/Logging_2082/tillsynsmail/A 44992-2024 tillsynsbegäran mail.docx", "A 44992-2024")</f>
        <v/>
      </c>
    </row>
    <row r="45" ht="15" customHeight="1">
      <c r="A45" t="inlineStr">
        <is>
          <t>A 47064-2021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46225</v>
      </c>
      <c r="F45" t="inlineStr">
        <is>
          <t>DALARNAS LÄN</t>
        </is>
      </c>
      <c r="G45" t="inlineStr">
        <is>
          <t>SÄTER</t>
        </is>
      </c>
      <c r="I45" t="n">
        <v>2.9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Sädesärla</t>
        </is>
      </c>
      <c r="W45">
        <f>HYPERLINK("https://klasma.github.io/Logging_2082/artfynd/A 47064-2021 artfynd.xlsx", "A 47064-2021")</f>
        <v/>
      </c>
      <c r="X45">
        <f>HYPERLINK("https://klasma.github.io/Logging_2082/kartor/A 47064-2021 karta.png", "A 47064-2021")</f>
        <v/>
      </c>
      <c r="Y45">
        <f>HYPERLINK("https://klasma.github.io/Logging_2082/kartor_geotiff/A 47064-2021 georefererad karta.tif", "A 47064-2021")</f>
        <v/>
      </c>
      <c r="AA45">
        <f>HYPERLINK("https://klasma.github.io/Logging_2082/klagomål/A 47064-2021 FSC-klagomål.docx", "A 47064-2021")</f>
        <v/>
      </c>
      <c r="AB45">
        <f>HYPERLINK("https://klasma.github.io/Logging_2082/klagomålsmail/A 47064-2021 FSC-klagomål mail.docx", "A 47064-2021")</f>
        <v/>
      </c>
      <c r="AC45">
        <f>HYPERLINK("https://klasma.github.io/Logging_2082/tillsyn/A 47064-2021 tillsynsbegäran.docx", "A 47064-2021")</f>
        <v/>
      </c>
      <c r="AD45">
        <f>HYPERLINK("https://klasma.github.io/Logging_2082/tillsynsmail/A 47064-2021 tillsynsbegäran mail.docx", "A 47064-2021")</f>
        <v/>
      </c>
      <c r="AE45">
        <f>HYPERLINK("https://klasma.github.io/Logging_2082/fåglar/A 47064-2021 prioriterade fågelarter.docx", "A 47064-2021")</f>
        <v/>
      </c>
    </row>
    <row r="46" ht="15" customHeight="1">
      <c r="A46" t="inlineStr">
        <is>
          <t>A 27715-2023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46225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HYPERLINK("https://klasma.github.io/Logging_2082/artfynd/A 27715-2023 artfynd.xlsx", "A 27715-2023")</f>
        <v/>
      </c>
      <c r="X46">
        <f>HYPERLINK("https://klasma.github.io/Logging_2082/kartor/A 27715-2023 karta.png", "A 27715-2023")</f>
        <v/>
      </c>
      <c r="Y46">
        <f>HYPERLINK("https://klasma.github.io/Logging_2082/kartor_geotiff/A 27715-2023 georefererad karta.tif", "A 27715-2023")</f>
        <v/>
      </c>
      <c r="AA46">
        <f>HYPERLINK("https://klasma.github.io/Logging_2082/klagomål/A 27715-2023 FSC-klagomål.docx", "A 27715-2023")</f>
        <v/>
      </c>
      <c r="AB46">
        <f>HYPERLINK("https://klasma.github.io/Logging_2082/klagomålsmail/A 27715-2023 FSC-klagomål mail.docx", "A 27715-2023")</f>
        <v/>
      </c>
      <c r="AC46">
        <f>HYPERLINK("https://klasma.github.io/Logging_2082/tillsyn/A 27715-2023 tillsynsbegäran.docx", "A 27715-2023")</f>
        <v/>
      </c>
      <c r="AD46">
        <f>HYPERLINK("https://klasma.github.io/Logging_2082/tillsynsmail/A 27715-2023 tillsynsbegäran mail.docx", "A 27715-2023")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46225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46225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46225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46225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46225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46225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46225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46225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46225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46225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46225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46225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46225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46225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46225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46225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46225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46225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46225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46225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46225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46225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46225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46225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46225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46225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46225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46225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46225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46225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46225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16901-2024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46225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46225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46225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46225</v>
      </c>
      <c r="F81" t="inlineStr">
        <is>
          <t>DALARNAS LÄN</t>
        </is>
      </c>
      <c r="G81" t="inlineStr">
        <is>
          <t>SÄTER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45321</v>
      </c>
      <c r="E82" s="1" t="n">
        <v>46225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46225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46225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46225</v>
      </c>
      <c r="F85" t="inlineStr">
        <is>
          <t>DALARNAS LÄN</t>
        </is>
      </c>
      <c r="G85" t="inlineStr">
        <is>
          <t>SÄTER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46225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46225</v>
      </c>
      <c r="F87" t="inlineStr">
        <is>
          <t>DALARNAS LÄN</t>
        </is>
      </c>
      <c r="G87" t="inlineStr">
        <is>
          <t>SÄTER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46225</v>
      </c>
      <c r="F88" t="inlineStr">
        <is>
          <t>DALARNAS LÄN</t>
        </is>
      </c>
      <c r="G88" t="inlineStr">
        <is>
          <t>SÄTER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46225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46225</v>
      </c>
      <c r="F90" t="inlineStr">
        <is>
          <t>DALARNAS LÄN</t>
        </is>
      </c>
      <c r="G90" t="inlineStr">
        <is>
          <t>SÄTER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16840-2024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46225</v>
      </c>
      <c r="F91" t="inlineStr">
        <is>
          <t>DALARNAS LÄN</t>
        </is>
      </c>
      <c r="G91" t="inlineStr">
        <is>
          <t>SÄTER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46225</v>
      </c>
      <c r="F92" t="inlineStr">
        <is>
          <t>DALARNAS LÄN</t>
        </is>
      </c>
      <c r="G92" t="inlineStr">
        <is>
          <t>SÄTER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64610-2023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46225</v>
      </c>
      <c r="F93" t="inlineStr">
        <is>
          <t>DALARNAS LÄN</t>
        </is>
      </c>
      <c r="G93" t="inlineStr">
        <is>
          <t>SÄTER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46225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46225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46027</v>
      </c>
      <c r="E96" s="1" t="n">
        <v>46225</v>
      </c>
      <c r="F96" t="inlineStr">
        <is>
          <t>DALARNAS LÄN</t>
        </is>
      </c>
      <c r="G96" t="inlineStr">
        <is>
          <t>SÄTER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46026</v>
      </c>
      <c r="E97" s="1" t="n">
        <v>46225</v>
      </c>
      <c r="F97" t="inlineStr">
        <is>
          <t>DALARNAS LÄN</t>
        </is>
      </c>
      <c r="G97" t="inlineStr">
        <is>
          <t>SÄTER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46225</v>
      </c>
      <c r="F98" t="inlineStr">
        <is>
          <t>DALARNAS LÄN</t>
        </is>
      </c>
      <c r="G98" t="inlineStr">
        <is>
          <t>SÄTER</t>
        </is>
      </c>
      <c r="I98" t="n">
        <v>10.8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987-2026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46030</v>
      </c>
      <c r="E99" s="1" t="n">
        <v>46225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46225</v>
      </c>
      <c r="F100" t="inlineStr">
        <is>
          <t>DALARNAS LÄN</t>
        </is>
      </c>
      <c r="G100" t="inlineStr">
        <is>
          <t>SÄTER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46225</v>
      </c>
      <c r="F101" t="inlineStr">
        <is>
          <t>DALARNAS LÄN</t>
        </is>
      </c>
      <c r="G101" t="inlineStr">
        <is>
          <t>SÄTER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46031</v>
      </c>
      <c r="E102" s="1" t="n">
        <v>46225</v>
      </c>
      <c r="F102" t="inlineStr">
        <is>
          <t>DALARNAS LÄN</t>
        </is>
      </c>
      <c r="G102" t="inlineStr">
        <is>
          <t>SÄTER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46031</v>
      </c>
      <c r="E103" s="1" t="n">
        <v>46225</v>
      </c>
      <c r="F103" t="inlineStr">
        <is>
          <t>DALARNAS LÄN</t>
        </is>
      </c>
      <c r="G103" t="inlineStr">
        <is>
          <t>SÄTER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46031</v>
      </c>
      <c r="E104" s="1" t="n">
        <v>46225</v>
      </c>
      <c r="F104" t="inlineStr">
        <is>
          <t>DALARNAS LÄN</t>
        </is>
      </c>
      <c r="G104" t="inlineStr">
        <is>
          <t>SÄTER</t>
        </is>
      </c>
      <c r="H104" t="inlineStr">
        <is>
          <t>Kommuner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51323-2024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45604</v>
      </c>
      <c r="E105" s="1" t="n">
        <v>46225</v>
      </c>
      <c r="F105" t="inlineStr">
        <is>
          <t>DALARNAS LÄN</t>
        </is>
      </c>
      <c r="G105" t="inlineStr">
        <is>
          <t>SÄTER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46225</v>
      </c>
      <c r="F106" t="inlineStr">
        <is>
          <t>DALARNAS LÄN</t>
        </is>
      </c>
      <c r="G106" t="inlineStr">
        <is>
          <t>SÄTER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46225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46225</v>
      </c>
      <c r="F108" t="inlineStr">
        <is>
          <t>DALARNAS LÄN</t>
        </is>
      </c>
      <c r="G108" t="inlineStr">
        <is>
          <t>SÄTER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46225</v>
      </c>
      <c r="F109" t="inlineStr">
        <is>
          <t>DALARNAS LÄN</t>
        </is>
      </c>
      <c r="G109" t="inlineStr">
        <is>
          <t>SÄTER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46225</v>
      </c>
      <c r="F110" t="inlineStr">
        <is>
          <t>DALARNAS LÄN</t>
        </is>
      </c>
      <c r="G110" t="inlineStr">
        <is>
          <t>SÄTER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46225</v>
      </c>
      <c r="F111" t="inlineStr">
        <is>
          <t>DALARNAS LÄN</t>
        </is>
      </c>
      <c r="G111" t="inlineStr">
        <is>
          <t>SÄTER</t>
        </is>
      </c>
      <c r="I111" t="n">
        <v>10.9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46225</v>
      </c>
      <c r="F112" t="inlineStr">
        <is>
          <t>DALARNAS LÄN</t>
        </is>
      </c>
      <c r="G112" t="inlineStr">
        <is>
          <t>SÄTER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46225</v>
      </c>
      <c r="F113" t="inlineStr">
        <is>
          <t>DALARNAS LÄN</t>
        </is>
      </c>
      <c r="G113" t="inlineStr">
        <is>
          <t>SÄTER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46225</v>
      </c>
      <c r="F114" t="inlineStr">
        <is>
          <t>DALARNAS LÄN</t>
        </is>
      </c>
      <c r="G114" t="inlineStr">
        <is>
          <t>SÄTER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46225</v>
      </c>
      <c r="F115" t="inlineStr">
        <is>
          <t>DALARNAS LÄN</t>
        </is>
      </c>
      <c r="G115" t="inlineStr">
        <is>
          <t>SÄTER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46225</v>
      </c>
      <c r="F116" t="inlineStr">
        <is>
          <t>DALARNAS LÄN</t>
        </is>
      </c>
      <c r="G116" t="inlineStr">
        <is>
          <t>SÄTER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46225</v>
      </c>
      <c r="F117" t="inlineStr">
        <is>
          <t>DALARNAS LÄN</t>
        </is>
      </c>
      <c r="G117" t="inlineStr">
        <is>
          <t>SÄTER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46225</v>
      </c>
      <c r="F118" t="inlineStr">
        <is>
          <t>DALARNAS LÄN</t>
        </is>
      </c>
      <c r="G118" t="inlineStr">
        <is>
          <t>SÄTER</t>
        </is>
      </c>
      <c r="I118" t="n">
        <v>10.6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3445-2026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46042</v>
      </c>
      <c r="E119" s="1" t="n">
        <v>46225</v>
      </c>
      <c r="F119" t="inlineStr">
        <is>
          <t>DALARNAS LÄN</t>
        </is>
      </c>
      <c r="G119" t="inlineStr">
        <is>
          <t>SÄTER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46225</v>
      </c>
      <c r="F120" t="inlineStr">
        <is>
          <t>DALARNAS LÄN</t>
        </is>
      </c>
      <c r="G120" t="inlineStr">
        <is>
          <t>SÄTER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46225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46225</v>
      </c>
      <c r="F122" t="inlineStr">
        <is>
          <t>DALARNAS LÄN</t>
        </is>
      </c>
      <c r="G122" t="inlineStr">
        <is>
          <t>SÄTER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46225</v>
      </c>
      <c r="F123" t="inlineStr">
        <is>
          <t>DALARNAS LÄN</t>
        </is>
      </c>
      <c r="G123" t="inlineStr">
        <is>
          <t>SÄTER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28852-2025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46225</v>
      </c>
      <c r="F124" t="inlineStr">
        <is>
          <t>DALARNAS LÄN</t>
        </is>
      </c>
      <c r="G124" t="inlineStr">
        <is>
          <t>SÄTER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45971</v>
      </c>
      <c r="E125" s="1" t="n">
        <v>46225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46225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46225</v>
      </c>
      <c r="F127" t="inlineStr">
        <is>
          <t>DALARNAS LÄN</t>
        </is>
      </c>
      <c r="G127" t="inlineStr">
        <is>
          <t>SÄTER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46225</v>
      </c>
      <c r="F128" t="inlineStr">
        <is>
          <t>DALARNAS LÄN</t>
        </is>
      </c>
      <c r="G128" t="inlineStr">
        <is>
          <t>SÄTER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46225</v>
      </c>
      <c r="F129" t="inlineStr">
        <is>
          <t>DALARNAS LÄN</t>
        </is>
      </c>
      <c r="G129" t="inlineStr">
        <is>
          <t>SÄTER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46225</v>
      </c>
      <c r="F130" t="inlineStr">
        <is>
          <t>DALARNAS LÄN</t>
        </is>
      </c>
      <c r="G130" t="inlineStr">
        <is>
          <t>SÄTER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46225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46225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8355-2026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46064</v>
      </c>
      <c r="E133" s="1" t="n">
        <v>46225</v>
      </c>
      <c r="F133" t="inlineStr">
        <is>
          <t>DALARNAS LÄN</t>
        </is>
      </c>
      <c r="G133" t="inlineStr">
        <is>
          <t>SÄTER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46065</v>
      </c>
      <c r="E134" s="1" t="n">
        <v>46225</v>
      </c>
      <c r="F134" t="inlineStr">
        <is>
          <t>DALARNAS LÄN</t>
        </is>
      </c>
      <c r="G134" t="inlineStr">
        <is>
          <t>SÄTER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46225</v>
      </c>
      <c r="F135" t="inlineStr">
        <is>
          <t>DALARNAS LÄN</t>
        </is>
      </c>
      <c r="G135" t="inlineStr">
        <is>
          <t>SÄTER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46225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46076</v>
      </c>
      <c r="E137" s="1" t="n">
        <v>46225</v>
      </c>
      <c r="F137" t="inlineStr">
        <is>
          <t>DALARNAS LÄN</t>
        </is>
      </c>
      <c r="G137" t="inlineStr">
        <is>
          <t>SÄTER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46225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46076</v>
      </c>
      <c r="E139" s="1" t="n">
        <v>46225</v>
      </c>
      <c r="F139" t="inlineStr">
        <is>
          <t>DALARNAS LÄN</t>
        </is>
      </c>
      <c r="G139" t="inlineStr">
        <is>
          <t>SÄTER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44595</v>
      </c>
      <c r="E140" s="1" t="n">
        <v>46225</v>
      </c>
      <c r="F140" t="inlineStr">
        <is>
          <t>DALARNAS LÄN</t>
        </is>
      </c>
      <c r="G140" t="inlineStr">
        <is>
          <t>SÄTER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46225</v>
      </c>
      <c r="F141" t="inlineStr">
        <is>
          <t>DALARNAS LÄN</t>
        </is>
      </c>
      <c r="G141" t="inlineStr">
        <is>
          <t>SÄTER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46083</v>
      </c>
      <c r="E142" s="1" t="n">
        <v>46225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46225</v>
      </c>
      <c r="F143" t="inlineStr">
        <is>
          <t>DALARNAS LÄN</t>
        </is>
      </c>
      <c r="G143" t="inlineStr">
        <is>
          <t>SÄTER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45855</v>
      </c>
      <c r="E144" s="1" t="n">
        <v>46225</v>
      </c>
      <c r="F144" t="inlineStr">
        <is>
          <t>DALARNAS LÄN</t>
        </is>
      </c>
      <c r="G144" t="inlineStr">
        <is>
          <t>SÄTER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46225</v>
      </c>
      <c r="F145" t="inlineStr">
        <is>
          <t>DALARNAS LÄN</t>
        </is>
      </c>
      <c r="G145" t="inlineStr">
        <is>
          <t>SÄTER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46225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46225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46225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46225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46225</v>
      </c>
      <c r="F150" t="inlineStr">
        <is>
          <t>DALARNAS LÄN</t>
        </is>
      </c>
      <c r="G150" t="inlineStr">
        <is>
          <t>SÄTER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36549-2025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45870</v>
      </c>
      <c r="E151" s="1" t="n">
        <v>46225</v>
      </c>
      <c r="F151" t="inlineStr">
        <is>
          <t>DALARNAS LÄN</t>
        </is>
      </c>
      <c r="G151" t="inlineStr">
        <is>
          <t>SÄTER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46083</v>
      </c>
      <c r="E152" s="1" t="n">
        <v>46225</v>
      </c>
      <c r="F152" t="inlineStr">
        <is>
          <t>DALARNAS LÄN</t>
        </is>
      </c>
      <c r="G152" t="inlineStr">
        <is>
          <t>SÄTER</t>
        </is>
      </c>
      <c r="H152" t="inlineStr">
        <is>
          <t>Kommuner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43725-2021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44433</v>
      </c>
      <c r="E153" s="1" t="n">
        <v>46225</v>
      </c>
      <c r="F153" t="inlineStr">
        <is>
          <t>DALARNAS LÄN</t>
        </is>
      </c>
      <c r="G153" t="inlineStr">
        <is>
          <t>SÄTER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46093</v>
      </c>
      <c r="E154" s="1" t="n">
        <v>46225</v>
      </c>
      <c r="F154" t="inlineStr">
        <is>
          <t>DALARNAS LÄN</t>
        </is>
      </c>
      <c r="G154" t="inlineStr">
        <is>
          <t>SÄTER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46225</v>
      </c>
      <c r="F155" t="inlineStr">
        <is>
          <t>DALARNAS LÄN</t>
        </is>
      </c>
      <c r="G155" t="inlineStr">
        <is>
          <t>SÄTER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46225</v>
      </c>
      <c r="F156" t="inlineStr">
        <is>
          <t>DALARNAS LÄN</t>
        </is>
      </c>
      <c r="G156" t="inlineStr">
        <is>
          <t>SÄTER</t>
        </is>
      </c>
      <c r="I156" t="n">
        <v>9.800000000000001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41556-2021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44425</v>
      </c>
      <c r="E157" s="1" t="n">
        <v>46225</v>
      </c>
      <c r="F157" t="inlineStr">
        <is>
          <t>DALARNAS LÄN</t>
        </is>
      </c>
      <c r="G157" t="inlineStr">
        <is>
          <t>SÄTER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46225</v>
      </c>
      <c r="F158" t="inlineStr">
        <is>
          <t>DALARNAS LÄN</t>
        </is>
      </c>
      <c r="G158" t="inlineStr">
        <is>
          <t>SÄTER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46225</v>
      </c>
      <c r="F159" t="inlineStr">
        <is>
          <t>DALARNAS LÄN</t>
        </is>
      </c>
      <c r="G159" t="inlineStr">
        <is>
          <t>SÄTER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46225</v>
      </c>
      <c r="F160" t="inlineStr">
        <is>
          <t>DALARNAS LÄN</t>
        </is>
      </c>
      <c r="G160" t="inlineStr">
        <is>
          <t>SÄTER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46225</v>
      </c>
      <c r="F161" t="inlineStr">
        <is>
          <t>DALARNAS LÄN</t>
        </is>
      </c>
      <c r="G161" t="inlineStr">
        <is>
          <t>SÄTER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45875</v>
      </c>
      <c r="E162" s="1" t="n">
        <v>46225</v>
      </c>
      <c r="F162" t="inlineStr">
        <is>
          <t>DALARNAS LÄN</t>
        </is>
      </c>
      <c r="G162" t="inlineStr">
        <is>
          <t>SÄTER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46098</v>
      </c>
      <c r="E163" s="1" t="n">
        <v>46225</v>
      </c>
      <c r="F163" t="inlineStr">
        <is>
          <t>DALARNAS LÄN</t>
        </is>
      </c>
      <c r="G163" t="inlineStr">
        <is>
          <t>SÄTER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46225</v>
      </c>
      <c r="F164" t="inlineStr">
        <is>
          <t>DALARNAS LÄN</t>
        </is>
      </c>
      <c r="G164" t="inlineStr">
        <is>
          <t>SÄTER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46098</v>
      </c>
      <c r="E165" s="1" t="n">
        <v>46225</v>
      </c>
      <c r="F165" t="inlineStr">
        <is>
          <t>DALARNAS LÄN</t>
        </is>
      </c>
      <c r="G165" t="inlineStr">
        <is>
          <t>SÄTER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46225</v>
      </c>
      <c r="F166" t="inlineStr">
        <is>
          <t>DALARNAS LÄN</t>
        </is>
      </c>
      <c r="G166" t="inlineStr">
        <is>
          <t>SÄTER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46225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46225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51824-2025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46225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51826-2025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46225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15.1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45138</v>
      </c>
      <c r="E171" s="1" t="n">
        <v>46225</v>
      </c>
      <c r="F171" t="inlineStr">
        <is>
          <t>DALARNAS LÄN</t>
        </is>
      </c>
      <c r="G171" t="inlineStr">
        <is>
          <t>SÄTER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46225</v>
      </c>
      <c r="F172" t="inlineStr">
        <is>
          <t>DALARNAS LÄN</t>
        </is>
      </c>
      <c r="G172" t="inlineStr">
        <is>
          <t>SÄTER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46225</v>
      </c>
      <c r="F173" t="inlineStr">
        <is>
          <t>DALARNAS LÄN</t>
        </is>
      </c>
      <c r="G173" t="inlineStr">
        <is>
          <t>SÄTER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46225</v>
      </c>
      <c r="F174" t="inlineStr">
        <is>
          <t>DALARNAS LÄN</t>
        </is>
      </c>
      <c r="G174" t="inlineStr">
        <is>
          <t>SÄTER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46225</v>
      </c>
      <c r="F175" t="inlineStr">
        <is>
          <t>DALARNAS LÄN</t>
        </is>
      </c>
      <c r="G175" t="inlineStr">
        <is>
          <t>SÄTER</t>
        </is>
      </c>
      <c r="H175" t="inlineStr">
        <is>
          <t>Kommuner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53559-2025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45960</v>
      </c>
      <c r="E176" s="1" t="n">
        <v>46225</v>
      </c>
      <c r="F176" t="inlineStr">
        <is>
          <t>DALARNAS LÄN</t>
        </is>
      </c>
      <c r="G176" t="inlineStr">
        <is>
          <t>SÄTER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46225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46225</v>
      </c>
      <c r="F178" t="inlineStr">
        <is>
          <t>DALARNAS LÄN</t>
        </is>
      </c>
      <c r="G178" t="inlineStr">
        <is>
          <t>SÄTER</t>
        </is>
      </c>
      <c r="I178" t="n">
        <v>15.2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53878-2025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46225</v>
      </c>
      <c r="F179" t="inlineStr">
        <is>
          <t>DALARNAS LÄN</t>
        </is>
      </c>
      <c r="G179" t="inlineStr">
        <is>
          <t>SÄTER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46225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46225</v>
      </c>
      <c r="F181" t="inlineStr">
        <is>
          <t>DALARNAS LÄN</t>
        </is>
      </c>
      <c r="G181" t="inlineStr">
        <is>
          <t>SÄTER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46092</v>
      </c>
      <c r="E182" s="1" t="n">
        <v>46225</v>
      </c>
      <c r="F182" t="inlineStr">
        <is>
          <t>DALARNAS LÄN</t>
        </is>
      </c>
      <c r="G182" t="inlineStr">
        <is>
          <t>SÄTER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46225</v>
      </c>
      <c r="F183" t="inlineStr">
        <is>
          <t>DALARNAS LÄN</t>
        </is>
      </c>
      <c r="G183" t="inlineStr">
        <is>
          <t>SÄTER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46225</v>
      </c>
      <c r="F184" t="inlineStr">
        <is>
          <t>DALARNAS LÄN</t>
        </is>
      </c>
      <c r="G184" t="inlineStr">
        <is>
          <t>SÄTER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39262-2021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44413</v>
      </c>
      <c r="E185" s="1" t="n">
        <v>46225</v>
      </c>
      <c r="F185" t="inlineStr">
        <is>
          <t>DALARNAS LÄN</t>
        </is>
      </c>
      <c r="G185" t="inlineStr">
        <is>
          <t>SÄTER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46225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46225</v>
      </c>
      <c r="F187" t="inlineStr">
        <is>
          <t>DALARNAS LÄN</t>
        </is>
      </c>
      <c r="G187" t="inlineStr">
        <is>
          <t>SÄTER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45638</v>
      </c>
      <c r="E188" s="1" t="n">
        <v>46225</v>
      </c>
      <c r="F188" t="inlineStr">
        <is>
          <t>DALARNAS LÄN</t>
        </is>
      </c>
      <c r="G188" t="inlineStr">
        <is>
          <t>SÄTER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42806-2024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45566</v>
      </c>
      <c r="E189" s="1" t="n">
        <v>46225</v>
      </c>
      <c r="F189" t="inlineStr">
        <is>
          <t>DALARNAS LÄN</t>
        </is>
      </c>
      <c r="G189" t="inlineStr">
        <is>
          <t>SÄTER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46136</v>
      </c>
      <c r="E190" s="1" t="n">
        <v>46225</v>
      </c>
      <c r="F190" t="inlineStr">
        <is>
          <t>DALARNAS LÄN</t>
        </is>
      </c>
      <c r="G190" t="inlineStr">
        <is>
          <t>SÄTER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46225</v>
      </c>
      <c r="F191" t="inlineStr">
        <is>
          <t>DALARNAS LÄN</t>
        </is>
      </c>
      <c r="G191" t="inlineStr">
        <is>
          <t>SÄTER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46225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46225</v>
      </c>
      <c r="F193" t="inlineStr">
        <is>
          <t>DALARNAS LÄN</t>
        </is>
      </c>
      <c r="G193" t="inlineStr">
        <is>
          <t>SÄTER</t>
        </is>
      </c>
      <c r="H193" t="inlineStr">
        <is>
          <t>Kommuner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46073</v>
      </c>
      <c r="E194" s="1" t="n">
        <v>46225</v>
      </c>
      <c r="F194" t="inlineStr">
        <is>
          <t>DALARNAS LÄN</t>
        </is>
      </c>
      <c r="G194" t="inlineStr">
        <is>
          <t>SÄTER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46225</v>
      </c>
      <c r="F195" t="inlineStr">
        <is>
          <t>DALARNAS LÄN</t>
        </is>
      </c>
      <c r="G195" t="inlineStr">
        <is>
          <t>SÄTER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46225</v>
      </c>
      <c r="F196" t="inlineStr">
        <is>
          <t>DALARNAS LÄN</t>
        </is>
      </c>
      <c r="G196" t="inlineStr">
        <is>
          <t>SÄTER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46225</v>
      </c>
      <c r="F197" t="inlineStr">
        <is>
          <t>DALARNAS LÄN</t>
        </is>
      </c>
      <c r="G197" t="inlineStr">
        <is>
          <t>SÄTER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46225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46225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46225</v>
      </c>
      <c r="F200" t="inlineStr">
        <is>
          <t>DALARNAS LÄN</t>
        </is>
      </c>
      <c r="G200" t="inlineStr">
        <is>
          <t>SÄTER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45145</v>
      </c>
      <c r="E201" s="1" t="n">
        <v>46225</v>
      </c>
      <c r="F201" t="inlineStr">
        <is>
          <t>DALARNAS LÄN</t>
        </is>
      </c>
      <c r="G201" t="inlineStr">
        <is>
          <t>SÄTER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46225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46225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46225</v>
      </c>
      <c r="F204" t="inlineStr">
        <is>
          <t>DALARNAS LÄN</t>
        </is>
      </c>
      <c r="G204" t="inlineStr">
        <is>
          <t>SÄTER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45569</v>
      </c>
      <c r="E205" s="1" t="n">
        <v>46225</v>
      </c>
      <c r="F205" t="inlineStr">
        <is>
          <t>DALARNAS LÄN</t>
        </is>
      </c>
      <c r="G205" t="inlineStr">
        <is>
          <t>SÄTER</t>
        </is>
      </c>
      <c r="I205" t="n">
        <v>13.2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46225</v>
      </c>
      <c r="F206" t="inlineStr">
        <is>
          <t>DALARNAS LÄN</t>
        </is>
      </c>
      <c r="G206" t="inlineStr">
        <is>
          <t>SÄTER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45811</v>
      </c>
      <c r="E207" s="1" t="n">
        <v>46225</v>
      </c>
      <c r="F207" t="inlineStr">
        <is>
          <t>DALARNAS LÄN</t>
        </is>
      </c>
      <c r="G207" t="inlineStr">
        <is>
          <t>SÄTER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46225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46225</v>
      </c>
      <c r="F209" t="inlineStr">
        <is>
          <t>DALARNAS LÄN</t>
        </is>
      </c>
      <c r="G209" t="inlineStr">
        <is>
          <t>SÄTER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46225</v>
      </c>
      <c r="F210" t="inlineStr">
        <is>
          <t>DALARNAS LÄN</t>
        </is>
      </c>
      <c r="G210" t="inlineStr">
        <is>
          <t>SÄTER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46043</v>
      </c>
      <c r="E211" s="1" t="n">
        <v>46225</v>
      </c>
      <c r="F211" t="inlineStr">
        <is>
          <t>DALARNAS LÄN</t>
        </is>
      </c>
      <c r="G211" t="inlineStr">
        <is>
          <t>SÄTER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63350-2025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46010</v>
      </c>
      <c r="E212" s="1" t="n">
        <v>46225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46225</v>
      </c>
      <c r="F213" t="inlineStr">
        <is>
          <t>DALARNAS LÄN</t>
        </is>
      </c>
      <c r="G213" t="inlineStr">
        <is>
          <t>SÄTER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46225</v>
      </c>
      <c r="F214" t="inlineStr">
        <is>
          <t>DALARNAS LÄN</t>
        </is>
      </c>
      <c r="G214" t="inlineStr">
        <is>
          <t>SÄTER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46225</v>
      </c>
      <c r="F215" t="inlineStr">
        <is>
          <t>DALARNAS LÄN</t>
        </is>
      </c>
      <c r="G215" t="inlineStr">
        <is>
          <t>SÄTER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46225</v>
      </c>
      <c r="F216" t="inlineStr">
        <is>
          <t>DALARNAS LÄN</t>
        </is>
      </c>
      <c r="G216" t="inlineStr">
        <is>
          <t>SÄTER</t>
        </is>
      </c>
      <c r="H216" t="inlineStr">
        <is>
          <t>Kommuner</t>
        </is>
      </c>
      <c r="I216" t="n">
        <v>42.6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46225</v>
      </c>
      <c r="F217" t="inlineStr">
        <is>
          <t>DALARNAS LÄN</t>
        </is>
      </c>
      <c r="G217" t="inlineStr">
        <is>
          <t>SÄTER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46098</v>
      </c>
      <c r="E218" s="1" t="n">
        <v>46225</v>
      </c>
      <c r="F218" t="inlineStr">
        <is>
          <t>DALARNAS LÄN</t>
        </is>
      </c>
      <c r="G218" t="inlineStr">
        <is>
          <t>SÄTER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49586-2025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45939</v>
      </c>
      <c r="E219" s="1" t="n">
        <v>46225</v>
      </c>
      <c r="F219" t="inlineStr">
        <is>
          <t>DALARNAS LÄN</t>
        </is>
      </c>
      <c r="G219" t="inlineStr">
        <is>
          <t>SÄTER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46225</v>
      </c>
      <c r="F220" t="inlineStr">
        <is>
          <t>DALARNAS LÄN</t>
        </is>
      </c>
      <c r="G220" t="inlineStr">
        <is>
          <t>SÄTER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14931-2024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45398</v>
      </c>
      <c r="E221" s="1" t="n">
        <v>46225</v>
      </c>
      <c r="F221" t="inlineStr">
        <is>
          <t>DALARNAS LÄN</t>
        </is>
      </c>
      <c r="G221" t="inlineStr">
        <is>
          <t>SÄTER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45576</v>
      </c>
      <c r="E222" s="1" t="n">
        <v>46225</v>
      </c>
      <c r="F222" t="inlineStr">
        <is>
          <t>DALARNAS LÄN</t>
        </is>
      </c>
      <c r="G222" t="inlineStr">
        <is>
          <t>SÄTER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46225</v>
      </c>
      <c r="F223" t="inlineStr">
        <is>
          <t>DALARNAS LÄN</t>
        </is>
      </c>
      <c r="G223" t="inlineStr">
        <is>
          <t>SÄTER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46225</v>
      </c>
      <c r="F224" t="inlineStr">
        <is>
          <t>DALARNAS LÄN</t>
        </is>
      </c>
      <c r="G224" t="inlineStr">
        <is>
          <t>SÄTER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42998-2023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45182</v>
      </c>
      <c r="E225" s="1" t="n">
        <v>46225</v>
      </c>
      <c r="F225" t="inlineStr">
        <is>
          <t>DALARNAS LÄN</t>
        </is>
      </c>
      <c r="G225" t="inlineStr">
        <is>
          <t>SÄTER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51320-2024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45604</v>
      </c>
      <c r="E226" s="1" t="n">
        <v>46225</v>
      </c>
      <c r="F226" t="inlineStr">
        <is>
          <t>DALARNAS LÄN</t>
        </is>
      </c>
      <c r="G226" t="inlineStr">
        <is>
          <t>SÄTER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51324-2024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45604</v>
      </c>
      <c r="E227" s="1" t="n">
        <v>46225</v>
      </c>
      <c r="F227" t="inlineStr">
        <is>
          <t>DALARNAS LÄN</t>
        </is>
      </c>
      <c r="G227" t="inlineStr">
        <is>
          <t>SÄTER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21696-2023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46225</v>
      </c>
      <c r="F228" t="inlineStr">
        <is>
          <t>DALARNAS LÄN</t>
        </is>
      </c>
      <c r="G228" t="inlineStr">
        <is>
          <t>SÄTER</t>
        </is>
      </c>
      <c r="H228" t="inlineStr">
        <is>
          <t>Kommuner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46225</v>
      </c>
      <c r="F229" t="inlineStr">
        <is>
          <t>DALARNAS LÄN</t>
        </is>
      </c>
      <c r="G229" t="inlineStr">
        <is>
          <t>SÄTER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46225</v>
      </c>
      <c r="F230" t="inlineStr">
        <is>
          <t>DALARNAS LÄN</t>
        </is>
      </c>
      <c r="G230" t="inlineStr">
        <is>
          <t>SÄTER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56823-2024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46225</v>
      </c>
      <c r="F231" t="inlineStr">
        <is>
          <t>DALARNAS LÄN</t>
        </is>
      </c>
      <c r="G231" t="inlineStr">
        <is>
          <t>SÄTER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46225</v>
      </c>
      <c r="F232" t="inlineStr">
        <is>
          <t>DALARNAS LÄN</t>
        </is>
      </c>
      <c r="G232" t="inlineStr">
        <is>
          <t>SÄTER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46225</v>
      </c>
      <c r="F233" t="inlineStr">
        <is>
          <t>DALARNAS LÄN</t>
        </is>
      </c>
      <c r="G233" t="inlineStr">
        <is>
          <t>SÄTER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59390-2024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46225</v>
      </c>
      <c r="F234" t="inlineStr">
        <is>
          <t>DALARNAS LÄN</t>
        </is>
      </c>
      <c r="G234" t="inlineStr">
        <is>
          <t>SÄTER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45622</v>
      </c>
      <c r="E235" s="1" t="n">
        <v>46225</v>
      </c>
      <c r="F235" t="inlineStr">
        <is>
          <t>DALARNAS LÄN</t>
        </is>
      </c>
      <c r="G235" t="inlineStr">
        <is>
          <t>SÄTER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45638</v>
      </c>
      <c r="E236" s="1" t="n">
        <v>46225</v>
      </c>
      <c r="F236" t="inlineStr">
        <is>
          <t>DALARNAS LÄN</t>
        </is>
      </c>
      <c r="G236" t="inlineStr">
        <is>
          <t>SÄTER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45636</v>
      </c>
      <c r="E237" s="1" t="n">
        <v>46225</v>
      </c>
      <c r="F237" t="inlineStr">
        <is>
          <t>DALARNAS LÄN</t>
        </is>
      </c>
      <c r="G237" t="inlineStr">
        <is>
          <t>SÄTER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46225</v>
      </c>
      <c r="F238" t="inlineStr">
        <is>
          <t>DALARNAS LÄN</t>
        </is>
      </c>
      <c r="G238" t="inlineStr">
        <is>
          <t>SÄTER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46191</v>
      </c>
      <c r="E239" s="1" t="n">
        <v>46225</v>
      </c>
      <c r="F239" t="inlineStr">
        <is>
          <t>DALARNAS LÄN</t>
        </is>
      </c>
      <c r="G239" t="inlineStr">
        <is>
          <t>SÄTER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45604</v>
      </c>
      <c r="E240" s="1" t="n">
        <v>46225</v>
      </c>
      <c r="F240" t="inlineStr">
        <is>
          <t>DALARNAS LÄN</t>
        </is>
      </c>
      <c r="G240" t="inlineStr">
        <is>
          <t>SÄTER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22028-2026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46225</v>
      </c>
      <c r="F241" t="inlineStr">
        <is>
          <t>DALARNAS LÄN</t>
        </is>
      </c>
      <c r="G241" t="inlineStr">
        <is>
          <t>SÄTER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22148-2026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46153</v>
      </c>
      <c r="E242" s="1" t="n">
        <v>46225</v>
      </c>
      <c r="F242" t="inlineStr">
        <is>
          <t>DALARNAS LÄN</t>
        </is>
      </c>
      <c r="G242" t="inlineStr">
        <is>
          <t>SÄTER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46196</v>
      </c>
      <c r="E243" s="1" t="n">
        <v>46225</v>
      </c>
      <c r="F243" t="inlineStr">
        <is>
          <t>DALARNAS LÄN</t>
        </is>
      </c>
      <c r="G243" t="inlineStr">
        <is>
          <t>SÄTER</t>
        </is>
      </c>
      <c r="H243" t="inlineStr">
        <is>
          <t>Sveaskog</t>
        </is>
      </c>
      <c r="I243" t="n">
        <v>19.8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46225</v>
      </c>
      <c r="F244" t="inlineStr">
        <is>
          <t>DALARNAS LÄN</t>
        </is>
      </c>
      <c r="G244" t="inlineStr">
        <is>
          <t>SÄTER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46225</v>
      </c>
      <c r="F245" t="inlineStr">
        <is>
          <t>DALARNAS LÄN</t>
        </is>
      </c>
      <c r="G245" t="inlineStr">
        <is>
          <t>SÄTER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46225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28549-2022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44748</v>
      </c>
      <c r="E247" s="1" t="n">
        <v>46225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46225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46225</v>
      </c>
      <c r="F249" t="inlineStr">
        <is>
          <t>DALARNAS LÄN</t>
        </is>
      </c>
      <c r="G249" t="inlineStr">
        <is>
          <t>SÄTER</t>
        </is>
      </c>
      <c r="I249" t="n">
        <v>8.6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45201</v>
      </c>
      <c r="E250" s="1" t="n">
        <v>46225</v>
      </c>
      <c r="F250" t="inlineStr">
        <is>
          <t>DALARNAS LÄN</t>
        </is>
      </c>
      <c r="G250" t="inlineStr">
        <is>
          <t>SÄTER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57416-2022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44896</v>
      </c>
      <c r="E251" s="1" t="n">
        <v>46225</v>
      </c>
      <c r="F251" t="inlineStr">
        <is>
          <t>DALARNAS LÄN</t>
        </is>
      </c>
      <c r="G251" t="inlineStr">
        <is>
          <t>SÄTER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  <c r="Z251">
        <f>HYPERLINK("https://klasma.github.io/Logging_2082/knärot/A 57416-2022 karta knärot.png", "A 57416-2022")</f>
        <v/>
      </c>
      <c r="AA251">
        <f>HYPERLINK("https://klasma.github.io/Logging_2082/klagomål/A 57416-2022 FSC-klagomål.docx", "A 57416-2022")</f>
        <v/>
      </c>
      <c r="AB251">
        <f>HYPERLINK("https://klasma.github.io/Logging_2082/klagomålsmail/A 57416-2022 FSC-klagomål mail.docx", "A 57416-2022")</f>
        <v/>
      </c>
      <c r="AC251">
        <f>HYPERLINK("https://klasma.github.io/Logging_2082/tillsyn/A 57416-2022 tillsynsbegäran.docx", "A 57416-2022")</f>
        <v/>
      </c>
      <c r="AD251">
        <f>HYPERLINK("https://klasma.github.io/Logging_2082/tillsynsmail/A 57416-2022 tillsynsbegäran mail.docx", "A 57416-2022")</f>
        <v/>
      </c>
    </row>
    <row r="252" ht="15" customHeight="1">
      <c r="A252" t="inlineStr">
        <is>
          <t>A 27910-2023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45098</v>
      </c>
      <c r="E252" s="1" t="n">
        <v>46225</v>
      </c>
      <c r="F252" t="inlineStr">
        <is>
          <t>DALARNAS LÄN</t>
        </is>
      </c>
      <c r="G252" t="inlineStr">
        <is>
          <t>SÄTER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46225</v>
      </c>
      <c r="F253" t="inlineStr">
        <is>
          <t>DALARNAS LÄN</t>
        </is>
      </c>
      <c r="G253" t="inlineStr">
        <is>
          <t>SÄTER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46225</v>
      </c>
      <c r="F254" t="inlineStr">
        <is>
          <t>DALARNAS LÄN</t>
        </is>
      </c>
      <c r="G254" t="inlineStr">
        <is>
          <t>SÄTER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33473-2022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44788</v>
      </c>
      <c r="E255" s="1" t="n">
        <v>46225</v>
      </c>
      <c r="F255" t="inlineStr">
        <is>
          <t>DALARNAS LÄN</t>
        </is>
      </c>
      <c r="G255" t="inlineStr">
        <is>
          <t>SÄTER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46225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45236</v>
      </c>
      <c r="E257" s="1" t="n">
        <v>46225</v>
      </c>
      <c r="F257" t="inlineStr">
        <is>
          <t>DALARNAS LÄN</t>
        </is>
      </c>
      <c r="G257" t="inlineStr">
        <is>
          <t>SÄTER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46225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46225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46225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46225</v>
      </c>
      <c r="F261" t="inlineStr">
        <is>
          <t>DALARNAS LÄN</t>
        </is>
      </c>
      <c r="G261" t="inlineStr">
        <is>
          <t>SÄTER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46204</v>
      </c>
      <c r="E262" s="1" t="n">
        <v>46225</v>
      </c>
      <c r="F262" t="inlineStr">
        <is>
          <t>DALARNAS LÄN</t>
        </is>
      </c>
      <c r="G262" t="inlineStr">
        <is>
          <t>SÄTER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46225</v>
      </c>
      <c r="F263" t="inlineStr">
        <is>
          <t>DALARNAS LÄN</t>
        </is>
      </c>
      <c r="G263" t="inlineStr">
        <is>
          <t>SÄTER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69744-2021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44532</v>
      </c>
      <c r="E264" s="1" t="n">
        <v>46225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46225</v>
      </c>
      <c r="F265" t="inlineStr">
        <is>
          <t>DALARNAS LÄN</t>
        </is>
      </c>
      <c r="G265" t="inlineStr">
        <is>
          <t>SÄTER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46211</v>
      </c>
      <c r="E266" s="1" t="n">
        <v>46225</v>
      </c>
      <c r="F266" t="inlineStr">
        <is>
          <t>DALARNAS LÄN</t>
        </is>
      </c>
      <c r="G266" t="inlineStr">
        <is>
          <t>SÄTER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45411</v>
      </c>
      <c r="E267" s="1" t="n">
        <v>46225</v>
      </c>
      <c r="F267" t="inlineStr">
        <is>
          <t>DALARNAS LÄN</t>
        </is>
      </c>
      <c r="G267" t="inlineStr">
        <is>
          <t>SÄTER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45161-2021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44439</v>
      </c>
      <c r="E268" s="1" t="n">
        <v>46225</v>
      </c>
      <c r="F268" t="inlineStr">
        <is>
          <t>DALARNAS LÄN</t>
        </is>
      </c>
      <c r="G268" t="inlineStr">
        <is>
          <t>SÄTER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46225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45342</v>
      </c>
      <c r="E270" s="1" t="n">
        <v>46225</v>
      </c>
      <c r="F270" t="inlineStr">
        <is>
          <t>DALARNAS LÄN</t>
        </is>
      </c>
      <c r="G270" t="inlineStr">
        <is>
          <t>SÄTER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46225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41564-2021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44425</v>
      </c>
      <c r="E272" s="1" t="n">
        <v>46225</v>
      </c>
      <c r="F272" t="inlineStr">
        <is>
          <t>DALARNAS LÄN</t>
        </is>
      </c>
      <c r="G272" t="inlineStr">
        <is>
          <t>SÄTER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46225</v>
      </c>
      <c r="F273" t="inlineStr">
        <is>
          <t>DALARNAS LÄN</t>
        </is>
      </c>
      <c r="G273" t="inlineStr">
        <is>
          <t>SÄTER</t>
        </is>
      </c>
      <c r="H273" t="inlineStr">
        <is>
          <t>Kommuner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45527</v>
      </c>
      <c r="E274" s="1" t="n">
        <v>46225</v>
      </c>
      <c r="F274" t="inlineStr">
        <is>
          <t>DALARNAS LÄN</t>
        </is>
      </c>
      <c r="G274" t="inlineStr">
        <is>
          <t>SÄTER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45330</v>
      </c>
      <c r="E275" s="1" t="n">
        <v>46225</v>
      </c>
      <c r="F275" t="inlineStr">
        <is>
          <t>DALARNAS LÄN</t>
        </is>
      </c>
      <c r="G275" t="inlineStr">
        <is>
          <t>SÄTER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45140</v>
      </c>
      <c r="E276" s="1" t="n">
        <v>46225</v>
      </c>
      <c r="F276" t="inlineStr">
        <is>
          <t>DALARNAS LÄN</t>
        </is>
      </c>
      <c r="G276" t="inlineStr">
        <is>
          <t>SÄTER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52220-2021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44462</v>
      </c>
      <c r="E277" s="1" t="n">
        <v>46225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46225</v>
      </c>
      <c r="F278" t="inlineStr">
        <is>
          <t>DALARNAS LÄN</t>
        </is>
      </c>
      <c r="G278" t="inlineStr">
        <is>
          <t>SÄTER</t>
        </is>
      </c>
      <c r="H278" t="inlineStr">
        <is>
          <t>Övriga statliga verk och myndigheter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10285-2026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46225</v>
      </c>
      <c r="F279" t="inlineStr">
        <is>
          <t>DALARNAS LÄN</t>
        </is>
      </c>
      <c r="G279" t="inlineStr">
        <is>
          <t>SÄTER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45953</v>
      </c>
      <c r="E280" s="1" t="n">
        <v>46225</v>
      </c>
      <c r="F280" t="inlineStr">
        <is>
          <t>DALARNAS LÄN</t>
        </is>
      </c>
      <c r="G280" t="inlineStr">
        <is>
          <t>SÄTER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45216</v>
      </c>
      <c r="E281" s="1" t="n">
        <v>46225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44572</v>
      </c>
      <c r="E282" s="1" t="n">
        <v>46225</v>
      </c>
      <c r="F282" t="inlineStr">
        <is>
          <t>DALARNAS LÄN</t>
        </is>
      </c>
      <c r="G282" t="inlineStr">
        <is>
          <t>SÄTER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45665</v>
      </c>
      <c r="E283" s="1" t="n">
        <v>46225</v>
      </c>
      <c r="F283" t="inlineStr">
        <is>
          <t>DALARNAS LÄN</t>
        </is>
      </c>
      <c r="G283" t="inlineStr">
        <is>
          <t>SÄTER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29635-2024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45484</v>
      </c>
      <c r="E284" s="1" t="n">
        <v>46225</v>
      </c>
      <c r="F284" t="inlineStr">
        <is>
          <t>DALARNAS LÄN</t>
        </is>
      </c>
      <c r="G284" t="inlineStr">
        <is>
          <t>SÄTER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45771</v>
      </c>
      <c r="E285" s="1" t="n">
        <v>46225</v>
      </c>
      <c r="F285" t="inlineStr">
        <is>
          <t>DALARNAS LÄN</t>
        </is>
      </c>
      <c r="G285" t="inlineStr">
        <is>
          <t>SÄTER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44630</v>
      </c>
      <c r="E286" s="1" t="n">
        <v>46225</v>
      </c>
      <c r="F286" t="inlineStr">
        <is>
          <t>DALARNAS LÄN</t>
        </is>
      </c>
      <c r="G286" t="inlineStr">
        <is>
          <t>SÄTER</t>
        </is>
      </c>
      <c r="I286" t="n">
        <v>10.1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46225</v>
      </c>
      <c r="F287" t="inlineStr">
        <is>
          <t>DALARNAS LÄN</t>
        </is>
      </c>
      <c r="G287" t="inlineStr">
        <is>
          <t>SÄTER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46225</v>
      </c>
      <c r="F288" t="inlineStr">
        <is>
          <t>DALARNAS LÄN</t>
        </is>
      </c>
      <c r="G288" t="inlineStr">
        <is>
          <t>SÄTER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45604</v>
      </c>
      <c r="E289" s="1" t="n">
        <v>46225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45190</v>
      </c>
      <c r="E290" s="1" t="n">
        <v>46225</v>
      </c>
      <c r="F290" t="inlineStr">
        <is>
          <t>DALARNAS LÄN</t>
        </is>
      </c>
      <c r="G290" t="inlineStr">
        <is>
          <t>SÄTER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45427</v>
      </c>
      <c r="E291" s="1" t="n">
        <v>46225</v>
      </c>
      <c r="F291" t="inlineStr">
        <is>
          <t>DALARNAS LÄN</t>
        </is>
      </c>
      <c r="G291" t="inlineStr">
        <is>
          <t>SÄTER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21697-2023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45063</v>
      </c>
      <c r="E292" s="1" t="n">
        <v>46225</v>
      </c>
      <c r="F292" t="inlineStr">
        <is>
          <t>DALARNAS LÄN</t>
        </is>
      </c>
      <c r="G292" t="inlineStr">
        <is>
          <t>SÄTER</t>
        </is>
      </c>
      <c r="H292" t="inlineStr">
        <is>
          <t>Kommuner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19162-2022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44691</v>
      </c>
      <c r="E293" s="1" t="n">
        <v>46225</v>
      </c>
      <c r="F293" t="inlineStr">
        <is>
          <t>DALARNAS LÄN</t>
        </is>
      </c>
      <c r="G293" t="inlineStr">
        <is>
          <t>SÄTER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46225</v>
      </c>
      <c r="F294" t="inlineStr">
        <is>
          <t>DALARNAS LÄN</t>
        </is>
      </c>
      <c r="G294" t="inlineStr">
        <is>
          <t>SÄTER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45232</v>
      </c>
      <c r="E295" s="1" t="n">
        <v>46225</v>
      </c>
      <c r="F295" t="inlineStr">
        <is>
          <t>DALARNAS LÄN</t>
        </is>
      </c>
      <c r="G295" t="inlineStr">
        <is>
          <t>SÄTER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56225-2023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45240</v>
      </c>
      <c r="E296" s="1" t="n">
        <v>46225</v>
      </c>
      <c r="F296" t="inlineStr">
        <is>
          <t>DALARNAS LÄN</t>
        </is>
      </c>
      <c r="G296" t="inlineStr">
        <is>
          <t>SÄTER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46225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44729-2024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46225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55650-2024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46225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46225</v>
      </c>
      <c r="F300" t="inlineStr">
        <is>
          <t>DALARNAS LÄN</t>
        </is>
      </c>
      <c r="G300" t="inlineStr">
        <is>
          <t>SÄTER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18888-2022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44690</v>
      </c>
      <c r="E301" s="1" t="n">
        <v>46225</v>
      </c>
      <c r="F301" t="inlineStr">
        <is>
          <t>DALARNAS LÄN</t>
        </is>
      </c>
      <c r="G301" t="inlineStr">
        <is>
          <t>SÄTER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44727</v>
      </c>
      <c r="E302" s="1" t="n">
        <v>46225</v>
      </c>
      <c r="F302" t="inlineStr">
        <is>
          <t>DALARNAS LÄN</t>
        </is>
      </c>
      <c r="G302" t="inlineStr">
        <is>
          <t>SÄTER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21859-2022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44711</v>
      </c>
      <c r="E303" s="1" t="n">
        <v>46225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45247</v>
      </c>
      <c r="E304" s="1" t="n">
        <v>46225</v>
      </c>
      <c r="F304" t="inlineStr">
        <is>
          <t>DALARNAS LÄN</t>
        </is>
      </c>
      <c r="G304" t="inlineStr">
        <is>
          <t>SÄTER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25690-2022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44732</v>
      </c>
      <c r="E305" s="1" t="n">
        <v>46225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52193-2021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44463</v>
      </c>
      <c r="E306" s="1" t="n">
        <v>46225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46225</v>
      </c>
      <c r="F307" t="inlineStr">
        <is>
          <t>DALARNAS LÄN</t>
        </is>
      </c>
      <c r="G307" t="inlineStr">
        <is>
          <t>SÄTER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44812</v>
      </c>
      <c r="E308" s="1" t="n">
        <v>46225</v>
      </c>
      <c r="F308" t="inlineStr">
        <is>
          <t>DALARNAS LÄN</t>
        </is>
      </c>
      <c r="G308" t="inlineStr">
        <is>
          <t>SÄTER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45265</v>
      </c>
      <c r="E309" s="1" t="n">
        <v>46225</v>
      </c>
      <c r="F309" t="inlineStr">
        <is>
          <t>DALARNAS LÄN</t>
        </is>
      </c>
      <c r="G309" t="inlineStr">
        <is>
          <t>SÄTER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46225</v>
      </c>
      <c r="F310" t="inlineStr">
        <is>
          <t>DALARNAS LÄN</t>
        </is>
      </c>
      <c r="G310" t="inlineStr">
        <is>
          <t>SÄTER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44964</v>
      </c>
      <c r="E311" s="1" t="n">
        <v>46225</v>
      </c>
      <c r="F311" t="inlineStr">
        <is>
          <t>DALARNAS LÄN</t>
        </is>
      </c>
      <c r="G311" t="inlineStr">
        <is>
          <t>SÄTER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46225</v>
      </c>
      <c r="F312" t="inlineStr">
        <is>
          <t>DALARNAS LÄN</t>
        </is>
      </c>
      <c r="G312" t="inlineStr">
        <is>
          <t>SÄTER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45469</v>
      </c>
      <c r="E313" s="1" t="n">
        <v>46225</v>
      </c>
      <c r="F313" t="inlineStr">
        <is>
          <t>DALARNAS LÄN</t>
        </is>
      </c>
      <c r="G313" t="inlineStr">
        <is>
          <t>SÄTER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45520</v>
      </c>
      <c r="E314" s="1" t="n">
        <v>46225</v>
      </c>
      <c r="F314" t="inlineStr">
        <is>
          <t>DALARNAS LÄN</t>
        </is>
      </c>
      <c r="G314" t="inlineStr">
        <is>
          <t>SÄTER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54141-2023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45232</v>
      </c>
      <c r="E315" s="1" t="n">
        <v>46225</v>
      </c>
      <c r="F315" t="inlineStr">
        <is>
          <t>DALARNAS LÄN</t>
        </is>
      </c>
      <c r="G315" t="inlineStr">
        <is>
          <t>SÄTER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44581</v>
      </c>
      <c r="E316" s="1" t="n">
        <v>46225</v>
      </c>
      <c r="F316" t="inlineStr">
        <is>
          <t>DALARNAS LÄN</t>
        </is>
      </c>
      <c r="G316" t="inlineStr">
        <is>
          <t>SÄTER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45432</v>
      </c>
      <c r="E317" s="1" t="n">
        <v>46225</v>
      </c>
      <c r="F317" t="inlineStr">
        <is>
          <t>DALARNAS LÄN</t>
        </is>
      </c>
      <c r="G317" t="inlineStr">
        <is>
          <t>SÄTER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44960</v>
      </c>
      <c r="E318" s="1" t="n">
        <v>46225</v>
      </c>
      <c r="F318" t="inlineStr">
        <is>
          <t>DALARNAS LÄN</t>
        </is>
      </c>
      <c r="G318" t="inlineStr">
        <is>
          <t>SÄTER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44953</v>
      </c>
      <c r="E319" s="1" t="n">
        <v>46225</v>
      </c>
      <c r="F319" t="inlineStr">
        <is>
          <t>DALARNAS LÄN</t>
        </is>
      </c>
      <c r="G319" t="inlineStr">
        <is>
          <t>SÄTER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46559-2021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44445</v>
      </c>
      <c r="E320" s="1" t="n">
        <v>46225</v>
      </c>
      <c r="F320" t="inlineStr">
        <is>
          <t>DALARNAS LÄN</t>
        </is>
      </c>
      <c r="G320" t="inlineStr">
        <is>
          <t>SÄTER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51328-2024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45604</v>
      </c>
      <c r="E321" s="1" t="n">
        <v>46225</v>
      </c>
      <c r="F321" t="inlineStr">
        <is>
          <t>DALARNAS LÄN</t>
        </is>
      </c>
      <c r="G321" t="inlineStr">
        <is>
          <t>SÄTER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51339-2024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45604</v>
      </c>
      <c r="E322" s="1" t="n">
        <v>46225</v>
      </c>
      <c r="F322" t="inlineStr">
        <is>
          <t>DALARNAS LÄN</t>
        </is>
      </c>
      <c r="G322" t="inlineStr">
        <is>
          <t>SÄTER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45546</v>
      </c>
      <c r="E323" s="1" t="n">
        <v>46225</v>
      </c>
      <c r="F323" t="inlineStr">
        <is>
          <t>DALARNAS LÄN</t>
        </is>
      </c>
      <c r="G323" t="inlineStr">
        <is>
          <t>SÄTER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46225</v>
      </c>
      <c r="F324" t="inlineStr">
        <is>
          <t>DALARNAS LÄN</t>
        </is>
      </c>
      <c r="G324" t="inlineStr">
        <is>
          <t>SÄTER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12957-2022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44643</v>
      </c>
      <c r="E325" s="1" t="n">
        <v>46225</v>
      </c>
      <c r="F325" t="inlineStr">
        <is>
          <t>DALARNAS LÄN</t>
        </is>
      </c>
      <c r="G325" t="inlineStr">
        <is>
          <t>SÄTER</t>
        </is>
      </c>
      <c r="I325" t="n">
        <v>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57430-2022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46225</v>
      </c>
      <c r="F326" t="inlineStr">
        <is>
          <t>DALARNAS LÄN</t>
        </is>
      </c>
      <c r="G326" t="inlineStr">
        <is>
          <t>SÄTER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46225</v>
      </c>
      <c r="F327" t="inlineStr">
        <is>
          <t>DALARNAS LÄN</t>
        </is>
      </c>
      <c r="G327" t="inlineStr">
        <is>
          <t>SÄTER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34990-2024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45527</v>
      </c>
      <c r="E328" s="1" t="n">
        <v>46225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34991-2024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45527</v>
      </c>
      <c r="E329" s="1" t="n">
        <v>46225</v>
      </c>
      <c r="F329" t="inlineStr">
        <is>
          <t>DALARNAS LÄN</t>
        </is>
      </c>
      <c r="G329" t="inlineStr">
        <is>
          <t>SÄTER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50187-2024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45599</v>
      </c>
      <c r="E330" s="1" t="n">
        <v>46225</v>
      </c>
      <c r="F330" t="inlineStr">
        <is>
          <t>DALARNAS LÄN</t>
        </is>
      </c>
      <c r="G330" t="inlineStr">
        <is>
          <t>SÄTER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45411</v>
      </c>
      <c r="E331" s="1" t="n">
        <v>46225</v>
      </c>
      <c r="F331" t="inlineStr">
        <is>
          <t>DALARNAS LÄN</t>
        </is>
      </c>
      <c r="G331" t="inlineStr">
        <is>
          <t>SÄTER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56827-2024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45628</v>
      </c>
      <c r="E332" s="1" t="n">
        <v>46225</v>
      </c>
      <c r="F332" t="inlineStr">
        <is>
          <t>DALARNAS LÄN</t>
        </is>
      </c>
      <c r="G332" t="inlineStr">
        <is>
          <t>SÄTER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44982</v>
      </c>
      <c r="E333" s="1" t="n">
        <v>46225</v>
      </c>
      <c r="F333" t="inlineStr">
        <is>
          <t>DALARNAS LÄN</t>
        </is>
      </c>
      <c r="G333" t="inlineStr">
        <is>
          <t>SÄTER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46225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44817</v>
      </c>
      <c r="E335" s="1" t="n">
        <v>46225</v>
      </c>
      <c r="F335" t="inlineStr">
        <is>
          <t>DALARNAS LÄN</t>
        </is>
      </c>
      <c r="G335" t="inlineStr">
        <is>
          <t>SÄTER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21766-2024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45442</v>
      </c>
      <c r="E336" s="1" t="n">
        <v>46225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46225</v>
      </c>
      <c r="F337" t="inlineStr">
        <is>
          <t>DALARNAS LÄN</t>
        </is>
      </c>
      <c r="G337" t="inlineStr">
        <is>
          <t>SÄTER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44784</v>
      </c>
      <c r="E338" s="1" t="n">
        <v>46225</v>
      </c>
      <c r="F338" t="inlineStr">
        <is>
          <t>DALARNAS LÄN</t>
        </is>
      </c>
      <c r="G338" t="inlineStr">
        <is>
          <t>SÄTER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44784</v>
      </c>
      <c r="E339" s="1" t="n">
        <v>46225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45527</v>
      </c>
      <c r="E340" s="1" t="n">
        <v>46225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45268</v>
      </c>
      <c r="E341" s="1" t="n">
        <v>46225</v>
      </c>
      <c r="F341" t="inlineStr">
        <is>
          <t>DALARNAS LÄN</t>
        </is>
      </c>
      <c r="G341" t="inlineStr">
        <is>
          <t>SÄTER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45526</v>
      </c>
      <c r="E342" s="1" t="n">
        <v>46225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44811</v>
      </c>
      <c r="E343" s="1" t="n">
        <v>46225</v>
      </c>
      <c r="F343" t="inlineStr">
        <is>
          <t>DALARNAS LÄN</t>
        </is>
      </c>
      <c r="G343" t="inlineStr">
        <is>
          <t>SÄTER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44978</v>
      </c>
      <c r="E344" s="1" t="n">
        <v>46225</v>
      </c>
      <c r="F344" t="inlineStr">
        <is>
          <t>DALARNAS LÄN</t>
        </is>
      </c>
      <c r="G344" t="inlineStr">
        <is>
          <t>SÄTER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7188-2023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46225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46225</v>
      </c>
      <c r="F346" t="inlineStr">
        <is>
          <t>DALARNAS LÄN</t>
        </is>
      </c>
      <c r="G346" t="inlineStr">
        <is>
          <t>SÄTER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46225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51333-2024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45604</v>
      </c>
      <c r="E348" s="1" t="n">
        <v>46225</v>
      </c>
      <c r="F348" t="inlineStr">
        <is>
          <t>DALARNAS LÄN</t>
        </is>
      </c>
      <c r="G348" t="inlineStr">
        <is>
          <t>SÄTER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45175</v>
      </c>
      <c r="E349" s="1" t="n">
        <v>46225</v>
      </c>
      <c r="F349" t="inlineStr">
        <is>
          <t>DALARNAS LÄN</t>
        </is>
      </c>
      <c r="G349" t="inlineStr">
        <is>
          <t>SÄTER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46225</v>
      </c>
      <c r="F350" t="inlineStr">
        <is>
          <t>DALARNAS LÄN</t>
        </is>
      </c>
      <c r="G350" t="inlineStr">
        <is>
          <t>SÄTER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Z350">
        <f>HYPERLINK("https://klasma.github.io/Logging_2082/knärot/A 498-2025 karta knärot.png", "A 498-2025")</f>
        <v/>
      </c>
      <c r="AA350">
        <f>HYPERLINK("https://klasma.github.io/Logging_2082/klagomål/A 498-2025 FSC-klagomål.docx", "A 498-2025")</f>
        <v/>
      </c>
      <c r="AB350">
        <f>HYPERLINK("https://klasma.github.io/Logging_2082/klagomålsmail/A 498-2025 FSC-klagomål mail.docx", "A 498-2025")</f>
        <v/>
      </c>
      <c r="AC350">
        <f>HYPERLINK("https://klasma.github.io/Logging_2082/tillsyn/A 498-2025 tillsynsbegäran.docx", "A 498-2025")</f>
        <v/>
      </c>
      <c r="AD350">
        <f>HYPERLINK("https://klasma.github.io/Logging_2082/tillsynsmail/A 498-2025 tillsynsbegäran mail.docx", "A 498-2025")</f>
        <v/>
      </c>
    </row>
    <row r="351" ht="15" customHeight="1">
      <c r="A351" t="inlineStr">
        <is>
          <t>A 61344-2023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46225</v>
      </c>
      <c r="F351" t="inlineStr">
        <is>
          <t>DALARNAS LÄN</t>
        </is>
      </c>
      <c r="G351" t="inlineStr">
        <is>
          <t>SÄTER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54312-2023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45232</v>
      </c>
      <c r="E352" s="1" t="n">
        <v>46225</v>
      </c>
      <c r="F352" t="inlineStr">
        <is>
          <t>DALARNAS LÄN</t>
        </is>
      </c>
      <c r="G352" t="inlineStr">
        <is>
          <t>SÄTER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45171</v>
      </c>
      <c r="E353" s="1" t="n">
        <v>46225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46225</v>
      </c>
      <c r="F354" t="inlineStr">
        <is>
          <t>DALARNAS LÄN</t>
        </is>
      </c>
      <c r="G354" t="inlineStr">
        <is>
          <t>SÄTER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45783</v>
      </c>
      <c r="E355" s="1" t="n">
        <v>46225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46225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46225</v>
      </c>
      <c r="F357" t="inlineStr">
        <is>
          <t>DALARNAS LÄN</t>
        </is>
      </c>
      <c r="G357" t="inlineStr">
        <is>
          <t>SÄTER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45790</v>
      </c>
      <c r="E358" s="1" t="n">
        <v>46225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6640-2025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45700</v>
      </c>
      <c r="E359" s="1" t="n">
        <v>46225</v>
      </c>
      <c r="F359" t="inlineStr">
        <is>
          <t>DALARNAS LÄN</t>
        </is>
      </c>
      <c r="G359" t="inlineStr">
        <is>
          <t>SÄTER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45666</v>
      </c>
      <c r="E360" s="1" t="n">
        <v>46225</v>
      </c>
      <c r="F360" t="inlineStr">
        <is>
          <t>DALARNAS LÄN</t>
        </is>
      </c>
      <c r="G360" t="inlineStr">
        <is>
          <t>SÄTER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45365</v>
      </c>
      <c r="E361" s="1" t="n">
        <v>46225</v>
      </c>
      <c r="F361" t="inlineStr">
        <is>
          <t>DALARNAS LÄN</t>
        </is>
      </c>
      <c r="G361" t="inlineStr">
        <is>
          <t>SÄTER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21911-2024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45443</v>
      </c>
      <c r="E362" s="1" t="n">
        <v>46225</v>
      </c>
      <c r="F362" t="inlineStr">
        <is>
          <t>DALARNAS LÄN</t>
        </is>
      </c>
      <c r="G362" t="inlineStr">
        <is>
          <t>SÄTER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45118</v>
      </c>
      <c r="E363" s="1" t="n">
        <v>46225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45462</v>
      </c>
      <c r="E364" s="1" t="n">
        <v>46225</v>
      </c>
      <c r="F364" t="inlineStr">
        <is>
          <t>DALARNAS LÄN</t>
        </is>
      </c>
      <c r="G364" t="inlineStr">
        <is>
          <t>SÄTER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45377</v>
      </c>
      <c r="E365" s="1" t="n">
        <v>46225</v>
      </c>
      <c r="F365" t="inlineStr">
        <is>
          <t>DALARNAS LÄN</t>
        </is>
      </c>
      <c r="G365" t="inlineStr">
        <is>
          <t>SÄTER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46225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46225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46225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46225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46225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46225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46225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46225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46225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2026-07-22T01:37:59Z</dcterms:created>
  <dcterms:modified xmlns:dcterms="http://purl.org/dc/terms/" xmlns:xsi="http://www.w3.org/2001/XMLSchema-instance" xsi:type="dcterms:W3CDTF">2026-07-22T01:37:59Z</dcterms:modified>
</cp:coreProperties>
</file>