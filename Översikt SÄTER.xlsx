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46318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46318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46318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46318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42301-2026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46307</v>
      </c>
      <c r="E8" s="1" t="n">
        <v>46318</v>
      </c>
      <c r="F8" t="inlineStr">
        <is>
          <t>DALARNAS LÄN</t>
        </is>
      </c>
      <c r="G8" t="inlineStr">
        <is>
          <t>SÄTER</t>
        </is>
      </c>
      <c r="I8" t="n">
        <v>6.7</v>
      </c>
      <c r="J8" t="n">
        <v>3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16</v>
      </c>
      <c r="U8" t="n">
        <v>0</v>
      </c>
      <c r="V8" s="2" t="inlineStr">
        <is>
          <t>Dropptaggsvamp
Talltita
Vedskivlav
Mindre märgborre
Spillkråka
Timmerticka
Revlummer</t>
        </is>
      </c>
      <c r="W8">
        <f>HYPERLINK("https://klasma.github.io/Logging_2082/artfynd/A 42301-2026 artfynd.xlsx", "A 42301-2026")</f>
        <v/>
      </c>
      <c r="X8">
        <f>HYPERLINK("https://klasma.github.io/Logging_2082/kartor/A 42301-2026 karta.png", "A 42301-2026")</f>
        <v/>
      </c>
      <c r="Y8">
        <f>HYPERLINK("https://klasma.github.io/Logging_2082/kartor_geotiff/A 42301-2026 georefererad karta.tif", "A 42301-2026")</f>
        <v/>
      </c>
      <c r="AA8">
        <f>HYPERLINK("https://klasma.github.io/Logging_2082/klagomål/A 42301-2026 FSC-klagomål.docx", "A 42301-2026")</f>
        <v/>
      </c>
      <c r="AB8">
        <f>HYPERLINK("https://klasma.github.io/Logging_2082/klagomålsmail/A 42301-2026 FSC-klagomål mail.docx", "A 42301-2026")</f>
        <v/>
      </c>
      <c r="AC8">
        <f>HYPERLINK("https://klasma.github.io/Logging_2082/tillsyn/A 42301-2026 tillsynsbegäran.docx", "A 42301-2026")</f>
        <v/>
      </c>
      <c r="AD8">
        <f>HYPERLINK("https://klasma.github.io/Logging_2082/tillsynsmail/A 42301-2026 tillsynsbegäran mail.docx", "A 42301-2026")</f>
        <v/>
      </c>
      <c r="AE8">
        <f>HYPERLINK("https://klasma.github.io/Logging_2082/fåglar/A 42301-2026 prioriterade fågelarter.docx", "A 42301-2026")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46318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46318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46318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46318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46318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46318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46318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46318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46318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46318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35916-2022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46318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2.6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7</v>
      </c>
      <c r="U19" t="n">
        <v>1</v>
      </c>
      <c r="V19" s="2" t="inlineStr">
        <is>
          <t>Slåttergubbe
Slåtterfibbla
Huggorm</t>
        </is>
      </c>
      <c r="W19">
        <f>HYPERLINK("https://klasma.github.io/Logging_2082/artfynd/A 35916-2022 artfynd.xlsx", "A 35916-2022")</f>
        <v/>
      </c>
      <c r="X19">
        <f>HYPERLINK("https://klasma.github.io/Logging_2082/kartor/A 35916-2022 karta.png", "A 35916-2022")</f>
        <v/>
      </c>
      <c r="Y19">
        <f>HYPERLINK("https://klasma.github.io/Logging_2082/kartor_geotiff/A 35916-2022 georefererad karta.tif", "A 35916-2022")</f>
        <v/>
      </c>
      <c r="AA19">
        <f>HYPERLINK("https://klasma.github.io/Logging_2082/klagomål/A 35916-2022 FSC-klagomål.docx", "A 35916-2022")</f>
        <v/>
      </c>
      <c r="AB19">
        <f>HYPERLINK("https://klasma.github.io/Logging_2082/klagomålsmail/A 35916-2022 FSC-klagomål mail.docx", "A 35916-2022")</f>
        <v/>
      </c>
      <c r="AC19">
        <f>HYPERLINK("https://klasma.github.io/Logging_2082/tillsyn/A 35916-2022 tillsynsbegäran.docx", "A 35916-2022")</f>
        <v/>
      </c>
      <c r="AD19">
        <f>HYPERLINK("https://klasma.github.io/Logging_2082/tillsynsmail/A 35916-2022 tillsynsbegäran mail.docx", "A 35916-2022")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46318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46318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46318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46318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46318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46318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46318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A 16845-2024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45411</v>
      </c>
      <c r="E27" s="1" t="n">
        <v>46318</v>
      </c>
      <c r="F27" t="inlineStr">
        <is>
          <t>DALARNAS LÄN</t>
        </is>
      </c>
      <c r="G27" t="inlineStr">
        <is>
          <t>SÄTER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Järpe
Kungsfågel</t>
        </is>
      </c>
      <c r="W27">
        <f>HYPERLINK("https://klasma.github.io/Logging_2082/artfynd/A 16845-2024 artfynd.xlsx", "A 16845-2024")</f>
        <v/>
      </c>
      <c r="X27">
        <f>HYPERLINK("https://klasma.github.io/Logging_2082/kartor/A 16845-2024 karta.png", "A 16845-2024")</f>
        <v/>
      </c>
      <c r="Y27">
        <f>HYPERLINK("https://klasma.github.io/Logging_2082/kartor_geotiff/A 16845-2024 georefererad karta.tif", "A 16845-2024")</f>
        <v/>
      </c>
      <c r="AA27">
        <f>HYPERLINK("https://klasma.github.io/Logging_2082/klagomål/A 16845-2024 FSC-klagomål.docx", "A 16845-2024")</f>
        <v/>
      </c>
      <c r="AB27">
        <f>HYPERLINK("https://klasma.github.io/Logging_2082/klagomålsmail/A 16845-2024 FSC-klagomål mail.docx", "A 16845-2024")</f>
        <v/>
      </c>
      <c r="AC27">
        <f>HYPERLINK("https://klasma.github.io/Logging_2082/tillsyn/A 16845-2024 tillsynsbegäran.docx", "A 16845-2024")</f>
        <v/>
      </c>
      <c r="AD27">
        <f>HYPERLINK("https://klasma.github.io/Logging_2082/tillsynsmail/A 16845-2024 tillsynsbegäran mail.docx", "A 16845-2024")</f>
        <v/>
      </c>
      <c r="AE27">
        <f>HYPERLINK("https://klasma.github.io/Logging_2082/fåglar/A 16845-2024 prioriterade fågelarter.docx", "A 16845-2024")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46318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46318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46318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33605-2022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46318</v>
      </c>
      <c r="F31" t="inlineStr">
        <is>
          <t>DALARNAS LÄN</t>
        </is>
      </c>
      <c r="G31" t="inlineStr">
        <is>
          <t>SÄTER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Ullticka</t>
        </is>
      </c>
      <c r="W31">
        <f>HYPERLINK("https://klasma.github.io/Logging_2082/artfynd/A 33605-2022 artfynd.xlsx", "A 33605-2022")</f>
        <v/>
      </c>
      <c r="X31">
        <f>HYPERLINK("https://klasma.github.io/Logging_2082/kartor/A 33605-2022 karta.png", "A 33605-2022")</f>
        <v/>
      </c>
      <c r="Y31">
        <f>HYPERLINK("https://klasma.github.io/Logging_2082/kartor_geotiff/A 33605-2022 georefererad karta.tif", "A 33605-2022")</f>
        <v/>
      </c>
      <c r="AA31">
        <f>HYPERLINK("https://klasma.github.io/Logging_2082/klagomål/A 33605-2022 FSC-klagomål.docx", "A 33605-2022")</f>
        <v/>
      </c>
      <c r="AB31">
        <f>HYPERLINK("https://klasma.github.io/Logging_2082/klagomålsmail/A 33605-2022 FSC-klagomål mail.docx", "A 33605-2022")</f>
        <v/>
      </c>
      <c r="AC31">
        <f>HYPERLINK("https://klasma.github.io/Logging_2082/tillsyn/A 33605-2022 tillsynsbegäran.docx", "A 33605-2022")</f>
        <v/>
      </c>
      <c r="AD31">
        <f>HYPERLINK("https://klasma.github.io/Logging_2082/tillsynsmail/A 33605-2022 tillsynsbegäran mail.docx", "A 33605-2022")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46318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46318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39406-2024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45551</v>
      </c>
      <c r="E34" s="1" t="n">
        <v>46318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Sotriska</t>
        </is>
      </c>
      <c r="W34">
        <f>HYPERLINK("https://klasma.github.io/Logging_2082/artfynd/A 39406-2024 artfynd.xlsx", "A 39406-2024")</f>
        <v/>
      </c>
      <c r="X34">
        <f>HYPERLINK("https://klasma.github.io/Logging_2082/kartor/A 39406-2024 karta.png", "A 39406-2024")</f>
        <v/>
      </c>
      <c r="Y34">
        <f>HYPERLINK("https://klasma.github.io/Logging_2082/kartor_geotiff/A 39406-2024 georefererad karta.tif", "A 39406-2024")</f>
        <v/>
      </c>
      <c r="AA34">
        <f>HYPERLINK("https://klasma.github.io/Logging_2082/klagomål/A 39406-2024 FSC-klagomål.docx", "A 39406-2024")</f>
        <v/>
      </c>
      <c r="AB34">
        <f>HYPERLINK("https://klasma.github.io/Logging_2082/klagomålsmail/A 39406-2024 FSC-klagomål mail.docx", "A 39406-2024")</f>
        <v/>
      </c>
      <c r="AC34">
        <f>HYPERLINK("https://klasma.github.io/Logging_2082/tillsyn/A 39406-2024 tillsynsbegäran.docx", "A 39406-2024")</f>
        <v/>
      </c>
      <c r="AD34">
        <f>HYPERLINK("https://klasma.github.io/Logging_2082/tillsynsmail/A 39406-2024 tillsynsbegäran mail.docx", "A 39406-2024")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46318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Järnsparv</t>
        </is>
      </c>
      <c r="W35">
        <f>HYPERLINK("https://klasma.github.io/Logging_2082/artfynd/A 47661-2025 artfynd.xlsx", "A 47661-2025")</f>
        <v/>
      </c>
      <c r="X35">
        <f>HYPERLINK("https://klasma.github.io/Logging_2082/kartor/A 47661-2025 karta.png", "A 47661-2025")</f>
        <v/>
      </c>
      <c r="Y35">
        <f>HYPERLINK("https://klasma.github.io/Logging_2082/kartor_geotiff/A 47661-2025 georefererad karta.tif", "A 47661-2025")</f>
        <v/>
      </c>
      <c r="AA35">
        <f>HYPERLINK("https://klasma.github.io/Logging_2082/klagomål/A 47661-2025 FSC-klagomål.docx", "A 47661-2025")</f>
        <v/>
      </c>
      <c r="AB35">
        <f>HYPERLINK("https://klasma.github.io/Logging_2082/klagomålsmail/A 47661-2025 FSC-klagomål mail.docx", "A 47661-2025")</f>
        <v/>
      </c>
      <c r="AC35">
        <f>HYPERLINK("https://klasma.github.io/Logging_2082/tillsyn/A 47661-2025 tillsynsbegäran.docx", "A 47661-2025")</f>
        <v/>
      </c>
      <c r="AD35">
        <f>HYPERLINK("https://klasma.github.io/Logging_2082/tillsynsmail/A 47661-2025 tillsynsbegäran mail.docx", "A 47661-2025")</f>
        <v/>
      </c>
      <c r="AE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46318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36939-2025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46318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Slaguggla</t>
        </is>
      </c>
      <c r="W37">
        <f>HYPERLINK("https://klasma.github.io/Logging_2082/artfynd/A 36939-2025 artfynd.xlsx", "A 36939-2025")</f>
        <v/>
      </c>
      <c r="X37">
        <f>HYPERLINK("https://klasma.github.io/Logging_2082/kartor/A 36939-2025 karta.png", "A 36939-2025")</f>
        <v/>
      </c>
      <c r="Y37">
        <f>HYPERLINK("https://klasma.github.io/Logging_2082/kartor_geotiff/A 36939-2025 georefererad karta.tif", "A 36939-2025")</f>
        <v/>
      </c>
      <c r="AA37">
        <f>HYPERLINK("https://klasma.github.io/Logging_2082/klagomål/A 36939-2025 FSC-klagomål.docx", "A 36939-2025")</f>
        <v/>
      </c>
      <c r="AB37">
        <f>HYPERLINK("https://klasma.github.io/Logging_2082/klagomålsmail/A 36939-2025 FSC-klagomål mail.docx", "A 36939-2025")</f>
        <v/>
      </c>
      <c r="AC37">
        <f>HYPERLINK("https://klasma.github.io/Logging_2082/tillsyn/A 36939-2025 tillsynsbegäran.docx", "A 36939-2025")</f>
        <v/>
      </c>
      <c r="AD37">
        <f>HYPERLINK("https://klasma.github.io/Logging_2082/tillsynsmail/A 36939-2025 tillsynsbegäran mail.docx", "A 36939-2025")</f>
        <v/>
      </c>
      <c r="AE37">
        <f>HYPERLINK("https://klasma.github.io/Logging_2082/fåglar/A 36939-2025 prioriterade fågelarter.docx", "A 36939-2025")</f>
        <v/>
      </c>
    </row>
    <row r="38" ht="15" customHeight="1">
      <c r="A38" t="inlineStr">
        <is>
          <t>A 57427-2022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46318</v>
      </c>
      <c r="F38" t="inlineStr">
        <is>
          <t>DALARNAS LÄN</t>
        </is>
      </c>
      <c r="G38" t="inlineStr">
        <is>
          <t>SÄTER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HYPERLINK("https://klasma.github.io/Logging_2082/artfynd/A 57427-2022 artfynd.xlsx", "A 57427-2022")</f>
        <v/>
      </c>
      <c r="X38">
        <f>HYPERLINK("https://klasma.github.io/Logging_2082/kartor/A 57427-2022 karta.png", "A 57427-2022")</f>
        <v/>
      </c>
      <c r="Y38">
        <f>HYPERLINK("https://klasma.github.io/Logging_2082/kartor_geotiff/A 57427-2022 georefererad karta.tif", "A 57427-2022")</f>
        <v/>
      </c>
      <c r="AA38">
        <f>HYPERLINK("https://klasma.github.io/Logging_2082/klagomål/A 57427-2022 FSC-klagomål.docx", "A 57427-2022")</f>
        <v/>
      </c>
      <c r="AB38">
        <f>HYPERLINK("https://klasma.github.io/Logging_2082/klagomålsmail/A 57427-2022 FSC-klagomål mail.docx", "A 57427-2022")</f>
        <v/>
      </c>
      <c r="AC38">
        <f>HYPERLINK("https://klasma.github.io/Logging_2082/tillsyn/A 57427-2022 tillsynsbegäran.docx", "A 57427-2022")</f>
        <v/>
      </c>
      <c r="AD38">
        <f>HYPERLINK("https://klasma.github.io/Logging_2082/tillsynsmail/A 57427-2022 tillsynsbegäran mail.docx", "A 57427-2022")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46318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46318</v>
      </c>
      <c r="F40" t="inlineStr">
        <is>
          <t>DALARNAS LÄN</t>
        </is>
      </c>
      <c r="G40" t="inlineStr">
        <is>
          <t>SÄTER</t>
        </is>
      </c>
      <c r="I40" t="n">
        <v>4.8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21120-2026 artfynd.xlsx", "A 21120-2026")</f>
        <v/>
      </c>
      <c r="X40">
        <f>HYPERLINK("https://klasma.github.io/Logging_2082/kartor/A 21120-2026 karta.png", "A 21120-2026")</f>
        <v/>
      </c>
      <c r="Y40">
        <f>HYPERLINK("https://klasma.github.io/Logging_2082/kartor_geotiff/A 21120-2026 georefererad karta.tif", "A 21120-2026")</f>
        <v/>
      </c>
      <c r="Z40">
        <f>HYPERLINK("https://klasma.github.io/Logging_2082/knärot/A 21120-2026 karta knärot.png", "A 21120-2026")</f>
        <v/>
      </c>
      <c r="AA40">
        <f>HYPERLINK("https://klasma.github.io/Logging_2082/klagomål/A 21120-2026 FSC-klagomål.docx", "A 21120-2026")</f>
        <v/>
      </c>
      <c r="AB40">
        <f>HYPERLINK("https://klasma.github.io/Logging_2082/klagomålsmail/A 21120-2026 FSC-klagomål mail.docx", "A 21120-2026")</f>
        <v/>
      </c>
      <c r="AC40">
        <f>HYPERLINK("https://klasma.github.io/Logging_2082/tillsyn/A 21120-2026 tillsynsbegäran.docx", "A 21120-2026")</f>
        <v/>
      </c>
      <c r="AD40">
        <f>HYPERLINK("https://klasma.github.io/Logging_2082/tillsynsmail/A 21120-2026 tillsynsbegäran mail.docx", "A 21120-2026")</f>
        <v/>
      </c>
    </row>
    <row r="41" ht="15" customHeight="1">
      <c r="A41" t="inlineStr">
        <is>
          <t>A 5232-2022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46318</v>
      </c>
      <c r="F41" t="inlineStr">
        <is>
          <t>DALARNAS LÄN</t>
        </is>
      </c>
      <c r="G41" t="inlineStr">
        <is>
          <t>SÄTER</t>
        </is>
      </c>
      <c r="I41" t="n">
        <v>2.5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Tvåblad</t>
        </is>
      </c>
      <c r="W41">
        <f>HYPERLINK("https://klasma.github.io/Logging_2082/artfynd/A 5232-2022 artfynd.xlsx", "A 5232-2022")</f>
        <v/>
      </c>
      <c r="X41">
        <f>HYPERLINK("https://klasma.github.io/Logging_2082/kartor/A 5232-2022 karta.png", "A 5232-2022")</f>
        <v/>
      </c>
      <c r="Y41">
        <f>HYPERLINK("https://klasma.github.io/Logging_2082/kartor_geotiff/A 5232-2022 georefererad karta.tif", "A 5232-2022")</f>
        <v/>
      </c>
      <c r="AA41">
        <f>HYPERLINK("https://klasma.github.io/Logging_2082/klagomål/A 5232-2022 FSC-klagomål.docx", "A 5232-2022")</f>
        <v/>
      </c>
      <c r="AB41">
        <f>HYPERLINK("https://klasma.github.io/Logging_2082/klagomålsmail/A 5232-2022 FSC-klagomål mail.docx", "A 5232-2022")</f>
        <v/>
      </c>
      <c r="AC41">
        <f>HYPERLINK("https://klasma.github.io/Logging_2082/tillsyn/A 5232-2022 tillsynsbegäran.docx", "A 5232-2022")</f>
        <v/>
      </c>
      <c r="AD41">
        <f>HYPERLINK("https://klasma.github.io/Logging_2082/tillsynsmail/A 5232-2022 tillsynsbegäran mail.docx", "A 5232-2022")</f>
        <v/>
      </c>
    </row>
    <row r="42" ht="15" customHeight="1">
      <c r="A42" t="inlineStr">
        <is>
          <t>A 61197-2025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46318</v>
      </c>
      <c r="F42" t="inlineStr">
        <is>
          <t>DALARNAS LÄN</t>
        </is>
      </c>
      <c r="G42" t="inlineStr">
        <is>
          <t>SÄTER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HYPERLINK("https://klasma.github.io/Logging_2082/artfynd/A 61197-2025 artfynd.xlsx", "A 61197-2025")</f>
        <v/>
      </c>
      <c r="X42">
        <f>HYPERLINK("https://klasma.github.io/Logging_2082/kartor/A 61197-2025 karta.png", "A 61197-2025")</f>
        <v/>
      </c>
      <c r="Y42">
        <f>HYPERLINK("https://klasma.github.io/Logging_2082/kartor_geotiff/A 61197-2025 georefererad karta.tif", "A 61197-2025")</f>
        <v/>
      </c>
      <c r="Z42">
        <f>HYPERLINK("https://klasma.github.io/Logging_2082/knärot/A 61197-2025 karta knärot.png", "A 61197-2025")</f>
        <v/>
      </c>
      <c r="AA42">
        <f>HYPERLINK("https://klasma.github.io/Logging_2082/klagomål/A 61197-2025 FSC-klagomål.docx", "A 61197-2025")</f>
        <v/>
      </c>
      <c r="AB42">
        <f>HYPERLINK("https://klasma.github.io/Logging_2082/klagomålsmail/A 61197-2025 FSC-klagomål mail.docx", "A 61197-2025")</f>
        <v/>
      </c>
      <c r="AC42">
        <f>HYPERLINK("https://klasma.github.io/Logging_2082/tillsyn/A 61197-2025 tillsynsbegäran.docx", "A 61197-2025")</f>
        <v/>
      </c>
      <c r="AD42">
        <f>HYPERLINK("https://klasma.github.io/Logging_2082/tillsynsmail/A 61197-2025 tillsynsbegäran mail.docx", "A 61197-2025")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46318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11533-2026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46083</v>
      </c>
      <c r="E44" s="1" t="n">
        <v>46318</v>
      </c>
      <c r="F44" t="inlineStr">
        <is>
          <t>DALARNAS LÄN</t>
        </is>
      </c>
      <c r="G44" t="inlineStr">
        <is>
          <t>SÄTER</t>
        </is>
      </c>
      <c r="H44" t="inlineStr">
        <is>
          <t>Kommuner</t>
        </is>
      </c>
      <c r="I44" t="n">
        <v>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Fläcknycklar</t>
        </is>
      </c>
      <c r="W44">
        <f>HYPERLINK("https://klasma.github.io/Logging_2082/artfynd/A 11533-2026 artfynd.xlsx", "A 11533-2026")</f>
        <v/>
      </c>
      <c r="X44">
        <f>HYPERLINK("https://klasma.github.io/Logging_2082/kartor/A 11533-2026 karta.png", "A 11533-2026")</f>
        <v/>
      </c>
      <c r="Y44">
        <f>HYPERLINK("https://klasma.github.io/Logging_2082/kartor_geotiff/A 11533-2026 georefererad karta.tif", "A 11533-2026")</f>
        <v/>
      </c>
      <c r="AA44">
        <f>HYPERLINK("https://klasma.github.io/Logging_2082/klagomål/A 11533-2026 FSC-klagomål.docx", "A 11533-2026")</f>
        <v/>
      </c>
      <c r="AB44">
        <f>HYPERLINK("https://klasma.github.io/Logging_2082/klagomålsmail/A 11533-2026 FSC-klagomål mail.docx", "A 11533-2026")</f>
        <v/>
      </c>
      <c r="AC44">
        <f>HYPERLINK("https://klasma.github.io/Logging_2082/tillsyn/A 11533-2026 tillsynsbegäran.docx", "A 11533-2026")</f>
        <v/>
      </c>
      <c r="AD44">
        <f>HYPERLINK("https://klasma.github.io/Logging_2082/tillsynsmail/A 11533-2026 tillsynsbegäran mail.docx", "A 11533-2026")</f>
        <v/>
      </c>
    </row>
    <row r="45" ht="15" customHeight="1">
      <c r="A45" t="inlineStr">
        <is>
          <t>A 36969-2026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46273</v>
      </c>
      <c r="E45" s="1" t="n">
        <v>46318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Bronshjon</t>
        </is>
      </c>
      <c r="W45">
        <f>HYPERLINK("https://klasma.github.io/Logging_2082/artfynd/A 36969-2026 artfynd.xlsx", "A 36969-2026")</f>
        <v/>
      </c>
      <c r="X45">
        <f>HYPERLINK("https://klasma.github.io/Logging_2082/kartor/A 36969-2026 karta.png", "A 36969-2026")</f>
        <v/>
      </c>
      <c r="Y45">
        <f>HYPERLINK("https://klasma.github.io/Logging_2082/kartor_geotiff/A 36969-2026 georefererad karta.tif", "A 36969-2026")</f>
        <v/>
      </c>
      <c r="AA45">
        <f>HYPERLINK("https://klasma.github.io/Logging_2082/klagomål/A 36969-2026 FSC-klagomål.docx", "A 36969-2026")</f>
        <v/>
      </c>
      <c r="AB45">
        <f>HYPERLINK("https://klasma.github.io/Logging_2082/klagomålsmail/A 36969-2026 FSC-klagomål mail.docx", "A 36969-2026")</f>
        <v/>
      </c>
      <c r="AC45">
        <f>HYPERLINK("https://klasma.github.io/Logging_2082/tillsyn/A 36969-2026 tillsynsbegäran.docx", "A 36969-2026")</f>
        <v/>
      </c>
      <c r="AD45">
        <f>HYPERLINK("https://klasma.github.io/Logging_2082/tillsynsmail/A 36969-2026 tillsynsbegäran mail.docx", "A 36969-2026")</f>
        <v/>
      </c>
    </row>
    <row r="46" ht="15" customHeight="1">
      <c r="A46" t="inlineStr">
        <is>
          <t>A 37896-2026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46318</v>
      </c>
      <c r="F46" t="inlineStr">
        <is>
          <t>DALARNAS LÄN</t>
        </is>
      </c>
      <c r="G46" t="inlineStr">
        <is>
          <t>SÄTER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Gräddticka</t>
        </is>
      </c>
      <c r="W46">
        <f>HYPERLINK("https://klasma.github.io/Logging_2082/artfynd/A 37896-2026 artfynd.xlsx", "A 37896-2026")</f>
        <v/>
      </c>
      <c r="X46">
        <f>HYPERLINK("https://klasma.github.io/Logging_2082/kartor/A 37896-2026 karta.png", "A 37896-2026")</f>
        <v/>
      </c>
      <c r="Y46">
        <f>HYPERLINK("https://klasma.github.io/Logging_2082/kartor_geotiff/A 37896-2026 georefererad karta.tif", "A 37896-2026")</f>
        <v/>
      </c>
      <c r="AA46">
        <f>HYPERLINK("https://klasma.github.io/Logging_2082/klagomål/A 37896-2026 FSC-klagomål.docx", "A 37896-2026")</f>
        <v/>
      </c>
      <c r="AB46">
        <f>HYPERLINK("https://klasma.github.io/Logging_2082/klagomålsmail/A 37896-2026 FSC-klagomål mail.docx", "A 37896-2026")</f>
        <v/>
      </c>
      <c r="AC46">
        <f>HYPERLINK("https://klasma.github.io/Logging_2082/tillsyn/A 37896-2026 tillsynsbegäran.docx", "A 37896-2026")</f>
        <v/>
      </c>
      <c r="AD46">
        <f>HYPERLINK("https://klasma.github.io/Logging_2082/tillsynsmail/A 37896-2026 tillsynsbegäran mail.docx", "A 37896-2026")</f>
        <v/>
      </c>
    </row>
    <row r="47" ht="15" customHeight="1">
      <c r="A47" t="inlineStr">
        <is>
          <t>A 9682-2025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45716</v>
      </c>
      <c r="E47" s="1" t="n">
        <v>46318</v>
      </c>
      <c r="F47" t="inlineStr">
        <is>
          <t>DALARNAS LÄN</t>
        </is>
      </c>
      <c r="G47" t="inlineStr">
        <is>
          <t>SÄTER</t>
        </is>
      </c>
      <c r="I47" t="n">
        <v>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Ögonpyrola</t>
        </is>
      </c>
      <c r="W47">
        <f>HYPERLINK("https://klasma.github.io/Logging_2082/artfynd/A 9682-2025 artfynd.xlsx", "A 9682-2025")</f>
        <v/>
      </c>
      <c r="X47">
        <f>HYPERLINK("https://klasma.github.io/Logging_2082/kartor/A 9682-2025 karta.png", "A 9682-2025")</f>
        <v/>
      </c>
      <c r="Y47">
        <f>HYPERLINK("https://klasma.github.io/Logging_2082/kartor_geotiff/A 9682-2025 georefererad karta.tif", "A 9682-2025")</f>
        <v/>
      </c>
      <c r="AA47">
        <f>HYPERLINK("https://klasma.github.io/Logging_2082/klagomål/A 9682-2025 FSC-klagomål.docx", "A 9682-2025")</f>
        <v/>
      </c>
      <c r="AB47">
        <f>HYPERLINK("https://klasma.github.io/Logging_2082/klagomålsmail/A 9682-2025 FSC-klagomål mail.docx", "A 9682-2025")</f>
        <v/>
      </c>
      <c r="AC47">
        <f>HYPERLINK("https://klasma.github.io/Logging_2082/tillsyn/A 9682-2025 tillsynsbegäran.docx", "A 9682-2025")</f>
        <v/>
      </c>
      <c r="AD47">
        <f>HYPERLINK("https://klasma.github.io/Logging_2082/tillsynsmail/A 9682-2025 tillsynsbegäran mail.docx", "A 9682-2025")</f>
        <v/>
      </c>
    </row>
    <row r="48" ht="15" customHeight="1">
      <c r="A48" t="inlineStr">
        <is>
          <t>A 32383-2022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44781</v>
      </c>
      <c r="E48" s="1" t="n">
        <v>46318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4.1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HYPERLINK("https://klasma.github.io/Logging_2082/artfynd/A 32383-2022 artfynd.xlsx", "A 32383-2022")</f>
        <v/>
      </c>
      <c r="X48">
        <f>HYPERLINK("https://klasma.github.io/Logging_2082/kartor/A 32383-2022 karta.png", "A 32383-2022")</f>
        <v/>
      </c>
      <c r="Y48">
        <f>HYPERLINK("https://klasma.github.io/Logging_2082/kartor_geotiff/A 32383-2022 georefererad karta.tif", "A 32383-2022")</f>
        <v/>
      </c>
      <c r="Z48">
        <f>HYPERLINK("https://klasma.github.io/Logging_2082/knärot/A 32383-2022 karta knärot.png", "A 32383-2022")</f>
        <v/>
      </c>
      <c r="AA48">
        <f>HYPERLINK("https://klasma.github.io/Logging_2082/klagomål/A 32383-2022 FSC-klagomål.docx", "A 32383-2022")</f>
        <v/>
      </c>
      <c r="AB48">
        <f>HYPERLINK("https://klasma.github.io/Logging_2082/klagomålsmail/A 32383-2022 FSC-klagomål mail.docx", "A 32383-2022")</f>
        <v/>
      </c>
      <c r="AC48">
        <f>HYPERLINK("https://klasma.github.io/Logging_2082/tillsyn/A 32383-2022 tillsynsbegäran.docx", "A 32383-2022")</f>
        <v/>
      </c>
      <c r="AD48">
        <f>HYPERLINK("https://klasma.github.io/Logging_2082/tillsynsmail/A 32383-2022 tillsynsbegäran mail.docx", "A 32383-2022")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46318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46318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46318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46318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46318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46318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46318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46318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46318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46318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46318</v>
      </c>
      <c r="F59" t="inlineStr">
        <is>
          <t>DALARNAS LÄN</t>
        </is>
      </c>
      <c r="G59" t="inlineStr">
        <is>
          <t>SÄTER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22905-2022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46318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46318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45107</v>
      </c>
      <c r="E62" s="1" t="n">
        <v>46318</v>
      </c>
      <c r="F62" t="inlineStr">
        <is>
          <t>DALARNAS LÄN</t>
        </is>
      </c>
      <c r="G62" t="inlineStr">
        <is>
          <t>SÄTER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46318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46318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44650</v>
      </c>
      <c r="E65" s="1" t="n">
        <v>46318</v>
      </c>
      <c r="F65" t="inlineStr">
        <is>
          <t>DALARNAS LÄN</t>
        </is>
      </c>
      <c r="G65" t="inlineStr">
        <is>
          <t>SÄTER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46318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28427-2022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46318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72518-2021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46318</v>
      </c>
      <c r="F68" t="inlineStr">
        <is>
          <t>DALARNAS LÄN</t>
        </is>
      </c>
      <c r="G68" t="inlineStr">
        <is>
          <t>SÄTER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46318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46318</v>
      </c>
      <c r="F70" t="inlineStr">
        <is>
          <t>DALARNAS LÄN</t>
        </is>
      </c>
      <c r="G70" t="inlineStr">
        <is>
          <t>SÄTER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56823-2024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45628</v>
      </c>
      <c r="E71" s="1" t="n">
        <v>46318</v>
      </c>
      <c r="F71" t="inlineStr">
        <is>
          <t>DALARNAS LÄN</t>
        </is>
      </c>
      <c r="G71" t="inlineStr">
        <is>
          <t>SÄTER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46318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45526</v>
      </c>
      <c r="E73" s="1" t="n">
        <v>46318</v>
      </c>
      <c r="F73" t="inlineStr">
        <is>
          <t>DALARNAS LÄN</t>
        </is>
      </c>
      <c r="G73" t="inlineStr">
        <is>
          <t>SÄTER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46318</v>
      </c>
      <c r="F74" t="inlineStr">
        <is>
          <t>DALARNAS LÄN</t>
        </is>
      </c>
      <c r="G74" t="inlineStr">
        <is>
          <t>SÄTER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46318</v>
      </c>
      <c r="F75" t="inlineStr">
        <is>
          <t>DALARNAS LÄN</t>
        </is>
      </c>
      <c r="G75" t="inlineStr">
        <is>
          <t>SÄTER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45377</v>
      </c>
      <c r="E76" s="1" t="n">
        <v>46318</v>
      </c>
      <c r="F76" t="inlineStr">
        <is>
          <t>DALARNAS LÄN</t>
        </is>
      </c>
      <c r="G76" t="inlineStr">
        <is>
          <t>SÄTER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45264</v>
      </c>
      <c r="E77" s="1" t="n">
        <v>46318</v>
      </c>
      <c r="F77" t="inlineStr">
        <is>
          <t>DALARNAS LÄN</t>
        </is>
      </c>
      <c r="G77" t="inlineStr">
        <is>
          <t>SÄTER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45427</v>
      </c>
      <c r="E78" s="1" t="n">
        <v>46318</v>
      </c>
      <c r="F78" t="inlineStr">
        <is>
          <t>DALARNAS LÄN</t>
        </is>
      </c>
      <c r="G78" t="inlineStr">
        <is>
          <t>SÄTER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46318</v>
      </c>
      <c r="F79" t="inlineStr">
        <is>
          <t>DALARNAS LÄN</t>
        </is>
      </c>
      <c r="G79" t="inlineStr">
        <is>
          <t>SÄTER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45604</v>
      </c>
      <c r="E80" s="1" t="n">
        <v>46318</v>
      </c>
      <c r="F80" t="inlineStr">
        <is>
          <t>DALARNAS LÄN</t>
        </is>
      </c>
      <c r="G80" t="inlineStr">
        <is>
          <t>SÄTER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51339-2024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45604</v>
      </c>
      <c r="E81" s="1" t="n">
        <v>46318</v>
      </c>
      <c r="F81" t="inlineStr">
        <is>
          <t>DALARNAS LÄN</t>
        </is>
      </c>
      <c r="G81" t="inlineStr">
        <is>
          <t>SÄTER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45063</v>
      </c>
      <c r="E82" s="1" t="n">
        <v>46318</v>
      </c>
      <c r="F82" t="inlineStr">
        <is>
          <t>DALARNAS LÄN</t>
        </is>
      </c>
      <c r="G82" t="inlineStr">
        <is>
          <t>SÄTER</t>
        </is>
      </c>
      <c r="H82" t="inlineStr">
        <is>
          <t>Kommuner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46318</v>
      </c>
      <c r="F83" t="inlineStr">
        <is>
          <t>DALARNAS LÄN</t>
        </is>
      </c>
      <c r="G83" t="inlineStr">
        <is>
          <t>SÄTER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46318</v>
      </c>
      <c r="F84" t="inlineStr">
        <is>
          <t>DALARNAS LÄN</t>
        </is>
      </c>
      <c r="G84" t="inlineStr">
        <is>
          <t>SÄTER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62368-2023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45268</v>
      </c>
      <c r="E85" s="1" t="n">
        <v>46318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46318</v>
      </c>
      <c r="F86" t="inlineStr">
        <is>
          <t>DALARNAS LÄN</t>
        </is>
      </c>
      <c r="G86" t="inlineStr">
        <is>
          <t>SÄTER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46318</v>
      </c>
      <c r="F87" t="inlineStr">
        <is>
          <t>DALARNAS LÄN</t>
        </is>
      </c>
      <c r="G87" t="inlineStr">
        <is>
          <t>SÄTER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45811</v>
      </c>
      <c r="E88" s="1" t="n">
        <v>46318</v>
      </c>
      <c r="F88" t="inlineStr">
        <is>
          <t>DALARNAS LÄN</t>
        </is>
      </c>
      <c r="G88" t="inlineStr">
        <is>
          <t>SÄTER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44581</v>
      </c>
      <c r="E89" s="1" t="n">
        <v>46318</v>
      </c>
      <c r="F89" t="inlineStr">
        <is>
          <t>DALARNAS LÄN</t>
        </is>
      </c>
      <c r="G89" t="inlineStr">
        <is>
          <t>SÄTER</t>
        </is>
      </c>
      <c r="I89" t="n">
        <v>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45552</v>
      </c>
      <c r="E90" s="1" t="n">
        <v>46318</v>
      </c>
      <c r="F90" t="inlineStr">
        <is>
          <t>DALARNAS LÄN</t>
        </is>
      </c>
      <c r="G90" t="inlineStr">
        <is>
          <t>SÄTER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46318</v>
      </c>
      <c r="F91" t="inlineStr">
        <is>
          <t>DALARNAS LÄN</t>
        </is>
      </c>
      <c r="G91" t="inlineStr">
        <is>
          <t>SÄTER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  <c r="Z91">
        <f>HYPERLINK("https://klasma.github.io/Logging_2082/knärot/A 498-2025 karta knärot.png", "A 498-2025")</f>
        <v/>
      </c>
      <c r="AA91">
        <f>HYPERLINK("https://klasma.github.io/Logging_2082/klagomål/A 498-2025 FSC-klagomål.docx", "A 498-2025")</f>
        <v/>
      </c>
      <c r="AB91">
        <f>HYPERLINK("https://klasma.github.io/Logging_2082/klagomålsmail/A 498-2025 FSC-klagomål mail.docx", "A 498-2025")</f>
        <v/>
      </c>
      <c r="AC91">
        <f>HYPERLINK("https://klasma.github.io/Logging_2082/tillsyn/A 498-2025 tillsynsbegäran.docx", "A 498-2025")</f>
        <v/>
      </c>
      <c r="AD91">
        <f>HYPERLINK("https://klasma.github.io/Logging_2082/tillsynsmail/A 498-2025 tillsynsbegäran mail.docx", "A 498-2025")</f>
        <v/>
      </c>
    </row>
    <row r="92" ht="15" customHeight="1">
      <c r="A92" t="inlineStr">
        <is>
          <t>A 32886-2022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46318</v>
      </c>
      <c r="F92" t="inlineStr">
        <is>
          <t>DALARNAS LÄN</t>
        </is>
      </c>
      <c r="G92" t="inlineStr">
        <is>
          <t>SÄTER</t>
        </is>
      </c>
      <c r="I92" t="n">
        <v>10.9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44978</v>
      </c>
      <c r="E93" s="1" t="n">
        <v>46318</v>
      </c>
      <c r="F93" t="inlineStr">
        <is>
          <t>DALARNAS LÄN</t>
        </is>
      </c>
      <c r="G93" t="inlineStr">
        <is>
          <t>SÄTER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46318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46318</v>
      </c>
      <c r="F95" t="inlineStr">
        <is>
          <t>DALARNAS LÄN</t>
        </is>
      </c>
      <c r="G95" t="inlineStr">
        <is>
          <t>SÄTER</t>
        </is>
      </c>
      <c r="H95" t="inlineStr">
        <is>
          <t>Bergvik skog väst AB</t>
        </is>
      </c>
      <c r="I95" t="n">
        <v>10.2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45771</v>
      </c>
      <c r="E96" s="1" t="n">
        <v>46318</v>
      </c>
      <c r="F96" t="inlineStr">
        <is>
          <t>DALARNAS LÄN</t>
        </is>
      </c>
      <c r="G96" t="inlineStr">
        <is>
          <t>SÄTER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46318</v>
      </c>
      <c r="F97" t="inlineStr">
        <is>
          <t>DALARNAS LÄN</t>
        </is>
      </c>
      <c r="G97" t="inlineStr">
        <is>
          <t>SÄTER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30256-2023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46318</v>
      </c>
      <c r="F98" t="inlineStr">
        <is>
          <t>DALARNAS LÄN</t>
        </is>
      </c>
      <c r="G98" t="inlineStr">
        <is>
          <t>SÄTER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46318</v>
      </c>
      <c r="F99" t="inlineStr">
        <is>
          <t>DALARNAS LÄN</t>
        </is>
      </c>
      <c r="G99" t="inlineStr">
        <is>
          <t>SÄTER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46318</v>
      </c>
      <c r="F100" t="inlineStr">
        <is>
          <t>DALARNAS LÄN</t>
        </is>
      </c>
      <c r="G100" t="inlineStr">
        <is>
          <t>SÄTER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46318</v>
      </c>
      <c r="F101" t="inlineStr">
        <is>
          <t>DALARNAS LÄN</t>
        </is>
      </c>
      <c r="G101" t="inlineStr">
        <is>
          <t>SÄTER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46318</v>
      </c>
      <c r="F102" t="inlineStr">
        <is>
          <t>DALARNAS LÄN</t>
        </is>
      </c>
      <c r="G102" t="inlineStr">
        <is>
          <t>SÄTER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45366</v>
      </c>
      <c r="E103" s="1" t="n">
        <v>46318</v>
      </c>
      <c r="F103" t="inlineStr">
        <is>
          <t>DALARNAS LÄN</t>
        </is>
      </c>
      <c r="G103" t="inlineStr">
        <is>
          <t>SÄTER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46318</v>
      </c>
      <c r="F104" t="inlineStr">
        <is>
          <t>DALARNAS LÄN</t>
        </is>
      </c>
      <c r="G104" t="inlineStr">
        <is>
          <t>SÄTER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46318</v>
      </c>
      <c r="F105" t="inlineStr">
        <is>
          <t>DALARNAS LÄN</t>
        </is>
      </c>
      <c r="G105" t="inlineStr">
        <is>
          <t>SÄTER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19162-2022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44691</v>
      </c>
      <c r="E106" s="1" t="n">
        <v>46318</v>
      </c>
      <c r="F106" t="inlineStr">
        <is>
          <t>DALARNAS LÄN</t>
        </is>
      </c>
      <c r="G106" t="inlineStr">
        <is>
          <t>SÄTER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46318</v>
      </c>
      <c r="F107" t="inlineStr">
        <is>
          <t>DALARNAS LÄN</t>
        </is>
      </c>
      <c r="G107" t="inlineStr">
        <is>
          <t>SÄTER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59707-2022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46318</v>
      </c>
      <c r="F108" t="inlineStr">
        <is>
          <t>DALARNAS LÄN</t>
        </is>
      </c>
      <c r="G108" t="inlineStr">
        <is>
          <t>SÄTER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46318</v>
      </c>
      <c r="F109" t="inlineStr">
        <is>
          <t>DALARNAS LÄN</t>
        </is>
      </c>
      <c r="G109" t="inlineStr">
        <is>
          <t>SÄTER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69744-2021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46318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46318</v>
      </c>
      <c r="F111" t="inlineStr">
        <is>
          <t>DALARNAS LÄN</t>
        </is>
      </c>
      <c r="G111" t="inlineStr">
        <is>
          <t>SÄTER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46318</v>
      </c>
      <c r="F112" t="inlineStr">
        <is>
          <t>DALARNAS LÄN</t>
        </is>
      </c>
      <c r="G112" t="inlineStr">
        <is>
          <t>SÄTER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46318</v>
      </c>
      <c r="F113" t="inlineStr">
        <is>
          <t>DALARNAS LÄN</t>
        </is>
      </c>
      <c r="G113" t="inlineStr">
        <is>
          <t>SÄTER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46318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46318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46318</v>
      </c>
      <c r="F116" t="inlineStr">
        <is>
          <t>DALARNAS LÄN</t>
        </is>
      </c>
      <c r="G116" t="inlineStr">
        <is>
          <t>SÄTER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44595</v>
      </c>
      <c r="E117" s="1" t="n">
        <v>46318</v>
      </c>
      <c r="F117" t="inlineStr">
        <is>
          <t>DALARNAS LÄN</t>
        </is>
      </c>
      <c r="G117" t="inlineStr">
        <is>
          <t>SÄTER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46318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45644</v>
      </c>
      <c r="E119" s="1" t="n">
        <v>46318</v>
      </c>
      <c r="F119" t="inlineStr">
        <is>
          <t>DALARNAS LÄN</t>
        </is>
      </c>
      <c r="G119" t="inlineStr">
        <is>
          <t>SÄTER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45870</v>
      </c>
      <c r="E120" s="1" t="n">
        <v>46318</v>
      </c>
      <c r="F120" t="inlineStr">
        <is>
          <t>DALARNAS LÄN</t>
        </is>
      </c>
      <c r="G120" t="inlineStr">
        <is>
          <t>SÄTER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46318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45875</v>
      </c>
      <c r="E122" s="1" t="n">
        <v>46318</v>
      </c>
      <c r="F122" t="inlineStr">
        <is>
          <t>DALARNAS LÄN</t>
        </is>
      </c>
      <c r="G122" t="inlineStr">
        <is>
          <t>SÄTER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46318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46318</v>
      </c>
      <c r="F124" t="inlineStr">
        <is>
          <t>DALARNAS LÄN</t>
        </is>
      </c>
      <c r="G124" t="inlineStr">
        <is>
          <t>SÄTER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46318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46318</v>
      </c>
      <c r="F126" t="inlineStr">
        <is>
          <t>DALARNAS LÄN</t>
        </is>
      </c>
      <c r="G126" t="inlineStr">
        <is>
          <t>SÄTER</t>
        </is>
      </c>
      <c r="I126" t="n">
        <v>10.8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46318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41.4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46318</v>
      </c>
      <c r="F128" t="inlineStr">
        <is>
          <t>DALARNAS LÄN</t>
        </is>
      </c>
      <c r="G128" t="inlineStr">
        <is>
          <t>SÄTER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46318</v>
      </c>
      <c r="F129" t="inlineStr">
        <is>
          <t>DALARNAS LÄN</t>
        </is>
      </c>
      <c r="G129" t="inlineStr">
        <is>
          <t>SÄTER</t>
        </is>
      </c>
      <c r="H129" t="inlineStr">
        <is>
          <t>Kommuner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46318</v>
      </c>
      <c r="F130" t="inlineStr">
        <is>
          <t>DALARNAS LÄN</t>
        </is>
      </c>
      <c r="G130" t="inlineStr">
        <is>
          <t>SÄTER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45334</v>
      </c>
      <c r="E131" s="1" t="n">
        <v>46318</v>
      </c>
      <c r="F131" t="inlineStr">
        <is>
          <t>DALARNAS LÄN</t>
        </is>
      </c>
      <c r="G131" t="inlineStr">
        <is>
          <t>SÄTER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46318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46318</v>
      </c>
      <c r="F133" t="inlineStr">
        <is>
          <t>DALARNAS LÄN</t>
        </is>
      </c>
      <c r="G133" t="inlineStr">
        <is>
          <t>SÄTER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46318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46318</v>
      </c>
      <c r="F135" t="inlineStr">
        <is>
          <t>DALARNAS LÄN</t>
        </is>
      </c>
      <c r="G135" t="inlineStr">
        <is>
          <t>SÄTER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46318</v>
      </c>
      <c r="F136" t="inlineStr">
        <is>
          <t>DALARNAS LÄN</t>
        </is>
      </c>
      <c r="G136" t="inlineStr">
        <is>
          <t>SÄTER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46318</v>
      </c>
      <c r="F137" t="inlineStr">
        <is>
          <t>DALARNAS LÄN</t>
        </is>
      </c>
      <c r="G137" t="inlineStr">
        <is>
          <t>SÄTER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46318</v>
      </c>
      <c r="F138" t="inlineStr">
        <is>
          <t>DALARNAS LÄN</t>
        </is>
      </c>
      <c r="G138" t="inlineStr">
        <is>
          <t>SÄTER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46318</v>
      </c>
      <c r="F139" t="inlineStr">
        <is>
          <t>DALARNAS LÄN</t>
        </is>
      </c>
      <c r="G139" t="inlineStr">
        <is>
          <t>SÄTER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45574</v>
      </c>
      <c r="E140" s="1" t="n">
        <v>46318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46318</v>
      </c>
      <c r="F141" t="inlineStr">
        <is>
          <t>DALARNAS LÄN</t>
        </is>
      </c>
      <c r="G141" t="inlineStr">
        <is>
          <t>SÄTER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46318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46318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10.8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45622</v>
      </c>
      <c r="E144" s="1" t="n">
        <v>46318</v>
      </c>
      <c r="F144" t="inlineStr">
        <is>
          <t>DALARNAS LÄN</t>
        </is>
      </c>
      <c r="G144" t="inlineStr">
        <is>
          <t>SÄTER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46318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44784</v>
      </c>
      <c r="E146" s="1" t="n">
        <v>46318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63654-2025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46014</v>
      </c>
      <c r="E147" s="1" t="n">
        <v>46318</v>
      </c>
      <c r="F147" t="inlineStr">
        <is>
          <t>DALARNAS LÄN</t>
        </is>
      </c>
      <c r="G147" t="inlineStr">
        <is>
          <t>SÄTER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46043</v>
      </c>
      <c r="E148" s="1" t="n">
        <v>46318</v>
      </c>
      <c r="F148" t="inlineStr">
        <is>
          <t>DALARNAS LÄN</t>
        </is>
      </c>
      <c r="G148" t="inlineStr">
        <is>
          <t>SÄTER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45951</v>
      </c>
      <c r="E149" s="1" t="n">
        <v>46318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15.1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46318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46318</v>
      </c>
      <c r="F151" t="inlineStr">
        <is>
          <t>DALARNAS LÄN</t>
        </is>
      </c>
      <c r="G151" t="inlineStr">
        <is>
          <t>SÄTER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46318</v>
      </c>
      <c r="F152" t="inlineStr">
        <is>
          <t>DALARNAS LÄN</t>
        </is>
      </c>
      <c r="G152" t="inlineStr">
        <is>
          <t>SÄTER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45247</v>
      </c>
      <c r="E153" s="1" t="n">
        <v>46318</v>
      </c>
      <c r="F153" t="inlineStr">
        <is>
          <t>DALARNAS LÄN</t>
        </is>
      </c>
      <c r="G153" t="inlineStr">
        <is>
          <t>SÄTER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46318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46318</v>
      </c>
      <c r="F155" t="inlineStr">
        <is>
          <t>DALARNAS LÄN</t>
        </is>
      </c>
      <c r="G155" t="inlineStr">
        <is>
          <t>SÄTER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46318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46073</v>
      </c>
      <c r="E157" s="1" t="n">
        <v>46318</v>
      </c>
      <c r="F157" t="inlineStr">
        <is>
          <t>DALARNAS LÄN</t>
        </is>
      </c>
      <c r="G157" t="inlineStr">
        <is>
          <t>SÄTER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46318</v>
      </c>
      <c r="F158" t="inlineStr">
        <is>
          <t>DALARNAS LÄN</t>
        </is>
      </c>
      <c r="G158" t="inlineStr">
        <is>
          <t>SÄTER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46318</v>
      </c>
      <c r="F159" t="inlineStr">
        <is>
          <t>DALARNAS LÄN</t>
        </is>
      </c>
      <c r="G159" t="inlineStr">
        <is>
          <t>SÄTER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53878-2025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45961</v>
      </c>
      <c r="E160" s="1" t="n">
        <v>46318</v>
      </c>
      <c r="F160" t="inlineStr">
        <is>
          <t>DALARNAS LÄN</t>
        </is>
      </c>
      <c r="G160" t="inlineStr">
        <is>
          <t>SÄTER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53559-2025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45960</v>
      </c>
      <c r="E161" s="1" t="n">
        <v>46318</v>
      </c>
      <c r="F161" t="inlineStr">
        <is>
          <t>DALARNAS LÄN</t>
        </is>
      </c>
      <c r="G161" t="inlineStr">
        <is>
          <t>SÄTER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46318</v>
      </c>
      <c r="F162" t="inlineStr">
        <is>
          <t>DALARNAS LÄN</t>
        </is>
      </c>
      <c r="G162" t="inlineStr">
        <is>
          <t>SÄTER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46318</v>
      </c>
      <c r="F163" t="inlineStr">
        <is>
          <t>DALARNAS LÄN</t>
        </is>
      </c>
      <c r="G163" t="inlineStr">
        <is>
          <t>SÄTER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45964</v>
      </c>
      <c r="E164" s="1" t="n">
        <v>46318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46098</v>
      </c>
      <c r="E165" s="1" t="n">
        <v>46318</v>
      </c>
      <c r="F165" t="inlineStr">
        <is>
          <t>DALARNAS LÄN</t>
        </is>
      </c>
      <c r="G165" t="inlineStr">
        <is>
          <t>SÄTER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46318</v>
      </c>
      <c r="F166" t="inlineStr">
        <is>
          <t>DALARNAS LÄN</t>
        </is>
      </c>
      <c r="G166" t="inlineStr">
        <is>
          <t>SÄTER</t>
        </is>
      </c>
      <c r="H166" t="inlineStr">
        <is>
          <t>Kommuner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12330-2026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46087</v>
      </c>
      <c r="E167" s="1" t="n">
        <v>46318</v>
      </c>
      <c r="F167" t="inlineStr">
        <is>
          <t>DALARNAS LÄN</t>
        </is>
      </c>
      <c r="G167" t="inlineStr">
        <is>
          <t>SÄTER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46318</v>
      </c>
      <c r="F168" t="inlineStr">
        <is>
          <t>DALARNAS LÄN</t>
        </is>
      </c>
      <c r="G168" t="inlineStr">
        <is>
          <t>SÄTER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46318</v>
      </c>
      <c r="F169" t="inlineStr">
        <is>
          <t>DALARNAS LÄN</t>
        </is>
      </c>
      <c r="G169" t="inlineStr">
        <is>
          <t>SÄTER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46318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46318</v>
      </c>
      <c r="F171" t="inlineStr">
        <is>
          <t>DALARNAS LÄN</t>
        </is>
      </c>
      <c r="G171" t="inlineStr">
        <is>
          <t>SÄTER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46318</v>
      </c>
      <c r="F172" t="inlineStr">
        <is>
          <t>DALARNAS LÄN</t>
        </is>
      </c>
      <c r="G172" t="inlineStr">
        <is>
          <t>SÄTER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51333-2024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45604</v>
      </c>
      <c r="E173" s="1" t="n">
        <v>46318</v>
      </c>
      <c r="F173" t="inlineStr">
        <is>
          <t>DALARNAS LÄN</t>
        </is>
      </c>
      <c r="G173" t="inlineStr">
        <is>
          <t>SÄTER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46318</v>
      </c>
      <c r="F174" t="inlineStr">
        <is>
          <t>DALARNAS LÄN</t>
        </is>
      </c>
      <c r="G174" t="inlineStr">
        <is>
          <t>SÄTER</t>
        </is>
      </c>
      <c r="H174" t="inlineStr">
        <is>
          <t>Kommuner</t>
        </is>
      </c>
      <c r="I174" t="n">
        <v>42.6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46318</v>
      </c>
      <c r="F175" t="inlineStr">
        <is>
          <t>DALARNAS LÄN</t>
        </is>
      </c>
      <c r="G175" t="inlineStr">
        <is>
          <t>SÄTER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46318</v>
      </c>
      <c r="F176" t="inlineStr">
        <is>
          <t>DALARNAS LÄN</t>
        </is>
      </c>
      <c r="G176" t="inlineStr">
        <is>
          <t>SÄTER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46318</v>
      </c>
      <c r="F177" t="inlineStr">
        <is>
          <t>DALARNAS LÄN</t>
        </is>
      </c>
      <c r="G177" t="inlineStr">
        <is>
          <t>SÄTER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46318</v>
      </c>
      <c r="F178" t="inlineStr">
        <is>
          <t>DALARNAS LÄN</t>
        </is>
      </c>
      <c r="G178" t="inlineStr">
        <is>
          <t>SÄTER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46318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46318</v>
      </c>
      <c r="F180" t="inlineStr">
        <is>
          <t>DALARNAS LÄN</t>
        </is>
      </c>
      <c r="G180" t="inlineStr">
        <is>
          <t>SÄTER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46318</v>
      </c>
      <c r="F181" t="inlineStr">
        <is>
          <t>DALARNAS LÄN</t>
        </is>
      </c>
      <c r="G181" t="inlineStr">
        <is>
          <t>SÄTER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45453</v>
      </c>
      <c r="E182" s="1" t="n">
        <v>46318</v>
      </c>
      <c r="F182" t="inlineStr">
        <is>
          <t>DALARNAS LÄN</t>
        </is>
      </c>
      <c r="G182" t="inlineStr">
        <is>
          <t>SÄTER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22028-2026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46318</v>
      </c>
      <c r="F183" t="inlineStr">
        <is>
          <t>DALARNAS LÄN</t>
        </is>
      </c>
      <c r="G183" t="inlineStr">
        <is>
          <t>SÄTER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45960</v>
      </c>
      <c r="E184" s="1" t="n">
        <v>46318</v>
      </c>
      <c r="F184" t="inlineStr">
        <is>
          <t>DALARNAS LÄN</t>
        </is>
      </c>
      <c r="G184" t="inlineStr">
        <is>
          <t>SÄTER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44811</v>
      </c>
      <c r="E185" s="1" t="n">
        <v>46318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46318</v>
      </c>
      <c r="F186" t="inlineStr">
        <is>
          <t>DALARNAS LÄN</t>
        </is>
      </c>
      <c r="G186" t="inlineStr">
        <is>
          <t>SÄTER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46318</v>
      </c>
      <c r="F187" t="inlineStr">
        <is>
          <t>DALARNAS LÄN</t>
        </is>
      </c>
      <c r="G187" t="inlineStr">
        <is>
          <t>SÄTER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45993</v>
      </c>
      <c r="E188" s="1" t="n">
        <v>46318</v>
      </c>
      <c r="F188" t="inlineStr">
        <is>
          <t>DALARNAS LÄN</t>
        </is>
      </c>
      <c r="G188" t="inlineStr">
        <is>
          <t>SÄTER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46318</v>
      </c>
      <c r="F189" t="inlineStr">
        <is>
          <t>DALARNAS LÄN</t>
        </is>
      </c>
      <c r="G189" t="inlineStr">
        <is>
          <t>SÄTER</t>
        </is>
      </c>
      <c r="I189" t="n">
        <v>9.6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45527</v>
      </c>
      <c r="E190" s="1" t="n">
        <v>46318</v>
      </c>
      <c r="F190" t="inlineStr">
        <is>
          <t>DALARNAS LÄN</t>
        </is>
      </c>
      <c r="G190" t="inlineStr">
        <is>
          <t>SÄTER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45442</v>
      </c>
      <c r="E191" s="1" t="n">
        <v>46318</v>
      </c>
      <c r="F191" t="inlineStr">
        <is>
          <t>DALARNAS LÄN</t>
        </is>
      </c>
      <c r="G191" t="inlineStr">
        <is>
          <t>SÄTER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46318</v>
      </c>
      <c r="F192" t="inlineStr">
        <is>
          <t>DALARNAS LÄN</t>
        </is>
      </c>
      <c r="G192" t="inlineStr">
        <is>
          <t>SÄTER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44643</v>
      </c>
      <c r="E193" s="1" t="n">
        <v>46318</v>
      </c>
      <c r="F193" t="inlineStr">
        <is>
          <t>DALARNAS LÄN</t>
        </is>
      </c>
      <c r="G193" t="inlineStr">
        <is>
          <t>SÄTER</t>
        </is>
      </c>
      <c r="I193" t="n">
        <v>8.1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46318</v>
      </c>
      <c r="F194" t="inlineStr">
        <is>
          <t>DALARNAS LÄN</t>
        </is>
      </c>
      <c r="G194" t="inlineStr">
        <is>
          <t>SÄTER</t>
        </is>
      </c>
      <c r="H194" t="inlineStr">
        <is>
          <t>Kommuner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46318</v>
      </c>
      <c r="F195" t="inlineStr">
        <is>
          <t>DALARNAS LÄN</t>
        </is>
      </c>
      <c r="G195" t="inlineStr">
        <is>
          <t>SÄTER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46318</v>
      </c>
      <c r="F196" t="inlineStr">
        <is>
          <t>DALARNAS LÄN</t>
        </is>
      </c>
      <c r="G196" t="inlineStr">
        <is>
          <t>SÄTER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46318</v>
      </c>
      <c r="F197" t="inlineStr">
        <is>
          <t>DALARNAS LÄN</t>
        </is>
      </c>
      <c r="G197" t="inlineStr">
        <is>
          <t>SÄTER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23735-2026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46318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46318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46318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46318</v>
      </c>
      <c r="F201" t="inlineStr">
        <is>
          <t>DALARNAS LÄN</t>
        </is>
      </c>
      <c r="G201" t="inlineStr">
        <is>
          <t>SÄTER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44964</v>
      </c>
      <c r="E202" s="1" t="n">
        <v>46318</v>
      </c>
      <c r="F202" t="inlineStr">
        <is>
          <t>DALARNAS LÄN</t>
        </is>
      </c>
      <c r="G202" t="inlineStr">
        <is>
          <t>SÄTER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46318</v>
      </c>
      <c r="F203" t="inlineStr">
        <is>
          <t>DALARNAS LÄN</t>
        </is>
      </c>
      <c r="G203" t="inlineStr">
        <is>
          <t>SÄTER</t>
        </is>
      </c>
      <c r="I203" t="n">
        <v>10.1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46318</v>
      </c>
      <c r="F204" t="inlineStr">
        <is>
          <t>DALARNAS LÄN</t>
        </is>
      </c>
      <c r="G204" t="inlineStr">
        <is>
          <t>SÄTER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46318</v>
      </c>
      <c r="F205" t="inlineStr">
        <is>
          <t>DALARNAS LÄN</t>
        </is>
      </c>
      <c r="G205" t="inlineStr">
        <is>
          <t>SÄTER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46318</v>
      </c>
      <c r="F206" t="inlineStr">
        <is>
          <t>DALARNAS LÄN</t>
        </is>
      </c>
      <c r="G206" t="inlineStr">
        <is>
          <t>SÄTER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42998-2023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45182</v>
      </c>
      <c r="E207" s="1" t="n">
        <v>46318</v>
      </c>
      <c r="F207" t="inlineStr">
        <is>
          <t>DALARNAS LÄN</t>
        </is>
      </c>
      <c r="G207" t="inlineStr">
        <is>
          <t>SÄTER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18888-2022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44690</v>
      </c>
      <c r="E208" s="1" t="n">
        <v>46318</v>
      </c>
      <c r="F208" t="inlineStr">
        <is>
          <t>DALARNAS LÄN</t>
        </is>
      </c>
      <c r="G208" t="inlineStr">
        <is>
          <t>SÄTER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45939</v>
      </c>
      <c r="E209" s="1" t="n">
        <v>46318</v>
      </c>
      <c r="F209" t="inlineStr">
        <is>
          <t>DALARNAS LÄN</t>
        </is>
      </c>
      <c r="G209" t="inlineStr">
        <is>
          <t>SÄTER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46026</v>
      </c>
      <c r="E210" s="1" t="n">
        <v>46318</v>
      </c>
      <c r="F210" t="inlineStr">
        <is>
          <t>DALARNAS LÄN</t>
        </is>
      </c>
      <c r="G210" t="inlineStr">
        <is>
          <t>SÄTER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45604</v>
      </c>
      <c r="E211" s="1" t="n">
        <v>46318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46027</v>
      </c>
      <c r="E212" s="1" t="n">
        <v>46318</v>
      </c>
      <c r="F212" t="inlineStr">
        <is>
          <t>DALARNAS LÄN</t>
        </is>
      </c>
      <c r="G212" t="inlineStr">
        <is>
          <t>SÄTER</t>
        </is>
      </c>
      <c r="I212" t="n">
        <v>12.1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46318</v>
      </c>
      <c r="F213" t="inlineStr">
        <is>
          <t>DALARNAS LÄN</t>
        </is>
      </c>
      <c r="G213" t="inlineStr">
        <is>
          <t>SÄTER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44992</v>
      </c>
      <c r="E214" s="1" t="n">
        <v>46318</v>
      </c>
      <c r="F214" t="inlineStr">
        <is>
          <t>DALARNAS LÄN</t>
        </is>
      </c>
      <c r="G214" t="inlineStr">
        <is>
          <t>SÄTER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987-2026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46030</v>
      </c>
      <c r="E215" s="1" t="n">
        <v>46318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46318</v>
      </c>
      <c r="F216" t="inlineStr">
        <is>
          <t>DALARNAS LÄN</t>
        </is>
      </c>
      <c r="G216" t="inlineStr">
        <is>
          <t>SÄTER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46318</v>
      </c>
      <c r="F217" t="inlineStr">
        <is>
          <t>DALARNAS LÄN</t>
        </is>
      </c>
      <c r="G217" t="inlineStr">
        <is>
          <t>SÄTER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46318</v>
      </c>
      <c r="F218" t="inlineStr">
        <is>
          <t>DALARNAS LÄN</t>
        </is>
      </c>
      <c r="G218" t="inlineStr">
        <is>
          <t>SÄTER</t>
        </is>
      </c>
      <c r="H218" t="inlineStr">
        <is>
          <t>Kommuner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46034</v>
      </c>
      <c r="E219" s="1" t="n">
        <v>46318</v>
      </c>
      <c r="F219" t="inlineStr">
        <is>
          <t>DALARNAS LÄN</t>
        </is>
      </c>
      <c r="G219" t="inlineStr">
        <is>
          <t>SÄTER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46318</v>
      </c>
      <c r="F220" t="inlineStr">
        <is>
          <t>DALARNAS LÄN</t>
        </is>
      </c>
      <c r="G220" t="inlineStr">
        <is>
          <t>SÄTER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46318</v>
      </c>
      <c r="F221" t="inlineStr">
        <is>
          <t>DALARNAS LÄN</t>
        </is>
      </c>
      <c r="G221" t="inlineStr">
        <is>
          <t>SÄTER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46318</v>
      </c>
      <c r="F222" t="inlineStr">
        <is>
          <t>DALARNAS LÄN</t>
        </is>
      </c>
      <c r="G222" t="inlineStr">
        <is>
          <t>SÄTER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46318</v>
      </c>
      <c r="F223" t="inlineStr">
        <is>
          <t>DALARNAS LÄN</t>
        </is>
      </c>
      <c r="G223" t="inlineStr">
        <is>
          <t>SÄTER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46318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46318</v>
      </c>
      <c r="F225" t="inlineStr">
        <is>
          <t>DALARNAS LÄN</t>
        </is>
      </c>
      <c r="G225" t="inlineStr">
        <is>
          <t>SÄTER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46318</v>
      </c>
      <c r="F226" t="inlineStr">
        <is>
          <t>DALARNAS LÄN</t>
        </is>
      </c>
      <c r="G226" t="inlineStr">
        <is>
          <t>SÄTER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46318</v>
      </c>
      <c r="F227" t="inlineStr">
        <is>
          <t>DALARNAS LÄN</t>
        </is>
      </c>
      <c r="G227" t="inlineStr">
        <is>
          <t>SÄTER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44788</v>
      </c>
      <c r="E228" s="1" t="n">
        <v>46318</v>
      </c>
      <c r="F228" t="inlineStr">
        <is>
          <t>DALARNAS LÄN</t>
        </is>
      </c>
      <c r="G228" t="inlineStr">
        <is>
          <t>SÄTER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63377-2025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46318</v>
      </c>
      <c r="F229" t="inlineStr">
        <is>
          <t>DALARNAS LÄN</t>
        </is>
      </c>
      <c r="G229" t="inlineStr">
        <is>
          <t>SÄTER</t>
        </is>
      </c>
      <c r="H229" t="inlineStr">
        <is>
          <t>Övriga statliga verk och myndigheter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46318</v>
      </c>
      <c r="F230" t="inlineStr">
        <is>
          <t>DALARNAS LÄN</t>
        </is>
      </c>
      <c r="G230" t="inlineStr">
        <is>
          <t>SÄTER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46318</v>
      </c>
      <c r="F231" t="inlineStr">
        <is>
          <t>DALARNAS LÄN</t>
        </is>
      </c>
      <c r="G231" t="inlineStr">
        <is>
          <t>SÄTER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28549-2022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44748</v>
      </c>
      <c r="E232" s="1" t="n">
        <v>46318</v>
      </c>
      <c r="F232" t="inlineStr">
        <is>
          <t>DALARNAS LÄN</t>
        </is>
      </c>
      <c r="G232" t="inlineStr">
        <is>
          <t>SÄTER</t>
        </is>
      </c>
      <c r="H232" t="inlineStr">
        <is>
          <t>Bergvik skog väst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46076</v>
      </c>
      <c r="E233" s="1" t="n">
        <v>46318</v>
      </c>
      <c r="F233" t="inlineStr">
        <is>
          <t>DALARNAS LÄN</t>
        </is>
      </c>
      <c r="G233" t="inlineStr">
        <is>
          <t>SÄTER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46051</v>
      </c>
      <c r="E234" s="1" t="n">
        <v>46318</v>
      </c>
      <c r="F234" t="inlineStr">
        <is>
          <t>DALARNAS LÄN</t>
        </is>
      </c>
      <c r="G234" t="inlineStr">
        <is>
          <t>SÄTER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46318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41471-2023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45171</v>
      </c>
      <c r="E236" s="1" t="n">
        <v>46318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45783</v>
      </c>
      <c r="E237" s="1" t="n">
        <v>46318</v>
      </c>
      <c r="F237" t="inlineStr">
        <is>
          <t>DALARNAS LÄN</t>
        </is>
      </c>
      <c r="G237" t="inlineStr">
        <is>
          <t>SÄTER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46318</v>
      </c>
      <c r="F238" t="inlineStr">
        <is>
          <t>DALARNAS LÄN</t>
        </is>
      </c>
      <c r="G238" t="inlineStr">
        <is>
          <t>SÄTER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46318</v>
      </c>
      <c r="F239" t="inlineStr">
        <is>
          <t>DALARNAS LÄN</t>
        </is>
      </c>
      <c r="G239" t="inlineStr">
        <is>
          <t>SÄTER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46318</v>
      </c>
      <c r="F240" t="inlineStr">
        <is>
          <t>DALARNAS LÄN</t>
        </is>
      </c>
      <c r="G240" t="inlineStr">
        <is>
          <t>SÄTER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46318</v>
      </c>
      <c r="F241" t="inlineStr">
        <is>
          <t>DALARNAS LÄN</t>
        </is>
      </c>
      <c r="G241" t="inlineStr">
        <is>
          <t>SÄTER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45428</v>
      </c>
      <c r="E242" s="1" t="n">
        <v>46318</v>
      </c>
      <c r="F242" t="inlineStr">
        <is>
          <t>DALARNAS LÄN</t>
        </is>
      </c>
      <c r="G242" t="inlineStr">
        <is>
          <t>SÄTER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46318</v>
      </c>
      <c r="F243" t="inlineStr">
        <is>
          <t>DALARNAS LÄN</t>
        </is>
      </c>
      <c r="G243" t="inlineStr">
        <is>
          <t>SÄTER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46318</v>
      </c>
      <c r="F244" t="inlineStr">
        <is>
          <t>DALARNAS LÄN</t>
        </is>
      </c>
      <c r="G244" t="inlineStr">
        <is>
          <t>SÄTER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46318</v>
      </c>
      <c r="F245" t="inlineStr">
        <is>
          <t>DALARNAS LÄN</t>
        </is>
      </c>
      <c r="G245" t="inlineStr">
        <is>
          <t>SÄTER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44585</v>
      </c>
      <c r="E246" s="1" t="n">
        <v>46318</v>
      </c>
      <c r="F246" t="inlineStr">
        <is>
          <t>DALARNAS LÄN</t>
        </is>
      </c>
      <c r="G246" t="inlineStr">
        <is>
          <t>SÄTER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64788-2023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45282</v>
      </c>
      <c r="E247" s="1" t="n">
        <v>46318</v>
      </c>
      <c r="F247" t="inlineStr">
        <is>
          <t>DALARNAS LÄN</t>
        </is>
      </c>
      <c r="G247" t="inlineStr">
        <is>
          <t>SÄTER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45455</v>
      </c>
      <c r="E248" s="1" t="n">
        <v>46318</v>
      </c>
      <c r="F248" t="inlineStr">
        <is>
          <t>DALARNAS LÄN</t>
        </is>
      </c>
      <c r="G248" t="inlineStr">
        <is>
          <t>SÄTER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46318</v>
      </c>
      <c r="F249" t="inlineStr">
        <is>
          <t>DALARNAS LÄN</t>
        </is>
      </c>
      <c r="G249" t="inlineStr">
        <is>
          <t>SÄTER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10214-2026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46318</v>
      </c>
      <c r="F250" t="inlineStr">
        <is>
          <t>DALARNAS LÄN</t>
        </is>
      </c>
      <c r="G250" t="inlineStr">
        <is>
          <t>SÄTER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46318</v>
      </c>
      <c r="F251" t="inlineStr">
        <is>
          <t>DALARNAS LÄN</t>
        </is>
      </c>
      <c r="G251" t="inlineStr">
        <is>
          <t>SÄTER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46318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46190</v>
      </c>
      <c r="E253" s="1" t="n">
        <v>46318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46318</v>
      </c>
      <c r="F254" t="inlineStr">
        <is>
          <t>DALARNAS LÄN</t>
        </is>
      </c>
      <c r="G254" t="inlineStr">
        <is>
          <t>SÄTER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46318</v>
      </c>
      <c r="F255" t="inlineStr">
        <is>
          <t>DALARNAS LÄN</t>
        </is>
      </c>
      <c r="G255" t="inlineStr">
        <is>
          <t>SÄTER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45666</v>
      </c>
      <c r="E256" s="1" t="n">
        <v>46318</v>
      </c>
      <c r="F256" t="inlineStr">
        <is>
          <t>DALARNAS LÄN</t>
        </is>
      </c>
      <c r="G256" t="inlineStr">
        <is>
          <t>SÄTER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46318</v>
      </c>
      <c r="F257" t="inlineStr">
        <is>
          <t>DALARNAS LÄN</t>
        </is>
      </c>
      <c r="G257" t="inlineStr">
        <is>
          <t>SÄTER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46318</v>
      </c>
      <c r="F258" t="inlineStr">
        <is>
          <t>DALARNAS LÄN</t>
        </is>
      </c>
      <c r="G258" t="inlineStr">
        <is>
          <t>SÄTER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45118</v>
      </c>
      <c r="E259" s="1" t="n">
        <v>46318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46092</v>
      </c>
      <c r="E260" s="1" t="n">
        <v>46318</v>
      </c>
      <c r="F260" t="inlineStr">
        <is>
          <t>DALARNAS LÄN</t>
        </is>
      </c>
      <c r="G260" t="inlineStr">
        <is>
          <t>SÄTER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46083</v>
      </c>
      <c r="E261" s="1" t="n">
        <v>46318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45443</v>
      </c>
      <c r="E262" s="1" t="n">
        <v>46318</v>
      </c>
      <c r="F262" t="inlineStr">
        <is>
          <t>DALARNAS LÄN</t>
        </is>
      </c>
      <c r="G262" t="inlineStr">
        <is>
          <t>SÄTER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46087</v>
      </c>
      <c r="E263" s="1" t="n">
        <v>46318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45462</v>
      </c>
      <c r="E264" s="1" t="n">
        <v>46318</v>
      </c>
      <c r="F264" t="inlineStr">
        <is>
          <t>DALARNAS LÄN</t>
        </is>
      </c>
      <c r="G264" t="inlineStr">
        <is>
          <t>SÄTER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39998-2026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46293</v>
      </c>
      <c r="E265" s="1" t="n">
        <v>46318</v>
      </c>
      <c r="F265" t="inlineStr">
        <is>
          <t>DALARNAS LÄN</t>
        </is>
      </c>
      <c r="G265" t="inlineStr">
        <is>
          <t>SÄTER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46318</v>
      </c>
      <c r="F266" t="inlineStr">
        <is>
          <t>DALARNAS LÄN</t>
        </is>
      </c>
      <c r="G266" t="inlineStr">
        <is>
          <t>SÄTER</t>
        </is>
      </c>
      <c r="I266" t="n">
        <v>9.800000000000001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46314</v>
      </c>
      <c r="E267" s="1" t="n">
        <v>46318</v>
      </c>
      <c r="F267" t="inlineStr">
        <is>
          <t>DALARNAS LÄN</t>
        </is>
      </c>
      <c r="G267" t="inlineStr">
        <is>
          <t>SÄTER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13265-2026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46318</v>
      </c>
      <c r="F268" t="inlineStr">
        <is>
          <t>DALARNAS LÄN</t>
        </is>
      </c>
      <c r="G268" t="inlineStr">
        <is>
          <t>SÄTER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46318</v>
      </c>
      <c r="F269" t="inlineStr">
        <is>
          <t>DALARNAS LÄN</t>
        </is>
      </c>
      <c r="G269" t="inlineStr">
        <is>
          <t>SÄTER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13526-2026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46318</v>
      </c>
      <c r="F270" t="inlineStr">
        <is>
          <t>DALARNAS LÄN</t>
        </is>
      </c>
      <c r="G270" t="inlineStr">
        <is>
          <t>SÄTER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46318</v>
      </c>
      <c r="F271" t="inlineStr">
        <is>
          <t>DALARNAS LÄN</t>
        </is>
      </c>
      <c r="G271" t="inlineStr">
        <is>
          <t>SÄTER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46098</v>
      </c>
      <c r="E272" s="1" t="n">
        <v>46318</v>
      </c>
      <c r="F272" t="inlineStr">
        <is>
          <t>DALARNAS LÄN</t>
        </is>
      </c>
      <c r="G272" t="inlineStr">
        <is>
          <t>SÄTER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45740</v>
      </c>
      <c r="E273" s="1" t="n">
        <v>46318</v>
      </c>
      <c r="F273" t="inlineStr">
        <is>
          <t>DALARNAS LÄN</t>
        </is>
      </c>
      <c r="G273" t="inlineStr">
        <is>
          <t>SÄTER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46275</v>
      </c>
      <c r="E274" s="1" t="n">
        <v>46318</v>
      </c>
      <c r="F274" t="inlineStr">
        <is>
          <t>DALARNAS LÄN</t>
        </is>
      </c>
      <c r="G274" t="inlineStr">
        <is>
          <t>SÄTER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46318</v>
      </c>
      <c r="F275" t="inlineStr">
        <is>
          <t>DALARNAS LÄN</t>
        </is>
      </c>
      <c r="G275" t="inlineStr">
        <is>
          <t>SÄTER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44727</v>
      </c>
      <c r="E276" s="1" t="n">
        <v>46318</v>
      </c>
      <c r="F276" t="inlineStr">
        <is>
          <t>DALARNAS LÄN</t>
        </is>
      </c>
      <c r="G276" t="inlineStr">
        <is>
          <t>SÄTER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46119</v>
      </c>
      <c r="E277" s="1" t="n">
        <v>46318</v>
      </c>
      <c r="F277" t="inlineStr">
        <is>
          <t>DALARNAS LÄN</t>
        </is>
      </c>
      <c r="G277" t="inlineStr">
        <is>
          <t>SÄTER</t>
        </is>
      </c>
      <c r="H277" t="inlineStr">
        <is>
          <t>Kommuner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46318</v>
      </c>
      <c r="F278" t="inlineStr">
        <is>
          <t>DALARNAS LÄN</t>
        </is>
      </c>
      <c r="G278" t="inlineStr">
        <is>
          <t>SÄTER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46318</v>
      </c>
      <c r="F279" t="inlineStr">
        <is>
          <t>DALARNAS LÄN</t>
        </is>
      </c>
      <c r="G279" t="inlineStr">
        <is>
          <t>SÄTER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46318</v>
      </c>
      <c r="F280" t="inlineStr">
        <is>
          <t>DALARNAS LÄN</t>
        </is>
      </c>
      <c r="G280" t="inlineStr">
        <is>
          <t>SÄTER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45232</v>
      </c>
      <c r="E281" s="1" t="n">
        <v>46318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46211</v>
      </c>
      <c r="E282" s="1" t="n">
        <v>46318</v>
      </c>
      <c r="F282" t="inlineStr">
        <is>
          <t>DALARNAS LÄN</t>
        </is>
      </c>
      <c r="G282" t="inlineStr">
        <is>
          <t>SÄTER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46318</v>
      </c>
      <c r="F283" t="inlineStr">
        <is>
          <t>DALARNAS LÄN</t>
        </is>
      </c>
      <c r="G283" t="inlineStr">
        <is>
          <t>SÄTER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25033-2026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46318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45435</v>
      </c>
      <c r="E285" s="1" t="n">
        <v>46318</v>
      </c>
      <c r="F285" t="inlineStr">
        <is>
          <t>DALARNAS LÄN</t>
        </is>
      </c>
      <c r="G285" t="inlineStr">
        <is>
          <t>SÄTER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8117-2022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44609</v>
      </c>
      <c r="E286" s="1" t="n">
        <v>46318</v>
      </c>
      <c r="F286" t="inlineStr">
        <is>
          <t>DALARNAS LÄN</t>
        </is>
      </c>
      <c r="G286" t="inlineStr">
        <is>
          <t>SÄTER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32122-2026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46234</v>
      </c>
      <c r="E287" s="1" t="n">
        <v>46318</v>
      </c>
      <c r="F287" t="inlineStr">
        <is>
          <t>DALARNAS LÄN</t>
        </is>
      </c>
      <c r="G287" t="inlineStr">
        <is>
          <t>SÄTER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46275</v>
      </c>
      <c r="E288" s="1" t="n">
        <v>46318</v>
      </c>
      <c r="F288" t="inlineStr">
        <is>
          <t>DALARNAS LÄN</t>
        </is>
      </c>
      <c r="G288" t="inlineStr">
        <is>
          <t>SÄTER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46283</v>
      </c>
      <c r="E289" s="1" t="n">
        <v>46318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46318</v>
      </c>
      <c r="F290" t="inlineStr">
        <is>
          <t>DALARNAS LÄN</t>
        </is>
      </c>
      <c r="G290" t="inlineStr">
        <is>
          <t>SÄTER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44572</v>
      </c>
      <c r="E291" s="1" t="n">
        <v>46318</v>
      </c>
      <c r="F291" t="inlineStr">
        <is>
          <t>DALARNAS LÄN</t>
        </is>
      </c>
      <c r="G291" t="inlineStr">
        <is>
          <t>SÄTER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55650-2024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46318</v>
      </c>
      <c r="F292" t="inlineStr">
        <is>
          <t>DALARNAS LÄN</t>
        </is>
      </c>
      <c r="G292" t="inlineStr">
        <is>
          <t>SÄTER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26503-2022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46318</v>
      </c>
      <c r="F293" t="inlineStr">
        <is>
          <t>DALARNAS LÄN</t>
        </is>
      </c>
      <c r="G293" t="inlineStr">
        <is>
          <t>SÄTER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45599</v>
      </c>
      <c r="E294" s="1" t="n">
        <v>46318</v>
      </c>
      <c r="F294" t="inlineStr">
        <is>
          <t>DALARNAS LÄN</t>
        </is>
      </c>
      <c r="G294" t="inlineStr">
        <is>
          <t>SÄTER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46318</v>
      </c>
      <c r="F295" t="inlineStr">
        <is>
          <t>DALARNAS LÄN</t>
        </is>
      </c>
      <c r="G295" t="inlineStr">
        <is>
          <t>SÄTER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46318</v>
      </c>
      <c r="F296" t="inlineStr">
        <is>
          <t>DALARNAS LÄN</t>
        </is>
      </c>
      <c r="G296" t="inlineStr">
        <is>
          <t>SÄTER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46318</v>
      </c>
      <c r="F297" t="inlineStr">
        <is>
          <t>DALARNAS LÄN</t>
        </is>
      </c>
      <c r="G297" t="inlineStr">
        <is>
          <t>SÄTER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46318</v>
      </c>
      <c r="F298" t="inlineStr">
        <is>
          <t>DALARNAS LÄN</t>
        </is>
      </c>
      <c r="G298" t="inlineStr">
        <is>
          <t>SÄTER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34196-2023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45138</v>
      </c>
      <c r="E299" s="1" t="n">
        <v>46318</v>
      </c>
      <c r="F299" t="inlineStr">
        <is>
          <t>DALARNAS LÄN</t>
        </is>
      </c>
      <c r="G299" t="inlineStr">
        <is>
          <t>SÄTER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21696-2023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46318</v>
      </c>
      <c r="F300" t="inlineStr">
        <is>
          <t>DALARNAS LÄN</t>
        </is>
      </c>
      <c r="G300" t="inlineStr">
        <is>
          <t>SÄTER</t>
        </is>
      </c>
      <c r="H300" t="inlineStr">
        <is>
          <t>Kommuner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39890-2026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46318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9.199999999999999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44960</v>
      </c>
      <c r="E302" s="1" t="n">
        <v>46318</v>
      </c>
      <c r="F302" t="inlineStr">
        <is>
          <t>DALARNAS LÄN</t>
        </is>
      </c>
      <c r="G302" t="inlineStr">
        <is>
          <t>SÄTER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45190</v>
      </c>
      <c r="E303" s="1" t="n">
        <v>46318</v>
      </c>
      <c r="F303" t="inlineStr">
        <is>
          <t>DALARNAS LÄN</t>
        </is>
      </c>
      <c r="G303" t="inlineStr">
        <is>
          <t>SÄTER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39714-2026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46318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46290</v>
      </c>
      <c r="E305" s="1" t="n">
        <v>46318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46293</v>
      </c>
      <c r="E306" s="1" t="n">
        <v>46318</v>
      </c>
      <c r="F306" t="inlineStr">
        <is>
          <t>DALARNAS LÄN</t>
        </is>
      </c>
      <c r="G306" t="inlineStr">
        <is>
          <t>SÄTER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46196</v>
      </c>
      <c r="E307" s="1" t="n">
        <v>46318</v>
      </c>
      <c r="F307" t="inlineStr">
        <is>
          <t>DALARNAS LÄN</t>
        </is>
      </c>
      <c r="G307" t="inlineStr">
        <is>
          <t>SÄTER</t>
        </is>
      </c>
      <c r="H307" t="inlineStr">
        <is>
          <t>Sveaskog</t>
        </is>
      </c>
      <c r="I307" t="n">
        <v>19.8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45170</v>
      </c>
      <c r="E308" s="1" t="n">
        <v>46318</v>
      </c>
      <c r="F308" t="inlineStr">
        <is>
          <t>DALARNAS LÄN</t>
        </is>
      </c>
      <c r="G308" t="inlineStr">
        <is>
          <t>SÄTER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42806-2024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45566</v>
      </c>
      <c r="E309" s="1" t="n">
        <v>46318</v>
      </c>
      <c r="F309" t="inlineStr">
        <is>
          <t>DALARNAS LÄN</t>
        </is>
      </c>
      <c r="G309" t="inlineStr">
        <is>
          <t>SÄTER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45365</v>
      </c>
      <c r="E310" s="1" t="n">
        <v>46318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16901-2024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45411</v>
      </c>
      <c r="E311" s="1" t="n">
        <v>46318</v>
      </c>
      <c r="F311" t="inlineStr">
        <is>
          <t>DALARNAS LÄN</t>
        </is>
      </c>
      <c r="G311" t="inlineStr">
        <is>
          <t>SÄTER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45670</v>
      </c>
      <c r="E312" s="1" t="n">
        <v>46318</v>
      </c>
      <c r="F312" t="inlineStr">
        <is>
          <t>DALARNAS LÄN</t>
        </is>
      </c>
      <c r="G312" t="inlineStr">
        <is>
          <t>SÄTER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44972</v>
      </c>
      <c r="E313" s="1" t="n">
        <v>46318</v>
      </c>
      <c r="F313" t="inlineStr">
        <is>
          <t>DALARNAS LÄN</t>
        </is>
      </c>
      <c r="G313" t="inlineStr">
        <is>
          <t>SÄTER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46254</v>
      </c>
      <c r="E314" s="1" t="n">
        <v>46318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45098</v>
      </c>
      <c r="E315" s="1" t="n">
        <v>46318</v>
      </c>
      <c r="F315" t="inlineStr">
        <is>
          <t>DALARNAS LÄN</t>
        </is>
      </c>
      <c r="G315" t="inlineStr">
        <is>
          <t>SÄTER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45569</v>
      </c>
      <c r="E316" s="1" t="n">
        <v>46318</v>
      </c>
      <c r="F316" t="inlineStr">
        <is>
          <t>DALARNAS LÄN</t>
        </is>
      </c>
      <c r="G316" t="inlineStr">
        <is>
          <t>SÄTER</t>
        </is>
      </c>
      <c r="I316" t="n">
        <v>13.2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44732</v>
      </c>
      <c r="E317" s="1" t="n">
        <v>46318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44982</v>
      </c>
      <c r="E318" s="1" t="n">
        <v>46318</v>
      </c>
      <c r="F318" t="inlineStr">
        <is>
          <t>DALARNAS LÄN</t>
        </is>
      </c>
      <c r="G318" t="inlineStr">
        <is>
          <t>SÄTER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54440-2022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44882</v>
      </c>
      <c r="E319" s="1" t="n">
        <v>46318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45236</v>
      </c>
      <c r="E320" s="1" t="n">
        <v>46318</v>
      </c>
      <c r="F320" t="inlineStr">
        <is>
          <t>DALARNAS LÄN</t>
        </is>
      </c>
      <c r="G320" t="inlineStr">
        <is>
          <t>SÄTER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44896</v>
      </c>
      <c r="E321" s="1" t="n">
        <v>46318</v>
      </c>
      <c r="F321" t="inlineStr">
        <is>
          <t>DALARNAS LÄN</t>
        </is>
      </c>
      <c r="G321" t="inlineStr">
        <is>
          <t>SÄTER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Z321">
        <f>HYPERLINK("https://klasma.github.io/Logging_2082/knärot/A 57416-2022 karta knärot.png", "A 57416-2022")</f>
        <v/>
      </c>
      <c r="AA321">
        <f>HYPERLINK("https://klasma.github.io/Logging_2082/klagomål/A 57416-2022 FSC-klagomål.docx", "A 57416-2022")</f>
        <v/>
      </c>
      <c r="AB321">
        <f>HYPERLINK("https://klasma.github.io/Logging_2082/klagomålsmail/A 57416-2022 FSC-klagomål mail.docx", "A 57416-2022")</f>
        <v/>
      </c>
      <c r="AC321">
        <f>HYPERLINK("https://klasma.github.io/Logging_2082/tillsyn/A 57416-2022 tillsynsbegäran.docx", "A 57416-2022")</f>
        <v/>
      </c>
      <c r="AD321">
        <f>HYPERLINK("https://klasma.github.io/Logging_2082/tillsynsmail/A 57416-2022 tillsynsbegäran mail.docx", "A 57416-2022")</f>
        <v/>
      </c>
    </row>
    <row r="322" ht="15" customHeight="1">
      <c r="A322" t="inlineStr">
        <is>
          <t>A 21859-2022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44711</v>
      </c>
      <c r="E322" s="1" t="n">
        <v>46318</v>
      </c>
      <c r="F322" t="inlineStr">
        <is>
          <t>DALARNAS LÄN</t>
        </is>
      </c>
      <c r="G322" t="inlineStr">
        <is>
          <t>SÄTER</t>
        </is>
      </c>
      <c r="H322" t="inlineStr">
        <is>
          <t>Bergvik skog väst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13510-2023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45006</v>
      </c>
      <c r="E323" s="1" t="n">
        <v>46318</v>
      </c>
      <c r="F323" t="inlineStr">
        <is>
          <t>DALARNAS LÄN</t>
        </is>
      </c>
      <c r="G323" t="inlineStr">
        <is>
          <t>SÄTER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44830</v>
      </c>
      <c r="E324" s="1" t="n">
        <v>46318</v>
      </c>
      <c r="F324" t="inlineStr">
        <is>
          <t>DALARNAS LÄN</t>
        </is>
      </c>
      <c r="G324" t="inlineStr">
        <is>
          <t>SÄTER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46318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35564-2026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46262</v>
      </c>
      <c r="E326" s="1" t="n">
        <v>46318</v>
      </c>
      <c r="F326" t="inlineStr">
        <is>
          <t>DALARNAS LÄN</t>
        </is>
      </c>
      <c r="G326" t="inlineStr">
        <is>
          <t>SÄTER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44935</v>
      </c>
      <c r="E327" s="1" t="n">
        <v>46318</v>
      </c>
      <c r="F327" t="inlineStr">
        <is>
          <t>DALARNAS LÄN</t>
        </is>
      </c>
      <c r="G327" t="inlineStr">
        <is>
          <t>SÄTER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30515-2026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46204</v>
      </c>
      <c r="E328" s="1" t="n">
        <v>46318</v>
      </c>
      <c r="F328" t="inlineStr">
        <is>
          <t>DALARNAS LÄN</t>
        </is>
      </c>
      <c r="G328" t="inlineStr">
        <is>
          <t>SÄTER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37440-2022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44809</v>
      </c>
      <c r="E329" s="1" t="n">
        <v>46318</v>
      </c>
      <c r="F329" t="inlineStr">
        <is>
          <t>DALARNAS LÄN</t>
        </is>
      </c>
      <c r="G329" t="inlineStr">
        <is>
          <t>SÄTER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35385-2026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46261</v>
      </c>
      <c r="E330" s="1" t="n">
        <v>46318</v>
      </c>
      <c r="F330" t="inlineStr">
        <is>
          <t>DALARNAS LÄN</t>
        </is>
      </c>
      <c r="G330" t="inlineStr">
        <is>
          <t>SÄTER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41208-2026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46300</v>
      </c>
      <c r="E331" s="1" t="n">
        <v>46318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51405-2022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44869</v>
      </c>
      <c r="E332" s="1" t="n">
        <v>46318</v>
      </c>
      <c r="F332" t="inlineStr">
        <is>
          <t>DALARNAS LÄN</t>
        </is>
      </c>
      <c r="G332" t="inlineStr">
        <is>
          <t>SÄTER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50366-2023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45216</v>
      </c>
      <c r="E333" s="1" t="n">
        <v>46318</v>
      </c>
      <c r="F333" t="inlineStr">
        <is>
          <t>DALARNAS LÄN</t>
        </is>
      </c>
      <c r="G333" t="inlineStr">
        <is>
          <t>SÄTER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45321</v>
      </c>
      <c r="E334" s="1" t="n">
        <v>46318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45628</v>
      </c>
      <c r="E335" s="1" t="n">
        <v>46318</v>
      </c>
      <c r="F335" t="inlineStr">
        <is>
          <t>DALARNAS LÄN</t>
        </is>
      </c>
      <c r="G335" t="inlineStr">
        <is>
          <t>SÄTER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45175</v>
      </c>
      <c r="E336" s="1" t="n">
        <v>46318</v>
      </c>
      <c r="F336" t="inlineStr">
        <is>
          <t>DALARNAS LÄN</t>
        </is>
      </c>
      <c r="G336" t="inlineStr">
        <is>
          <t>SÄTER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51320-2024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45604</v>
      </c>
      <c r="E337" s="1" t="n">
        <v>46318</v>
      </c>
      <c r="F337" t="inlineStr">
        <is>
          <t>DALARNAS LÄN</t>
        </is>
      </c>
      <c r="G337" t="inlineStr">
        <is>
          <t>SÄTER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51324-2024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45604</v>
      </c>
      <c r="E338" s="1" t="n">
        <v>46318</v>
      </c>
      <c r="F338" t="inlineStr">
        <is>
          <t>DALARNAS LÄN</t>
        </is>
      </c>
      <c r="G338" t="inlineStr">
        <is>
          <t>SÄTER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45484</v>
      </c>
      <c r="E339" s="1" t="n">
        <v>46318</v>
      </c>
      <c r="F339" t="inlineStr">
        <is>
          <t>DALARNAS LÄN</t>
        </is>
      </c>
      <c r="G339" t="inlineStr">
        <is>
          <t>SÄTER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46318</v>
      </c>
      <c r="F340" t="inlineStr">
        <is>
          <t>DALARNAS LÄN</t>
        </is>
      </c>
      <c r="G340" t="inlineStr">
        <is>
          <t>SÄTER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51323-2024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45604</v>
      </c>
      <c r="E341" s="1" t="n">
        <v>46318</v>
      </c>
      <c r="F341" t="inlineStr">
        <is>
          <t>DALARNAS LÄN</t>
        </is>
      </c>
      <c r="G341" t="inlineStr">
        <is>
          <t>SÄTER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34990-2024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45527</v>
      </c>
      <c r="E342" s="1" t="n">
        <v>46318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34991-2024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45527</v>
      </c>
      <c r="E343" s="1" t="n">
        <v>46318</v>
      </c>
      <c r="F343" t="inlineStr">
        <is>
          <t>DALARNAS LÄN</t>
        </is>
      </c>
      <c r="G343" t="inlineStr">
        <is>
          <t>SÄTER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51468-2024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45604</v>
      </c>
      <c r="E344" s="1" t="n">
        <v>46318</v>
      </c>
      <c r="F344" t="inlineStr">
        <is>
          <t>DALARNAS LÄN</t>
        </is>
      </c>
      <c r="G344" t="inlineStr">
        <is>
          <t>SÄTER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45527</v>
      </c>
      <c r="E345" s="1" t="n">
        <v>46318</v>
      </c>
      <c r="F345" t="inlineStr">
        <is>
          <t>DALARNAS LÄN</t>
        </is>
      </c>
      <c r="G345" t="inlineStr">
        <is>
          <t>SÄTER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45342</v>
      </c>
      <c r="E346" s="1" t="n">
        <v>46318</v>
      </c>
      <c r="F346" t="inlineStr">
        <is>
          <t>DALARNAS LÄN</t>
        </is>
      </c>
      <c r="G346" t="inlineStr">
        <is>
          <t>SÄTER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44729-2024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45574</v>
      </c>
      <c r="E347" s="1" t="n">
        <v>46318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46318</v>
      </c>
      <c r="F348" t="inlineStr">
        <is>
          <t>DALARNAS LÄN</t>
        </is>
      </c>
      <c r="G348" t="inlineStr">
        <is>
          <t>SÄTER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45154</v>
      </c>
      <c r="E349" s="1" t="n">
        <v>46318</v>
      </c>
      <c r="F349" t="inlineStr">
        <is>
          <t>DALARNAS LÄN</t>
        </is>
      </c>
      <c r="G349" t="inlineStr">
        <is>
          <t>SÄTER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45268</v>
      </c>
      <c r="E350" s="1" t="n">
        <v>46318</v>
      </c>
      <c r="F350" t="inlineStr">
        <is>
          <t>DALARNAS LÄN</t>
        </is>
      </c>
      <c r="G350" t="inlineStr">
        <is>
          <t>SÄTER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45330</v>
      </c>
      <c r="E351" s="1" t="n">
        <v>46318</v>
      </c>
      <c r="F351" t="inlineStr">
        <is>
          <t>DALARNAS LÄN</t>
        </is>
      </c>
      <c r="G351" t="inlineStr">
        <is>
          <t>SÄTER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45411</v>
      </c>
      <c r="E352" s="1" t="n">
        <v>46318</v>
      </c>
      <c r="F352" t="inlineStr">
        <is>
          <t>DALARNAS LÄN</t>
        </is>
      </c>
      <c r="G352" t="inlineStr">
        <is>
          <t>SÄTER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45411</v>
      </c>
      <c r="E353" s="1" t="n">
        <v>46318</v>
      </c>
      <c r="F353" t="inlineStr">
        <is>
          <t>DALARNAS LÄN</t>
        </is>
      </c>
      <c r="G353" t="inlineStr">
        <is>
          <t>SÄTER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45576</v>
      </c>
      <c r="E354" s="1" t="n">
        <v>46318</v>
      </c>
      <c r="F354" t="inlineStr">
        <is>
          <t>DALARNAS LÄN</t>
        </is>
      </c>
      <c r="G354" t="inlineStr">
        <is>
          <t>SÄTER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45411</v>
      </c>
      <c r="E355" s="1" t="n">
        <v>46318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16840-2024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45411</v>
      </c>
      <c r="E356" s="1" t="n">
        <v>46318</v>
      </c>
      <c r="F356" t="inlineStr">
        <is>
          <t>DALARNAS LÄN</t>
        </is>
      </c>
      <c r="G356" t="inlineStr">
        <is>
          <t>SÄTER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14931-2024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45398</v>
      </c>
      <c r="E357" s="1" t="n">
        <v>46318</v>
      </c>
      <c r="F357" t="inlineStr">
        <is>
          <t>DALARNAS LÄN</t>
        </is>
      </c>
      <c r="G357" t="inlineStr">
        <is>
          <t>SÄTER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44965</v>
      </c>
      <c r="E358" s="1" t="n">
        <v>46318</v>
      </c>
      <c r="F358" t="inlineStr">
        <is>
          <t>DALARNAS LÄN</t>
        </is>
      </c>
      <c r="G358" t="inlineStr">
        <is>
          <t>SÄTER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46318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46318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3057-2023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45182</v>
      </c>
      <c r="E361" s="1" t="n">
        <v>46318</v>
      </c>
      <c r="F361" t="inlineStr">
        <is>
          <t>DALARNAS LÄN</t>
        </is>
      </c>
      <c r="G361" t="inlineStr">
        <is>
          <t>SÄTER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46318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46318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46318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2939-2025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45951</v>
      </c>
      <c r="E365" s="1" t="n">
        <v>46318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46318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46318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2026-10-23T01:58:53Z</dcterms:created>
  <dcterms:modified xmlns:dcterms="http://purl.org/dc/terms/" xmlns:xsi="http://www.w3.org/2001/XMLSchema-instance" xsi:type="dcterms:W3CDTF">2026-10-23T01:58:53Z</dcterms:modified>
</cp:coreProperties>
</file>