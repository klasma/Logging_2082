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46234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46234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46234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46234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46234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46234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46234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46234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46234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46234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46234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46234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46234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46234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A 570-2024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46234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2.8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Svavelriska</t>
        </is>
      </c>
      <c r="W27">
        <f>HYPERLINK("https://klasma.github.io/Logging_2082/artfynd/A 570-2024 artfynd.xlsx", "A 570-2024")</f>
        <v/>
      </c>
      <c r="X27">
        <f>HYPERLINK("https://klasma.github.io/Logging_2082/kartor/A 570-2024 karta.png", "A 570-2024")</f>
        <v/>
      </c>
      <c r="Y27">
        <f>HYPERLINK("https://klasma.github.io/Logging_2082/kartor_geotiff/A 570-2024 georefererad karta.tif", "A 570-2024")</f>
        <v/>
      </c>
      <c r="AA27">
        <f>HYPERLINK("https://klasma.github.io/Logging_2082/klagomål/A 570-2024 FSC-klagomål.docx", "A 570-2024")</f>
        <v/>
      </c>
      <c r="AB27">
        <f>HYPERLINK("https://klasma.github.io/Logging_2082/klagomålsmail/A 570-2024 FSC-klagomål mail.docx", "A 570-2024")</f>
        <v/>
      </c>
      <c r="AC27">
        <f>HYPERLINK("https://klasma.github.io/Logging_2082/tillsyn/A 570-2024 tillsynsbegäran.docx", "A 570-2024")</f>
        <v/>
      </c>
      <c r="AD27">
        <f>HYPERLINK("https://klasma.github.io/Logging_2082/tillsynsmail/A 570-2024 tillsynsbegäran mail.docx", "A 570-2024")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46234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46234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46234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39406-2024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45551</v>
      </c>
      <c r="E33" s="1" t="n">
        <v>46234</v>
      </c>
      <c r="F33" t="inlineStr">
        <is>
          <t>DALARNAS LÄN</t>
        </is>
      </c>
      <c r="G33" t="inlineStr">
        <is>
          <t>SÄTER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Sotriska</t>
        </is>
      </c>
      <c r="W33">
        <f>HYPERLINK("https://klasma.github.io/Logging_2082/artfynd/A 39406-2024 artfynd.xlsx", "A 39406-2024")</f>
        <v/>
      </c>
      <c r="X33">
        <f>HYPERLINK("https://klasma.github.io/Logging_2082/kartor/A 39406-2024 karta.png", "A 39406-2024")</f>
        <v/>
      </c>
      <c r="Y33">
        <f>HYPERLINK("https://klasma.github.io/Logging_2082/kartor_geotiff/A 39406-2024 georefererad karta.tif", "A 39406-2024")</f>
        <v/>
      </c>
      <c r="AA33">
        <f>HYPERLINK("https://klasma.github.io/Logging_2082/klagomål/A 39406-2024 FSC-klagomål.docx", "A 39406-2024")</f>
        <v/>
      </c>
      <c r="AB33">
        <f>HYPERLINK("https://klasma.github.io/Logging_2082/klagomålsmail/A 39406-2024 FSC-klagomål mail.docx", "A 39406-2024")</f>
        <v/>
      </c>
      <c r="AC33">
        <f>HYPERLINK("https://klasma.github.io/Logging_2082/tillsyn/A 39406-2024 tillsynsbegäran.docx", "A 39406-2024")</f>
        <v/>
      </c>
      <c r="AD33">
        <f>HYPERLINK("https://klasma.github.io/Logging_2082/tillsynsmail/A 39406-2024 tillsynsbegäran mail.docx", "A 39406-2024")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46234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34938-2025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46234</v>
      </c>
      <c r="F35" t="inlineStr">
        <is>
          <t>DALARNAS LÄN</t>
        </is>
      </c>
      <c r="G35" t="inlineStr">
        <is>
          <t>SÄTER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HYPERLINK("https://klasma.github.io/Logging_2082/artfynd/A 34938-2025 artfynd.xlsx", "A 34938-2025")</f>
        <v/>
      </c>
      <c r="X35">
        <f>HYPERLINK("https://klasma.github.io/Logging_2082/kartor/A 34938-2025 karta.png", "A 34938-2025")</f>
        <v/>
      </c>
      <c r="Y35">
        <f>HYPERLINK("https://klasma.github.io/Logging_2082/kartor_geotiff/A 34938-2025 georefererad karta.tif", "A 34938-2025")</f>
        <v/>
      </c>
      <c r="AA35">
        <f>HYPERLINK("https://klasma.github.io/Logging_2082/klagomål/A 34938-2025 FSC-klagomål.docx", "A 34938-2025")</f>
        <v/>
      </c>
      <c r="AB35">
        <f>HYPERLINK("https://klasma.github.io/Logging_2082/klagomålsmail/A 34938-2025 FSC-klagomål mail.docx", "A 34938-2025")</f>
        <v/>
      </c>
      <c r="AC35">
        <f>HYPERLINK("https://klasma.github.io/Logging_2082/tillsyn/A 34938-2025 tillsynsbegäran.docx", "A 34938-2025")</f>
        <v/>
      </c>
      <c r="AD35">
        <f>HYPERLINK("https://klasma.github.io/Logging_2082/tillsynsmail/A 34938-2025 tillsynsbegäran mail.docx", "A 34938-2025")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46234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46234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46234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46234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46234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46234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HYPERLINK("https://klasma.github.io/Logging_2082/artfynd/A 47064-2021 artfynd.xlsx", "A 47064-2021")</f>
        <v/>
      </c>
      <c r="X41">
        <f>HYPERLINK("https://klasma.github.io/Logging_2082/kartor/A 47064-2021 karta.png", "A 47064-2021")</f>
        <v/>
      </c>
      <c r="Y41">
        <f>HYPERLINK("https://klasma.github.io/Logging_2082/kartor_geotiff/A 47064-2021 georefererad karta.tif", "A 47064-2021")</f>
        <v/>
      </c>
      <c r="AA41">
        <f>HYPERLINK("https://klasma.github.io/Logging_2082/klagomål/A 47064-2021 FSC-klagomål.docx", "A 47064-2021")</f>
        <v/>
      </c>
      <c r="AB41">
        <f>HYPERLINK("https://klasma.github.io/Logging_2082/klagomålsmail/A 47064-2021 FSC-klagomål mail.docx", "A 47064-2021")</f>
        <v/>
      </c>
      <c r="AC41">
        <f>HYPERLINK("https://klasma.github.io/Logging_2082/tillsyn/A 47064-2021 tillsynsbegäran.docx", "A 47064-2021")</f>
        <v/>
      </c>
      <c r="AD41">
        <f>HYPERLINK("https://klasma.github.io/Logging_2082/tillsynsmail/A 47064-2021 tillsynsbegäran mail.docx", "A 47064-2021")</f>
        <v/>
      </c>
      <c r="AE41">
        <f>HYPERLINK("https://klasma.github.io/Logging_2082/fåglar/A 47064-2021 prioriterade fågelarter.docx", "A 47064-2021")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46234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46234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46234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46234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46234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46234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46234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46234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46234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46234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46234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46234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46234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46234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46234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46234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46234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46234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46234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46234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46234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46234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46234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46234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46234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46234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46234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46234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46234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46234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46234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46234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46234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46234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46234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46234</v>
      </c>
      <c r="F77" t="inlineStr">
        <is>
          <t>DALARNAS LÄN</t>
        </is>
      </c>
      <c r="G77" t="inlineStr">
        <is>
          <t>SÄTER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46234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46234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46234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46234</v>
      </c>
      <c r="F81" t="inlineStr">
        <is>
          <t>DALARNAS LÄN</t>
        </is>
      </c>
      <c r="G81" t="inlineStr">
        <is>
          <t>SÄTER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51328-2024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46234</v>
      </c>
      <c r="F82" t="inlineStr">
        <is>
          <t>DALARNAS LÄN</t>
        </is>
      </c>
      <c r="G82" t="inlineStr">
        <is>
          <t>SÄTER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51339-2024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45604</v>
      </c>
      <c r="E83" s="1" t="n">
        <v>46234</v>
      </c>
      <c r="F83" t="inlineStr">
        <is>
          <t>DALARNAS LÄN</t>
        </is>
      </c>
      <c r="G83" t="inlineStr">
        <is>
          <t>SÄTER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46234</v>
      </c>
      <c r="F84" t="inlineStr">
        <is>
          <t>DALARNAS LÄN</t>
        </is>
      </c>
      <c r="G84" t="inlineStr">
        <is>
          <t>SÄTER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28549-2022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46234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46234</v>
      </c>
      <c r="F86" t="inlineStr">
        <is>
          <t>DALARNAS LÄN</t>
        </is>
      </c>
      <c r="G86" t="inlineStr">
        <is>
          <t>SÄTER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46234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46234</v>
      </c>
      <c r="F88" t="inlineStr">
        <is>
          <t>DALARNAS LÄN</t>
        </is>
      </c>
      <c r="G88" t="inlineStr">
        <is>
          <t>SÄTER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46234</v>
      </c>
      <c r="F89" t="inlineStr">
        <is>
          <t>DALARNAS LÄN</t>
        </is>
      </c>
      <c r="G89" t="inlineStr">
        <is>
          <t>SÄTER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45171</v>
      </c>
      <c r="E90" s="1" t="n">
        <v>46234</v>
      </c>
      <c r="F90" t="inlineStr">
        <is>
          <t>DALARNAS LÄN</t>
        </is>
      </c>
      <c r="G90" t="inlineStr">
        <is>
          <t>SÄTER</t>
        </is>
      </c>
      <c r="H90" t="inlineStr">
        <is>
          <t>Bergvik skog väst AB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46234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49684-2024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46234</v>
      </c>
      <c r="F92" t="inlineStr">
        <is>
          <t>DALARNAS LÄN</t>
        </is>
      </c>
      <c r="G92" t="inlineStr">
        <is>
          <t>SÄTER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46234</v>
      </c>
      <c r="F93" t="inlineStr">
        <is>
          <t>DALARNAS LÄN</t>
        </is>
      </c>
      <c r="G93" t="inlineStr">
        <is>
          <t>SÄTER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46234</v>
      </c>
      <c r="F94" t="inlineStr">
        <is>
          <t>DALARNAS LÄN</t>
        </is>
      </c>
      <c r="G94" t="inlineStr">
        <is>
          <t>SÄTER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45428</v>
      </c>
      <c r="E95" s="1" t="n">
        <v>46234</v>
      </c>
      <c r="F95" t="inlineStr">
        <is>
          <t>DALARNAS LÄN</t>
        </is>
      </c>
      <c r="G95" t="inlineStr">
        <is>
          <t>SÄTER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46234</v>
      </c>
      <c r="F96" t="inlineStr">
        <is>
          <t>DALARNAS LÄN</t>
        </is>
      </c>
      <c r="G96" t="inlineStr">
        <is>
          <t>SÄTER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45664</v>
      </c>
      <c r="E97" s="1" t="n">
        <v>46234</v>
      </c>
      <c r="F97" t="inlineStr">
        <is>
          <t>DALARNAS LÄN</t>
        </is>
      </c>
      <c r="G97" t="inlineStr">
        <is>
          <t>SÄTER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  <c r="Z97">
        <f>HYPERLINK("https://klasma.github.io/Logging_2082/knärot/A 498-2025 karta knärot.png", "A 498-2025")</f>
        <v/>
      </c>
      <c r="AA97">
        <f>HYPERLINK("https://klasma.github.io/Logging_2082/klagomål/A 498-2025 FSC-klagomål.docx", "A 498-2025")</f>
        <v/>
      </c>
      <c r="AB97">
        <f>HYPERLINK("https://klasma.github.io/Logging_2082/klagomålsmail/A 498-2025 FSC-klagomål mail.docx", "A 498-2025")</f>
        <v/>
      </c>
      <c r="AC97">
        <f>HYPERLINK("https://klasma.github.io/Logging_2082/tillsyn/A 498-2025 tillsynsbegäran.docx", "A 498-2025")</f>
        <v/>
      </c>
      <c r="AD97">
        <f>HYPERLINK("https://klasma.github.io/Logging_2082/tillsynsmail/A 498-2025 tillsynsbegäran mail.docx", "A 498-2025")</f>
        <v/>
      </c>
    </row>
    <row r="98" ht="15" customHeight="1">
      <c r="A98" t="inlineStr">
        <is>
          <t>A 8697-2023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46234</v>
      </c>
      <c r="F98" t="inlineStr">
        <is>
          <t>DALARNAS LÄN</t>
        </is>
      </c>
      <c r="G98" t="inlineStr">
        <is>
          <t>SÄTER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46234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50649-2025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46234</v>
      </c>
      <c r="F100" t="inlineStr">
        <is>
          <t>DALARNAS LÄN</t>
        </is>
      </c>
      <c r="G100" t="inlineStr">
        <is>
          <t>SÄTER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46234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46234</v>
      </c>
      <c r="F102" t="inlineStr">
        <is>
          <t>DALARNAS LÄN</t>
        </is>
      </c>
      <c r="G102" t="inlineStr">
        <is>
          <t>SÄTER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46234</v>
      </c>
      <c r="F103" t="inlineStr">
        <is>
          <t>DALARNAS LÄN</t>
        </is>
      </c>
      <c r="G103" t="inlineStr">
        <is>
          <t>SÄTER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45161-2021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44439</v>
      </c>
      <c r="E104" s="1" t="n">
        <v>46234</v>
      </c>
      <c r="F104" t="inlineStr">
        <is>
          <t>DALARNAS LÄN</t>
        </is>
      </c>
      <c r="G104" t="inlineStr">
        <is>
          <t>SÄTER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46234</v>
      </c>
      <c r="F105" t="inlineStr">
        <is>
          <t>DALARNAS LÄN</t>
        </is>
      </c>
      <c r="G105" t="inlineStr">
        <is>
          <t>SÄTER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22970-2025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46234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46234</v>
      </c>
      <c r="F107" t="inlineStr">
        <is>
          <t>DALARNAS LÄN</t>
        </is>
      </c>
      <c r="G107" t="inlineStr">
        <is>
          <t>SÄTER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46234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43725-2021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44433</v>
      </c>
      <c r="E109" s="1" t="n">
        <v>46234</v>
      </c>
      <c r="F109" t="inlineStr">
        <is>
          <t>DALARNAS LÄN</t>
        </is>
      </c>
      <c r="G109" t="inlineStr">
        <is>
          <t>SÄTER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49661-2021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46234</v>
      </c>
      <c r="F110" t="inlineStr">
        <is>
          <t>DALARNAS LÄN</t>
        </is>
      </c>
      <c r="G110" t="inlineStr">
        <is>
          <t>SÄTER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45365</v>
      </c>
      <c r="E111" s="1" t="n">
        <v>46234</v>
      </c>
      <c r="F111" t="inlineStr">
        <is>
          <t>DALARNAS LÄN</t>
        </is>
      </c>
      <c r="G111" t="inlineStr">
        <is>
          <t>SÄTER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45666</v>
      </c>
      <c r="E112" s="1" t="n">
        <v>46234</v>
      </c>
      <c r="F112" t="inlineStr">
        <is>
          <t>DALARNAS LÄN</t>
        </is>
      </c>
      <c r="G112" t="inlineStr">
        <is>
          <t>SÄTER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33482-2023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46234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46234</v>
      </c>
      <c r="F114" t="inlineStr">
        <is>
          <t>DALARNAS LÄN</t>
        </is>
      </c>
      <c r="G114" t="inlineStr">
        <is>
          <t>SÄTER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46234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46234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46234</v>
      </c>
      <c r="F117" t="inlineStr">
        <is>
          <t>DALARNAS LÄN</t>
        </is>
      </c>
      <c r="G117" t="inlineStr">
        <is>
          <t>SÄTER</t>
        </is>
      </c>
      <c r="H117" t="inlineStr">
        <is>
          <t>Kommuner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45462</v>
      </c>
      <c r="E118" s="1" t="n">
        <v>46234</v>
      </c>
      <c r="F118" t="inlineStr">
        <is>
          <t>DALARNAS LÄN</t>
        </is>
      </c>
      <c r="G118" t="inlineStr">
        <is>
          <t>SÄTER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46234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46234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46234</v>
      </c>
      <c r="F121" t="inlineStr">
        <is>
          <t>DALARNAS LÄN</t>
        </is>
      </c>
      <c r="G121" t="inlineStr">
        <is>
          <t>SÄTER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25793-2025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46234</v>
      </c>
      <c r="F122" t="inlineStr">
        <is>
          <t>DALARNAS LÄN</t>
        </is>
      </c>
      <c r="G122" t="inlineStr">
        <is>
          <t>SÄTER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45804</v>
      </c>
      <c r="E123" s="1" t="n">
        <v>46234</v>
      </c>
      <c r="F123" t="inlineStr">
        <is>
          <t>DALARNAS LÄN</t>
        </is>
      </c>
      <c r="G123" t="inlineStr">
        <is>
          <t>SÄTER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46234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46234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46234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41.4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46234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46234</v>
      </c>
      <c r="F128" t="inlineStr">
        <is>
          <t>DALARNAS LÄN</t>
        </is>
      </c>
      <c r="G128" t="inlineStr">
        <is>
          <t>SÄTER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45951</v>
      </c>
      <c r="E129" s="1" t="n">
        <v>46234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51824-2025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46234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46234</v>
      </c>
      <c r="F131" t="inlineStr">
        <is>
          <t>DALARNAS LÄN</t>
        </is>
      </c>
      <c r="G131" t="inlineStr">
        <is>
          <t>SÄTER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46234</v>
      </c>
      <c r="F132" t="inlineStr">
        <is>
          <t>DALARNAS LÄN</t>
        </is>
      </c>
      <c r="G132" t="inlineStr">
        <is>
          <t>SÄTER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44784</v>
      </c>
      <c r="E133" s="1" t="n">
        <v>46234</v>
      </c>
      <c r="F133" t="inlineStr">
        <is>
          <t>DALARNAS LÄN</t>
        </is>
      </c>
      <c r="G133" t="inlineStr">
        <is>
          <t>SÄTER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46234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18888-2022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44690</v>
      </c>
      <c r="E135" s="1" t="n">
        <v>46234</v>
      </c>
      <c r="F135" t="inlineStr">
        <is>
          <t>DALARNAS LÄN</t>
        </is>
      </c>
      <c r="G135" t="inlineStr">
        <is>
          <t>SÄTER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46234</v>
      </c>
      <c r="F136" t="inlineStr">
        <is>
          <t>DALARNAS LÄN</t>
        </is>
      </c>
      <c r="G136" t="inlineStr">
        <is>
          <t>SÄTER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46234</v>
      </c>
      <c r="F137" t="inlineStr">
        <is>
          <t>DALARNAS LÄN</t>
        </is>
      </c>
      <c r="G137" t="inlineStr">
        <is>
          <t>SÄTER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46234</v>
      </c>
      <c r="F138" t="inlineStr">
        <is>
          <t>DALARNAS LÄN</t>
        </is>
      </c>
      <c r="G138" t="inlineStr">
        <is>
          <t>SÄTER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46234</v>
      </c>
      <c r="F139" t="inlineStr">
        <is>
          <t>DALARNAS LÄN</t>
        </is>
      </c>
      <c r="G139" t="inlineStr">
        <is>
          <t>SÄTER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46234</v>
      </c>
      <c r="F140" t="inlineStr">
        <is>
          <t>DALARNAS LÄN</t>
        </is>
      </c>
      <c r="G140" t="inlineStr">
        <is>
          <t>SÄTER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45874</v>
      </c>
      <c r="E141" s="1" t="n">
        <v>46234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46234</v>
      </c>
      <c r="F142" t="inlineStr">
        <is>
          <t>DALARNAS LÄN</t>
        </is>
      </c>
      <c r="G142" t="inlineStr">
        <is>
          <t>SÄTER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45961</v>
      </c>
      <c r="E143" s="1" t="n">
        <v>46234</v>
      </c>
      <c r="F143" t="inlineStr">
        <is>
          <t>DALARNAS LÄN</t>
        </is>
      </c>
      <c r="G143" t="inlineStr">
        <is>
          <t>SÄTER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53559-2025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45960</v>
      </c>
      <c r="E144" s="1" t="n">
        <v>46234</v>
      </c>
      <c r="F144" t="inlineStr">
        <is>
          <t>DALARNAS LÄN</t>
        </is>
      </c>
      <c r="G144" t="inlineStr">
        <is>
          <t>SÄTER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44585</v>
      </c>
      <c r="E145" s="1" t="n">
        <v>46234</v>
      </c>
      <c r="F145" t="inlineStr">
        <is>
          <t>DALARNAS LÄN</t>
        </is>
      </c>
      <c r="G145" t="inlineStr">
        <is>
          <t>SÄTER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46234</v>
      </c>
      <c r="F146" t="inlineStr">
        <is>
          <t>DALARNAS LÄN</t>
        </is>
      </c>
      <c r="G146" t="inlineStr">
        <is>
          <t>SÄTER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46234</v>
      </c>
      <c r="F147" t="inlineStr">
        <is>
          <t>DALARNAS LÄN</t>
        </is>
      </c>
      <c r="G147" t="inlineStr">
        <is>
          <t>SÄTER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46234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46234</v>
      </c>
      <c r="F149" t="inlineStr">
        <is>
          <t>DALARNAS LÄN</t>
        </is>
      </c>
      <c r="G149" t="inlineStr">
        <is>
          <t>SÄTER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46234</v>
      </c>
      <c r="F150" t="inlineStr">
        <is>
          <t>DALARNAS LÄN</t>
        </is>
      </c>
      <c r="G150" t="inlineStr">
        <is>
          <t>SÄTER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45740</v>
      </c>
      <c r="E151" s="1" t="n">
        <v>46234</v>
      </c>
      <c r="F151" t="inlineStr">
        <is>
          <t>DALARNAS LÄN</t>
        </is>
      </c>
      <c r="G151" t="inlineStr">
        <is>
          <t>SÄTER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44727</v>
      </c>
      <c r="E152" s="1" t="n">
        <v>46234</v>
      </c>
      <c r="F152" t="inlineStr">
        <is>
          <t>DALARNAS LÄN</t>
        </is>
      </c>
      <c r="G152" t="inlineStr">
        <is>
          <t>SÄTER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36549-2025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45870</v>
      </c>
      <c r="E153" s="1" t="n">
        <v>46234</v>
      </c>
      <c r="F153" t="inlineStr">
        <is>
          <t>DALARNAS LÄN</t>
        </is>
      </c>
      <c r="G153" t="inlineStr">
        <is>
          <t>SÄTER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45971</v>
      </c>
      <c r="E154" s="1" t="n">
        <v>46234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45232</v>
      </c>
      <c r="E155" s="1" t="n">
        <v>46234</v>
      </c>
      <c r="F155" t="inlineStr">
        <is>
          <t>DALARNAS LÄN</t>
        </is>
      </c>
      <c r="G155" t="inlineStr">
        <is>
          <t>SÄTER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45875</v>
      </c>
      <c r="E156" s="1" t="n">
        <v>46234</v>
      </c>
      <c r="F156" t="inlineStr">
        <is>
          <t>DALARNAS LÄN</t>
        </is>
      </c>
      <c r="G156" t="inlineStr">
        <is>
          <t>SÄTER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46234</v>
      </c>
      <c r="F157" t="inlineStr">
        <is>
          <t>DALARNAS LÄN</t>
        </is>
      </c>
      <c r="G157" t="inlineStr">
        <is>
          <t>SÄTER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44609</v>
      </c>
      <c r="E158" s="1" t="n">
        <v>46234</v>
      </c>
      <c r="F158" t="inlineStr">
        <is>
          <t>DALARNAS LÄN</t>
        </is>
      </c>
      <c r="G158" t="inlineStr">
        <is>
          <t>SÄTER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46234</v>
      </c>
      <c r="F159" t="inlineStr">
        <is>
          <t>DALARNAS LÄN</t>
        </is>
      </c>
      <c r="G159" t="inlineStr">
        <is>
          <t>SÄTER</t>
        </is>
      </c>
      <c r="I159" t="n">
        <v>10.8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46234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46234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46234</v>
      </c>
      <c r="F162" t="inlineStr">
        <is>
          <t>DALARNAS LÄN</t>
        </is>
      </c>
      <c r="G162" t="inlineStr">
        <is>
          <t>SÄTER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45622</v>
      </c>
      <c r="E163" s="1" t="n">
        <v>46234</v>
      </c>
      <c r="F163" t="inlineStr">
        <is>
          <t>DALARNAS LÄN</t>
        </is>
      </c>
      <c r="G163" t="inlineStr">
        <is>
          <t>SÄTER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46234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45992</v>
      </c>
      <c r="E165" s="1" t="n">
        <v>46234</v>
      </c>
      <c r="F165" t="inlineStr">
        <is>
          <t>DALARNAS LÄN</t>
        </is>
      </c>
      <c r="G165" t="inlineStr">
        <is>
          <t>SÄTER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45599</v>
      </c>
      <c r="E166" s="1" t="n">
        <v>46234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45993</v>
      </c>
      <c r="E167" s="1" t="n">
        <v>46234</v>
      </c>
      <c r="F167" t="inlineStr">
        <is>
          <t>DALARNAS LÄN</t>
        </is>
      </c>
      <c r="G167" t="inlineStr">
        <is>
          <t>SÄTER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45604</v>
      </c>
      <c r="E168" s="1" t="n">
        <v>46234</v>
      </c>
      <c r="F168" t="inlineStr">
        <is>
          <t>DALARNAS LÄN</t>
        </is>
      </c>
      <c r="G168" t="inlineStr">
        <is>
          <t>SÄTER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46234</v>
      </c>
      <c r="F169" t="inlineStr">
        <is>
          <t>DALARNAS LÄN</t>
        </is>
      </c>
      <c r="G169" t="inlineStr">
        <is>
          <t>SÄTER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46234</v>
      </c>
      <c r="F170" t="inlineStr">
        <is>
          <t>DALARNAS LÄN</t>
        </is>
      </c>
      <c r="G170" t="inlineStr">
        <is>
          <t>SÄTER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46234</v>
      </c>
      <c r="F171" t="inlineStr">
        <is>
          <t>DALARNAS LÄN</t>
        </is>
      </c>
      <c r="G171" t="inlineStr">
        <is>
          <t>SÄTER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46234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45138</v>
      </c>
      <c r="E173" s="1" t="n">
        <v>46234</v>
      </c>
      <c r="F173" t="inlineStr">
        <is>
          <t>DALARNAS LÄN</t>
        </is>
      </c>
      <c r="G173" t="inlineStr">
        <is>
          <t>SÄTER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41564-2021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44425</v>
      </c>
      <c r="E174" s="1" t="n">
        <v>46234</v>
      </c>
      <c r="F174" t="inlineStr">
        <is>
          <t>DALARNAS LÄN</t>
        </is>
      </c>
      <c r="G174" t="inlineStr">
        <is>
          <t>SÄTER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45063</v>
      </c>
      <c r="E175" s="1" t="n">
        <v>46234</v>
      </c>
      <c r="F175" t="inlineStr">
        <is>
          <t>DALARNAS LÄN</t>
        </is>
      </c>
      <c r="G175" t="inlineStr">
        <is>
          <t>SÄTER</t>
        </is>
      </c>
      <c r="H175" t="inlineStr">
        <is>
          <t>Kommuner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44960</v>
      </c>
      <c r="E176" s="1" t="n">
        <v>46234</v>
      </c>
      <c r="F176" t="inlineStr">
        <is>
          <t>DALARNAS LÄN</t>
        </is>
      </c>
      <c r="G176" t="inlineStr">
        <is>
          <t>SÄTER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45190</v>
      </c>
      <c r="E177" s="1" t="n">
        <v>46234</v>
      </c>
      <c r="F177" t="inlineStr">
        <is>
          <t>DALARNAS LÄN</t>
        </is>
      </c>
      <c r="G177" t="inlineStr">
        <is>
          <t>SÄTER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46234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63684-2025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46014</v>
      </c>
      <c r="E179" s="1" t="n">
        <v>46234</v>
      </c>
      <c r="F179" t="inlineStr">
        <is>
          <t>DALARNAS LÄN</t>
        </is>
      </c>
      <c r="G179" t="inlineStr">
        <is>
          <t>SÄTER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46234</v>
      </c>
      <c r="F180" t="inlineStr">
        <is>
          <t>DALARNAS LÄN</t>
        </is>
      </c>
      <c r="G180" t="inlineStr">
        <is>
          <t>SÄTER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46234</v>
      </c>
      <c r="F181" t="inlineStr">
        <is>
          <t>DALARNAS LÄN</t>
        </is>
      </c>
      <c r="G181" t="inlineStr">
        <is>
          <t>SÄTER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46234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46026</v>
      </c>
      <c r="E183" s="1" t="n">
        <v>46234</v>
      </c>
      <c r="F183" t="inlineStr">
        <is>
          <t>DALARNAS LÄN</t>
        </is>
      </c>
      <c r="G183" t="inlineStr">
        <is>
          <t>SÄTER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46027</v>
      </c>
      <c r="E184" s="1" t="n">
        <v>46234</v>
      </c>
      <c r="F184" t="inlineStr">
        <is>
          <t>DALARNAS LÄN</t>
        </is>
      </c>
      <c r="G184" t="inlineStr">
        <is>
          <t>SÄTER</t>
        </is>
      </c>
      <c r="I184" t="n">
        <v>12.1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46234</v>
      </c>
      <c r="F185" t="inlineStr">
        <is>
          <t>DALARNAS LÄN</t>
        </is>
      </c>
      <c r="G185" t="inlineStr">
        <is>
          <t>SÄTER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46030</v>
      </c>
      <c r="E186" s="1" t="n">
        <v>46234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46234</v>
      </c>
      <c r="F187" t="inlineStr">
        <is>
          <t>DALARNAS LÄN</t>
        </is>
      </c>
      <c r="G187" t="inlineStr">
        <is>
          <t>SÄTER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46234</v>
      </c>
      <c r="F188" t="inlineStr">
        <is>
          <t>DALARNAS LÄN</t>
        </is>
      </c>
      <c r="G188" t="inlineStr">
        <is>
          <t>SÄTER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46234</v>
      </c>
      <c r="F189" t="inlineStr">
        <is>
          <t>DALARNAS LÄN</t>
        </is>
      </c>
      <c r="G189" t="inlineStr">
        <is>
          <t>SÄTER</t>
        </is>
      </c>
      <c r="H189" t="inlineStr">
        <is>
          <t>Kommuner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46234</v>
      </c>
      <c r="F190" t="inlineStr">
        <is>
          <t>DALARNAS LÄN</t>
        </is>
      </c>
      <c r="G190" t="inlineStr">
        <is>
          <t>SÄTER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46234</v>
      </c>
      <c r="F191" t="inlineStr">
        <is>
          <t>DALARNAS LÄN</t>
        </is>
      </c>
      <c r="G191" t="inlineStr">
        <is>
          <t>SÄTER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46234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46234</v>
      </c>
      <c r="F193" t="inlineStr">
        <is>
          <t>DALARNAS LÄN</t>
        </is>
      </c>
      <c r="G193" t="inlineStr">
        <is>
          <t>SÄTER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46234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46234</v>
      </c>
      <c r="F195" t="inlineStr">
        <is>
          <t>DALARNAS LÄN</t>
        </is>
      </c>
      <c r="G195" t="inlineStr">
        <is>
          <t>SÄTER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46234</v>
      </c>
      <c r="F196" t="inlineStr">
        <is>
          <t>DALARNAS LÄN</t>
        </is>
      </c>
      <c r="G196" t="inlineStr">
        <is>
          <t>SÄTER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46234</v>
      </c>
      <c r="F197" t="inlineStr">
        <is>
          <t>DALARNAS LÄN</t>
        </is>
      </c>
      <c r="G197" t="inlineStr">
        <is>
          <t>SÄTER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46234</v>
      </c>
      <c r="F198" t="inlineStr">
        <is>
          <t>DALARNAS LÄN</t>
        </is>
      </c>
      <c r="G198" t="inlineStr">
        <is>
          <t>SÄTER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46234</v>
      </c>
      <c r="F199" t="inlineStr">
        <is>
          <t>DALARNAS LÄN</t>
        </is>
      </c>
      <c r="G199" t="inlineStr">
        <is>
          <t>SÄTER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46234</v>
      </c>
      <c r="F200" t="inlineStr">
        <is>
          <t>DALARNAS LÄN</t>
        </is>
      </c>
      <c r="G200" t="inlineStr">
        <is>
          <t>SÄTER</t>
        </is>
      </c>
      <c r="I200" t="n">
        <v>13.2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46234</v>
      </c>
      <c r="F201" t="inlineStr">
        <is>
          <t>DALARNAS LÄN</t>
        </is>
      </c>
      <c r="G201" t="inlineStr">
        <is>
          <t>SÄTER</t>
        </is>
      </c>
      <c r="I201" t="n">
        <v>10.6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46234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46045</v>
      </c>
      <c r="E203" s="1" t="n">
        <v>46234</v>
      </c>
      <c r="F203" t="inlineStr">
        <is>
          <t>DALARNAS LÄN</t>
        </is>
      </c>
      <c r="G203" t="inlineStr">
        <is>
          <t>SÄTER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44982</v>
      </c>
      <c r="E204" s="1" t="n">
        <v>46234</v>
      </c>
      <c r="F204" t="inlineStr">
        <is>
          <t>DALARNAS LÄN</t>
        </is>
      </c>
      <c r="G204" t="inlineStr">
        <is>
          <t>SÄTER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46045</v>
      </c>
      <c r="E205" s="1" t="n">
        <v>46234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46234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46234</v>
      </c>
      <c r="F207" t="inlineStr">
        <is>
          <t>DALARNAS LÄN</t>
        </is>
      </c>
      <c r="G207" t="inlineStr">
        <is>
          <t>SÄTER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57416-2022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44896</v>
      </c>
      <c r="E208" s="1" t="n">
        <v>46234</v>
      </c>
      <c r="F208" t="inlineStr">
        <is>
          <t>DALARNAS LÄN</t>
        </is>
      </c>
      <c r="G208" t="inlineStr">
        <is>
          <t>SÄTER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  <c r="Z208">
        <f>HYPERLINK("https://klasma.github.io/Logging_2082/knärot/A 57416-2022 karta knärot.png", "A 57416-2022")</f>
        <v/>
      </c>
      <c r="AA208">
        <f>HYPERLINK("https://klasma.github.io/Logging_2082/klagomål/A 57416-2022 FSC-klagomål.docx", "A 57416-2022")</f>
        <v/>
      </c>
      <c r="AB208">
        <f>HYPERLINK("https://klasma.github.io/Logging_2082/klagomålsmail/A 57416-2022 FSC-klagomål mail.docx", "A 57416-2022")</f>
        <v/>
      </c>
      <c r="AC208">
        <f>HYPERLINK("https://klasma.github.io/Logging_2082/tillsyn/A 57416-2022 tillsynsbegäran.docx", "A 57416-2022")</f>
        <v/>
      </c>
      <c r="AD208">
        <f>HYPERLINK("https://klasma.github.io/Logging_2082/tillsynsmail/A 57416-2022 tillsynsbegäran mail.docx", "A 57416-2022")</f>
        <v/>
      </c>
    </row>
    <row r="209" ht="15" customHeight="1">
      <c r="A209" t="inlineStr">
        <is>
          <t>A 5723-2026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46234</v>
      </c>
      <c r="F209" t="inlineStr">
        <is>
          <t>DALARNAS LÄN</t>
        </is>
      </c>
      <c r="G209" t="inlineStr">
        <is>
          <t>SÄTER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46234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46234</v>
      </c>
      <c r="F211" t="inlineStr">
        <is>
          <t>DALARNAS LÄN</t>
        </is>
      </c>
      <c r="G211" t="inlineStr">
        <is>
          <t>SÄTER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46234</v>
      </c>
      <c r="F212" t="inlineStr">
        <is>
          <t>DALARNAS LÄN</t>
        </is>
      </c>
      <c r="G212" t="inlineStr">
        <is>
          <t>SÄTER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44711</v>
      </c>
      <c r="E213" s="1" t="n">
        <v>46234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46065</v>
      </c>
      <c r="E214" s="1" t="n">
        <v>46234</v>
      </c>
      <c r="F214" t="inlineStr">
        <is>
          <t>DALARNAS LÄN</t>
        </is>
      </c>
      <c r="G214" t="inlineStr">
        <is>
          <t>SÄTER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46234</v>
      </c>
      <c r="F215" t="inlineStr">
        <is>
          <t>DALARNAS LÄN</t>
        </is>
      </c>
      <c r="G215" t="inlineStr">
        <is>
          <t>SÄTER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46234</v>
      </c>
      <c r="F216" t="inlineStr">
        <is>
          <t>DALARNAS LÄN</t>
        </is>
      </c>
      <c r="G216" t="inlineStr">
        <is>
          <t>SÄTER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46234</v>
      </c>
      <c r="F217" t="inlineStr">
        <is>
          <t>DALARNAS LÄN</t>
        </is>
      </c>
      <c r="G217" t="inlineStr">
        <is>
          <t>SÄTER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46234</v>
      </c>
      <c r="F218" t="inlineStr">
        <is>
          <t>DALARNAS LÄN</t>
        </is>
      </c>
      <c r="G218" t="inlineStr">
        <is>
          <t>SÄTER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44935</v>
      </c>
      <c r="E219" s="1" t="n">
        <v>46234</v>
      </c>
      <c r="F219" t="inlineStr">
        <is>
          <t>DALARNAS LÄN</t>
        </is>
      </c>
      <c r="G219" t="inlineStr">
        <is>
          <t>SÄTER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46234</v>
      </c>
      <c r="F220" t="inlineStr">
        <is>
          <t>DALARNAS LÄN</t>
        </is>
      </c>
      <c r="G220" t="inlineStr">
        <is>
          <t>SÄTER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46234</v>
      </c>
      <c r="F221" t="inlineStr">
        <is>
          <t>DALARNAS LÄN</t>
        </is>
      </c>
      <c r="G221" t="inlineStr">
        <is>
          <t>SÄTER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46234</v>
      </c>
      <c r="F222" t="inlineStr">
        <is>
          <t>DALARNAS LÄN</t>
        </is>
      </c>
      <c r="G222" t="inlineStr">
        <is>
          <t>SÄTER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44869</v>
      </c>
      <c r="E223" s="1" t="n">
        <v>46234</v>
      </c>
      <c r="F223" t="inlineStr">
        <is>
          <t>DALARNAS LÄN</t>
        </is>
      </c>
      <c r="G223" t="inlineStr">
        <is>
          <t>SÄTER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46234</v>
      </c>
      <c r="F224" t="inlineStr">
        <is>
          <t>DALARNAS LÄN</t>
        </is>
      </c>
      <c r="G224" t="inlineStr">
        <is>
          <t>SÄTER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46083</v>
      </c>
      <c r="E225" s="1" t="n">
        <v>46234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46234</v>
      </c>
      <c r="F226" t="inlineStr">
        <is>
          <t>DALARNAS LÄN</t>
        </is>
      </c>
      <c r="G226" t="inlineStr">
        <is>
          <t>SÄTER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45321</v>
      </c>
      <c r="E227" s="1" t="n">
        <v>46234</v>
      </c>
      <c r="F227" t="inlineStr">
        <is>
          <t>DALARNAS LÄN</t>
        </is>
      </c>
      <c r="G227" t="inlineStr">
        <is>
          <t>SÄTER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45628</v>
      </c>
      <c r="E228" s="1" t="n">
        <v>46234</v>
      </c>
      <c r="F228" t="inlineStr">
        <is>
          <t>DALARNAS LÄN</t>
        </is>
      </c>
      <c r="G228" t="inlineStr">
        <is>
          <t>SÄTER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46234</v>
      </c>
      <c r="F229" t="inlineStr">
        <is>
          <t>DALARNAS LÄN</t>
        </is>
      </c>
      <c r="G229" t="inlineStr">
        <is>
          <t>SÄTER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46087</v>
      </c>
      <c r="E230" s="1" t="n">
        <v>46234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51320-2024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45604</v>
      </c>
      <c r="E231" s="1" t="n">
        <v>46234</v>
      </c>
      <c r="F231" t="inlineStr">
        <is>
          <t>DALARNAS LÄN</t>
        </is>
      </c>
      <c r="G231" t="inlineStr">
        <is>
          <t>SÄTER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51324-2024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45604</v>
      </c>
      <c r="E232" s="1" t="n">
        <v>46234</v>
      </c>
      <c r="F232" t="inlineStr">
        <is>
          <t>DALARNAS LÄN</t>
        </is>
      </c>
      <c r="G232" t="inlineStr">
        <is>
          <t>SÄTER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12957-2026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46234</v>
      </c>
      <c r="F233" t="inlineStr">
        <is>
          <t>DALARNAS LÄN</t>
        </is>
      </c>
      <c r="G233" t="inlineStr">
        <is>
          <t>SÄTER</t>
        </is>
      </c>
      <c r="I233" t="n">
        <v>9.800000000000001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46234</v>
      </c>
      <c r="F234" t="inlineStr">
        <is>
          <t>DALARNAS LÄN</t>
        </is>
      </c>
      <c r="G234" t="inlineStr">
        <is>
          <t>SÄTER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46234</v>
      </c>
      <c r="F235" t="inlineStr">
        <is>
          <t>DALARNAS LÄN</t>
        </is>
      </c>
      <c r="G235" t="inlineStr">
        <is>
          <t>SÄTER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46234</v>
      </c>
      <c r="F236" t="inlineStr">
        <is>
          <t>DALARNAS LÄN</t>
        </is>
      </c>
      <c r="G236" t="inlineStr">
        <is>
          <t>SÄTER</t>
        </is>
      </c>
      <c r="H236" t="inlineStr">
        <is>
          <t>Kommuner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46234</v>
      </c>
      <c r="F237" t="inlineStr">
        <is>
          <t>DALARNAS LÄN</t>
        </is>
      </c>
      <c r="G237" t="inlineStr">
        <is>
          <t>SÄTER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46234</v>
      </c>
      <c r="F238" t="inlineStr">
        <is>
          <t>DALARNAS LÄN</t>
        </is>
      </c>
      <c r="G238" t="inlineStr">
        <is>
          <t>SÄTER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46234</v>
      </c>
      <c r="F239" t="inlineStr">
        <is>
          <t>DALARNAS LÄN</t>
        </is>
      </c>
      <c r="G239" t="inlineStr">
        <is>
          <t>SÄTER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45638</v>
      </c>
      <c r="E240" s="1" t="n">
        <v>46234</v>
      </c>
      <c r="F240" t="inlineStr">
        <is>
          <t>DALARNAS LÄN</t>
        </is>
      </c>
      <c r="G240" t="inlineStr">
        <is>
          <t>SÄTER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51323-2024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45604</v>
      </c>
      <c r="E241" s="1" t="n">
        <v>46234</v>
      </c>
      <c r="F241" t="inlineStr">
        <is>
          <t>DALARNAS LÄN</t>
        </is>
      </c>
      <c r="G241" t="inlineStr">
        <is>
          <t>SÄTER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46234</v>
      </c>
      <c r="F242" t="inlineStr">
        <is>
          <t>DALARNAS LÄN</t>
        </is>
      </c>
      <c r="G242" t="inlineStr">
        <is>
          <t>SÄTER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13899-2026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46098</v>
      </c>
      <c r="E243" s="1" t="n">
        <v>46234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46234</v>
      </c>
      <c r="F244" t="inlineStr">
        <is>
          <t>DALARNAS LÄN</t>
        </is>
      </c>
      <c r="G244" t="inlineStr">
        <is>
          <t>SÄTER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34991-2024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45527</v>
      </c>
      <c r="E245" s="1" t="n">
        <v>46234</v>
      </c>
      <c r="F245" t="inlineStr">
        <is>
          <t>DALARNAS LÄN</t>
        </is>
      </c>
      <c r="G245" t="inlineStr">
        <is>
          <t>SÄTER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51468-2024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45604</v>
      </c>
      <c r="E246" s="1" t="n">
        <v>46234</v>
      </c>
      <c r="F246" t="inlineStr">
        <is>
          <t>DALARNAS LÄN</t>
        </is>
      </c>
      <c r="G246" t="inlineStr">
        <is>
          <t>SÄTER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45527</v>
      </c>
      <c r="E247" s="1" t="n">
        <v>46234</v>
      </c>
      <c r="F247" t="inlineStr">
        <is>
          <t>DALARNAS LÄN</t>
        </is>
      </c>
      <c r="G247" t="inlineStr">
        <is>
          <t>SÄTER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46234</v>
      </c>
      <c r="F248" t="inlineStr">
        <is>
          <t>DALARNAS LÄN</t>
        </is>
      </c>
      <c r="G248" t="inlineStr">
        <is>
          <t>SÄTER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46234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46234</v>
      </c>
      <c r="F250" t="inlineStr">
        <is>
          <t>DALARNAS LÄN</t>
        </is>
      </c>
      <c r="G250" t="inlineStr">
        <is>
          <t>SÄTER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46234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46234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46234</v>
      </c>
      <c r="F253" t="inlineStr">
        <is>
          <t>DALARNAS LÄN</t>
        </is>
      </c>
      <c r="G253" t="inlineStr">
        <is>
          <t>SÄTER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46234</v>
      </c>
      <c r="F254" t="inlineStr">
        <is>
          <t>DALARNAS LÄN</t>
        </is>
      </c>
      <c r="G254" t="inlineStr">
        <is>
          <t>SÄTER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46234</v>
      </c>
      <c r="F255" t="inlineStr">
        <is>
          <t>DALARNAS LÄN</t>
        </is>
      </c>
      <c r="G255" t="inlineStr">
        <is>
          <t>SÄTER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16698-2026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46113</v>
      </c>
      <c r="E256" s="1" t="n">
        <v>46234</v>
      </c>
      <c r="F256" t="inlineStr">
        <is>
          <t>DALARNAS LÄN</t>
        </is>
      </c>
      <c r="G256" t="inlineStr">
        <is>
          <t>SÄTER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46234</v>
      </c>
      <c r="F257" t="inlineStr">
        <is>
          <t>DALARNAS LÄN</t>
        </is>
      </c>
      <c r="G257" t="inlineStr">
        <is>
          <t>SÄTER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46234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46234</v>
      </c>
      <c r="F259" t="inlineStr">
        <is>
          <t>DALARNAS LÄN</t>
        </is>
      </c>
      <c r="G259" t="inlineStr">
        <is>
          <t>SÄTER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17253-2026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46119</v>
      </c>
      <c r="E260" s="1" t="n">
        <v>46234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46234</v>
      </c>
      <c r="F261" t="inlineStr">
        <is>
          <t>DALARNAS LÄN</t>
        </is>
      </c>
      <c r="G261" t="inlineStr">
        <is>
          <t>SÄTER</t>
        </is>
      </c>
      <c r="I261" t="n">
        <v>15.2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14931-2024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46234</v>
      </c>
      <c r="F262" t="inlineStr">
        <is>
          <t>DALARNAS LÄN</t>
        </is>
      </c>
      <c r="G262" t="inlineStr">
        <is>
          <t>SÄTER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44965</v>
      </c>
      <c r="E263" s="1" t="n">
        <v>46234</v>
      </c>
      <c r="F263" t="inlineStr">
        <is>
          <t>DALARNAS LÄN</t>
        </is>
      </c>
      <c r="G263" t="inlineStr">
        <is>
          <t>SÄTER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39262-2021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44413</v>
      </c>
      <c r="E264" s="1" t="n">
        <v>46234</v>
      </c>
      <c r="F264" t="inlineStr">
        <is>
          <t>DALARNAS LÄN</t>
        </is>
      </c>
      <c r="G264" t="inlineStr">
        <is>
          <t>SÄTER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46234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45526</v>
      </c>
      <c r="E266" s="1" t="n">
        <v>46234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46234</v>
      </c>
      <c r="F267" t="inlineStr">
        <is>
          <t>DALARNAS LÄN</t>
        </is>
      </c>
      <c r="G267" t="inlineStr">
        <is>
          <t>SÄTER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46234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46234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46234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46234</v>
      </c>
      <c r="F271" t="inlineStr">
        <is>
          <t>DALARNAS LÄN</t>
        </is>
      </c>
      <c r="G271" t="inlineStr">
        <is>
          <t>SÄTER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46234</v>
      </c>
      <c r="F272" t="inlineStr">
        <is>
          <t>DALARNAS LÄN</t>
        </is>
      </c>
      <c r="G272" t="inlineStr">
        <is>
          <t>SÄTER</t>
        </is>
      </c>
      <c r="I272" t="n">
        <v>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46136</v>
      </c>
      <c r="E273" s="1" t="n">
        <v>46234</v>
      </c>
      <c r="F273" t="inlineStr">
        <is>
          <t>DALARNAS LÄN</t>
        </is>
      </c>
      <c r="G273" t="inlineStr">
        <is>
          <t>SÄTER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46234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46234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46234</v>
      </c>
      <c r="F276" t="inlineStr">
        <is>
          <t>DALARNAS LÄN</t>
        </is>
      </c>
      <c r="G276" t="inlineStr">
        <is>
          <t>SÄTER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52193-2021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44463</v>
      </c>
      <c r="E277" s="1" t="n">
        <v>46234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46234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23810-2024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45455</v>
      </c>
      <c r="E279" s="1" t="n">
        <v>46234</v>
      </c>
      <c r="F279" t="inlineStr">
        <is>
          <t>DALARNAS LÄN</t>
        </is>
      </c>
      <c r="G279" t="inlineStr">
        <is>
          <t>SÄTER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52220-2021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44462</v>
      </c>
      <c r="E280" s="1" t="n">
        <v>46234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46234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46234</v>
      </c>
      <c r="F282" t="inlineStr">
        <is>
          <t>DALARNAS LÄN</t>
        </is>
      </c>
      <c r="G282" t="inlineStr">
        <is>
          <t>SÄTER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46234</v>
      </c>
      <c r="F283" t="inlineStr">
        <is>
          <t>DALARNAS LÄN</t>
        </is>
      </c>
      <c r="G283" t="inlineStr">
        <is>
          <t>SÄTER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46234</v>
      </c>
      <c r="F284" t="inlineStr">
        <is>
          <t>DALARNAS LÄN</t>
        </is>
      </c>
      <c r="G284" t="inlineStr">
        <is>
          <t>SÄTER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45366</v>
      </c>
      <c r="E285" s="1" t="n">
        <v>46234</v>
      </c>
      <c r="F285" t="inlineStr">
        <is>
          <t>DALARNAS LÄN</t>
        </is>
      </c>
      <c r="G285" t="inlineStr">
        <is>
          <t>SÄTER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46234</v>
      </c>
      <c r="F286" t="inlineStr">
        <is>
          <t>DALARNAS LÄN</t>
        </is>
      </c>
      <c r="G286" t="inlineStr">
        <is>
          <t>SÄTER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19162-2022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44691</v>
      </c>
      <c r="E287" s="1" t="n">
        <v>46234</v>
      </c>
      <c r="F287" t="inlineStr">
        <is>
          <t>DALARNAS LÄN</t>
        </is>
      </c>
      <c r="G287" t="inlineStr">
        <is>
          <t>SÄTER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46234</v>
      </c>
      <c r="F288" t="inlineStr">
        <is>
          <t>DALARNAS LÄN</t>
        </is>
      </c>
      <c r="G288" t="inlineStr">
        <is>
          <t>SÄTER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46234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41959-2024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46234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46234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10.8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46234</v>
      </c>
      <c r="F292" t="inlineStr">
        <is>
          <t>DALARNAS LÄN</t>
        </is>
      </c>
      <c r="G292" t="inlineStr">
        <is>
          <t>SÄTER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46234</v>
      </c>
      <c r="F293" t="inlineStr">
        <is>
          <t>DALARNAS LÄN</t>
        </is>
      </c>
      <c r="G293" t="inlineStr">
        <is>
          <t>SÄTER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46234</v>
      </c>
      <c r="F294" t="inlineStr">
        <is>
          <t>DALARNAS LÄN</t>
        </is>
      </c>
      <c r="G294" t="inlineStr">
        <is>
          <t>SÄTER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46234</v>
      </c>
      <c r="F295" t="inlineStr">
        <is>
          <t>DALARNAS LÄN</t>
        </is>
      </c>
      <c r="G295" t="inlineStr">
        <is>
          <t>SÄTER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69744-2021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44532</v>
      </c>
      <c r="E296" s="1" t="n">
        <v>46234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20490-2026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46234</v>
      </c>
      <c r="F297" t="inlineStr">
        <is>
          <t>DALARNAS LÄN</t>
        </is>
      </c>
      <c r="G297" t="inlineStr">
        <is>
          <t>SÄTER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46098</v>
      </c>
      <c r="E298" s="1" t="n">
        <v>46234</v>
      </c>
      <c r="F298" t="inlineStr">
        <is>
          <t>DALARNAS LÄN</t>
        </is>
      </c>
      <c r="G298" t="inlineStr">
        <is>
          <t>SÄTER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46234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46234</v>
      </c>
      <c r="F300" t="inlineStr">
        <is>
          <t>DALARNAS LÄN</t>
        </is>
      </c>
      <c r="G300" t="inlineStr">
        <is>
          <t>SÄTER</t>
        </is>
      </c>
      <c r="H300" t="inlineStr">
        <is>
          <t>Kommuner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46234</v>
      </c>
      <c r="F301" t="inlineStr">
        <is>
          <t>DALARNAS LÄN</t>
        </is>
      </c>
      <c r="G301" t="inlineStr">
        <is>
          <t>SÄTER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46234</v>
      </c>
      <c r="F302" t="inlineStr">
        <is>
          <t>DALARNAS LÄN</t>
        </is>
      </c>
      <c r="G302" t="inlineStr">
        <is>
          <t>SÄTER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46234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46234</v>
      </c>
      <c r="F304" t="inlineStr">
        <is>
          <t>DALARNAS LÄN</t>
        </is>
      </c>
      <c r="G304" t="inlineStr">
        <is>
          <t>SÄTER</t>
        </is>
      </c>
      <c r="I304" t="n">
        <v>8.1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43610-2025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46234</v>
      </c>
      <c r="F305" t="inlineStr">
        <is>
          <t>DALARNAS LÄN</t>
        </is>
      </c>
      <c r="G305" t="inlineStr">
        <is>
          <t>SÄTER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45644</v>
      </c>
      <c r="E306" s="1" t="n">
        <v>46234</v>
      </c>
      <c r="F306" t="inlineStr">
        <is>
          <t>DALARNAS LÄN</t>
        </is>
      </c>
      <c r="G306" t="inlineStr">
        <is>
          <t>SÄTER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46234</v>
      </c>
      <c r="F307" t="inlineStr">
        <is>
          <t>DALARNAS LÄN</t>
        </is>
      </c>
      <c r="G307" t="inlineStr">
        <is>
          <t>SÄTER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46234</v>
      </c>
      <c r="F308" t="inlineStr">
        <is>
          <t>DALARNAS LÄN</t>
        </is>
      </c>
      <c r="G308" t="inlineStr">
        <is>
          <t>SÄTER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46234</v>
      </c>
      <c r="F309" t="inlineStr">
        <is>
          <t>DALARNAS LÄN</t>
        </is>
      </c>
      <c r="G309" t="inlineStr">
        <is>
          <t>SÄTER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46234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42.6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46234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45163</v>
      </c>
      <c r="E312" s="1" t="n">
        <v>46234</v>
      </c>
      <c r="F312" t="inlineStr">
        <is>
          <t>DALARNAS LÄN</t>
        </is>
      </c>
      <c r="G312" t="inlineStr">
        <is>
          <t>SÄTER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46234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39487-2022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46234</v>
      </c>
      <c r="F314" t="inlineStr">
        <is>
          <t>DALARNAS LÄN</t>
        </is>
      </c>
      <c r="G314" t="inlineStr">
        <is>
          <t>SÄTER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46234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46234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41556-2021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44425</v>
      </c>
      <c r="E317" s="1" t="n">
        <v>46234</v>
      </c>
      <c r="F317" t="inlineStr">
        <is>
          <t>DALARNAS LÄN</t>
        </is>
      </c>
      <c r="G317" t="inlineStr">
        <is>
          <t>SÄTER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46234</v>
      </c>
      <c r="F318" t="inlineStr">
        <is>
          <t>DALARNAS LÄN</t>
        </is>
      </c>
      <c r="G318" t="inlineStr">
        <is>
          <t>SÄTER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45546</v>
      </c>
      <c r="E319" s="1" t="n">
        <v>46234</v>
      </c>
      <c r="F319" t="inlineStr">
        <is>
          <t>DALARNAS LÄN</t>
        </is>
      </c>
      <c r="G319" t="inlineStr">
        <is>
          <t>SÄTER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46234</v>
      </c>
      <c r="F320" t="inlineStr">
        <is>
          <t>DALARNAS LÄN</t>
        </is>
      </c>
      <c r="G320" t="inlineStr">
        <is>
          <t>SÄTER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45622</v>
      </c>
      <c r="E321" s="1" t="n">
        <v>46234</v>
      </c>
      <c r="F321" t="inlineStr">
        <is>
          <t>DALARNAS LÄN</t>
        </is>
      </c>
      <c r="G321" t="inlineStr">
        <is>
          <t>SÄTER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44784</v>
      </c>
      <c r="E322" s="1" t="n">
        <v>46234</v>
      </c>
      <c r="F322" t="inlineStr">
        <is>
          <t>DALARNAS LÄN</t>
        </is>
      </c>
      <c r="G322" t="inlineStr">
        <is>
          <t>SÄTER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46154</v>
      </c>
      <c r="E323" s="1" t="n">
        <v>46234</v>
      </c>
      <c r="F323" t="inlineStr">
        <is>
          <t>DALARNAS LÄN</t>
        </is>
      </c>
      <c r="G323" t="inlineStr">
        <is>
          <t>SÄTER</t>
        </is>
      </c>
      <c r="I323" t="n">
        <v>9.6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46234</v>
      </c>
      <c r="F324" t="inlineStr">
        <is>
          <t>DALARNAS LÄN</t>
        </is>
      </c>
      <c r="G324" t="inlineStr">
        <is>
          <t>SÄTER</t>
        </is>
      </c>
      <c r="H324" t="inlineStr">
        <is>
          <t>Sveaskog</t>
        </is>
      </c>
      <c r="I324" t="n">
        <v>19.8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46234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9.5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46234</v>
      </c>
      <c r="F326" t="inlineStr">
        <is>
          <t>DALARNAS LÄN</t>
        </is>
      </c>
      <c r="G326" t="inlineStr">
        <is>
          <t>SÄTER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46234</v>
      </c>
      <c r="F327" t="inlineStr">
        <is>
          <t>DALARNAS LÄN</t>
        </is>
      </c>
      <c r="G327" t="inlineStr">
        <is>
          <t>SÄTER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46087</v>
      </c>
      <c r="E328" s="1" t="n">
        <v>46234</v>
      </c>
      <c r="F328" t="inlineStr">
        <is>
          <t>DALARNAS LÄN</t>
        </is>
      </c>
      <c r="G328" t="inlineStr">
        <is>
          <t>SÄTER</t>
        </is>
      </c>
      <c r="H328" t="inlineStr">
        <is>
          <t>Kommuner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46234</v>
      </c>
      <c r="F329" t="inlineStr">
        <is>
          <t>DALARNAS LÄN</t>
        </is>
      </c>
      <c r="G329" t="inlineStr">
        <is>
          <t>SÄTER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51333-2024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45604</v>
      </c>
      <c r="E330" s="1" t="n">
        <v>46234</v>
      </c>
      <c r="F330" t="inlineStr">
        <is>
          <t>DALARNAS LÄN</t>
        </is>
      </c>
      <c r="G330" t="inlineStr">
        <is>
          <t>SÄTER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46234</v>
      </c>
      <c r="F331" t="inlineStr">
        <is>
          <t>DALARNAS LÄN</t>
        </is>
      </c>
      <c r="G331" t="inlineStr">
        <is>
          <t>SÄTER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46234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46234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46234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32892-2022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46234</v>
      </c>
      <c r="F335" t="inlineStr">
        <is>
          <t>DALARNAS LÄN</t>
        </is>
      </c>
      <c r="G335" t="inlineStr">
        <is>
          <t>SÄTER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46234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45140</v>
      </c>
      <c r="E337" s="1" t="n">
        <v>46234</v>
      </c>
      <c r="F337" t="inlineStr">
        <is>
          <t>DALARNAS LÄN</t>
        </is>
      </c>
      <c r="G337" t="inlineStr">
        <is>
          <t>SÄTER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46234</v>
      </c>
      <c r="F338" t="inlineStr">
        <is>
          <t>DALARNAS LÄN</t>
        </is>
      </c>
      <c r="G338" t="inlineStr">
        <is>
          <t>SÄTER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45453</v>
      </c>
      <c r="E339" s="1" t="n">
        <v>46234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37923-2022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44811</v>
      </c>
      <c r="E340" s="1" t="n">
        <v>46234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45411</v>
      </c>
      <c r="E341" s="1" t="n">
        <v>46234</v>
      </c>
      <c r="F341" t="inlineStr">
        <is>
          <t>DALARNAS LÄN</t>
        </is>
      </c>
      <c r="G341" t="inlineStr">
        <is>
          <t>SÄTER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46211</v>
      </c>
      <c r="E342" s="1" t="n">
        <v>46234</v>
      </c>
      <c r="F342" t="inlineStr">
        <is>
          <t>DALARNAS LÄN</t>
        </is>
      </c>
      <c r="G342" t="inlineStr">
        <is>
          <t>SÄTER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24376-2026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46234</v>
      </c>
      <c r="F343" t="inlineStr">
        <is>
          <t>DALARNAS LÄN</t>
        </is>
      </c>
      <c r="G343" t="inlineStr">
        <is>
          <t>SÄTER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44992</v>
      </c>
      <c r="E344" s="1" t="n">
        <v>46234</v>
      </c>
      <c r="F344" t="inlineStr">
        <is>
          <t>DALARNAS LÄN</t>
        </is>
      </c>
      <c r="G344" t="inlineStr">
        <is>
          <t>SÄTER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45527</v>
      </c>
      <c r="E345" s="1" t="n">
        <v>46234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21766-2024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45442</v>
      </c>
      <c r="E346" s="1" t="n">
        <v>46234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46204</v>
      </c>
      <c r="E347" s="1" t="n">
        <v>46234</v>
      </c>
      <c r="F347" t="inlineStr">
        <is>
          <t>DALARNAS LÄN</t>
        </is>
      </c>
      <c r="G347" t="inlineStr">
        <is>
          <t>SÄTER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44643</v>
      </c>
      <c r="E348" s="1" t="n">
        <v>46234</v>
      </c>
      <c r="F348" t="inlineStr">
        <is>
          <t>DALARNAS LÄN</t>
        </is>
      </c>
      <c r="G348" t="inlineStr">
        <is>
          <t>SÄTER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46174</v>
      </c>
      <c r="E349" s="1" t="n">
        <v>46234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45628</v>
      </c>
      <c r="E350" s="1" t="n">
        <v>46234</v>
      </c>
      <c r="F350" t="inlineStr">
        <is>
          <t>DALARNAS LÄN</t>
        </is>
      </c>
      <c r="G350" t="inlineStr">
        <is>
          <t>SÄTER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46234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44953</v>
      </c>
      <c r="E352" s="1" t="n">
        <v>46234</v>
      </c>
      <c r="F352" t="inlineStr">
        <is>
          <t>DALARNAS LÄN</t>
        </is>
      </c>
      <c r="G352" t="inlineStr">
        <is>
          <t>SÄTER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46234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46234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42998-2023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45182</v>
      </c>
      <c r="E355" s="1" t="n">
        <v>46234</v>
      </c>
      <c r="F355" t="inlineStr">
        <is>
          <t>DALARNAS LÄN</t>
        </is>
      </c>
      <c r="G355" t="inlineStr">
        <is>
          <t>SÄTER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45604</v>
      </c>
      <c r="E356" s="1" t="n">
        <v>46234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46234</v>
      </c>
      <c r="F357" t="inlineStr">
        <is>
          <t>DALARNAS LÄN</t>
        </is>
      </c>
      <c r="G357" t="inlineStr">
        <is>
          <t>SÄTER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54310-2023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46234</v>
      </c>
      <c r="F358" t="inlineStr">
        <is>
          <t>DALARNAS LÄN</t>
        </is>
      </c>
      <c r="G358" t="inlineStr">
        <is>
          <t>SÄTER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46234</v>
      </c>
      <c r="F359" t="inlineStr">
        <is>
          <t>DALARNAS LÄN</t>
        </is>
      </c>
      <c r="G359" t="inlineStr">
        <is>
          <t>SÄTER</t>
        </is>
      </c>
      <c r="H359" t="inlineStr">
        <is>
          <t>Övriga statliga verk och myndigheter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44809</v>
      </c>
      <c r="E360" s="1" t="n">
        <v>46234</v>
      </c>
      <c r="F360" t="inlineStr">
        <is>
          <t>DALARNAS LÄN</t>
        </is>
      </c>
      <c r="G360" t="inlineStr">
        <is>
          <t>SÄTER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46234</v>
      </c>
      <c r="F361" t="inlineStr">
        <is>
          <t>DALARNAS LÄN</t>
        </is>
      </c>
      <c r="G361" t="inlineStr">
        <is>
          <t>SÄTER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33473-2022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44788</v>
      </c>
      <c r="E362" s="1" t="n">
        <v>46234</v>
      </c>
      <c r="F362" t="inlineStr">
        <is>
          <t>DALARNAS LÄN</t>
        </is>
      </c>
      <c r="G362" t="inlineStr">
        <is>
          <t>SÄTER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46234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46234</v>
      </c>
      <c r="F364" t="inlineStr">
        <is>
          <t>DALARNAS LÄN</t>
        </is>
      </c>
      <c r="G364" t="inlineStr">
        <is>
          <t>SÄTER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46234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46234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3057-2023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45182</v>
      </c>
      <c r="E367" s="1" t="n">
        <v>46234</v>
      </c>
      <c r="F367" t="inlineStr">
        <is>
          <t>DALARNAS LÄN</t>
        </is>
      </c>
      <c r="G367" t="inlineStr">
        <is>
          <t>SÄTER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46234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46234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46234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2939-2025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45951</v>
      </c>
      <c r="E371" s="1" t="n">
        <v>46234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46234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46234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2026-07-31T01:51:56Z</dcterms:created>
  <dcterms:modified xmlns:dcterms="http://purl.org/dc/terms/" xmlns:xsi="http://www.w3.org/2001/XMLSchema-instance" xsi:type="dcterms:W3CDTF">2026-07-31T01:51:56Z</dcterms:modified>
</cp:coreProperties>
</file>