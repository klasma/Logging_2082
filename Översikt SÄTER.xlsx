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46228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46228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46228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46228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46228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46228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46228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46228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t="n">
        <v>2</v>
      </c>
      <c r="V9" s="2" t="inlineStr">
        <is>
          <t>Lammticka
Dropptaggsvamp
Skarp dropptaggsvamp
Tallfingersvamp
Rökmusseron
Smal svampklubba</t>
        </is>
      </c>
      <c r="W9">
        <f>HYPERLINK("https://klasma.github.io/Logging_2082/artfynd/A 23464-2023 artfynd.xlsx", "A 23464-2023")</f>
        <v/>
      </c>
      <c r="X9">
        <f>HYPERLINK("https://klasma.github.io/Logging_2082/kartor/A 23464-2023 karta.png", "A 23464-2023")</f>
        <v/>
      </c>
      <c r="Y9">
        <f>HYPERLINK("https://klasma.github.io/Logging_2082/kartor_geotiff/A 23464-2023 georefererad karta.tif", "A 23464-2023")</f>
        <v/>
      </c>
      <c r="AA9">
        <f>HYPERLINK("https://klasma.github.io/Logging_2082/klagomål/A 23464-2023 FSC-klagomål.docx", "A 23464-2023")</f>
        <v/>
      </c>
      <c r="AB9">
        <f>HYPERLINK("https://klasma.github.io/Logging_2082/klagomålsmail/A 23464-2023 FSC-klagomål mail.docx", "A 23464-2023")</f>
        <v/>
      </c>
      <c r="AC9">
        <f>HYPERLINK("https://klasma.github.io/Logging_2082/tillsyn/A 23464-2023 tillsynsbegäran.docx", "A 23464-2023")</f>
        <v/>
      </c>
      <c r="AD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46228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t="n">
        <v>5</v>
      </c>
      <c r="V10" s="2" t="inlineStr">
        <is>
          <t>Knärot
Fjällig taggsvamp s.str.
Rynkskinn
Ullticka
Brandticka
Grönpyrola</t>
        </is>
      </c>
      <c r="W10">
        <f>HYPERLINK("https://klasma.github.io/Logging_2082/artfynd/S 2128-2025 artfynd.xlsx", "S 2128-2025")</f>
        <v/>
      </c>
      <c r="X10">
        <f>HYPERLINK("https://klasma.github.io/Logging_2082/kartor/S 2128-2025 karta.png", "S 2128-2025")</f>
        <v/>
      </c>
      <c r="Y10">
        <f>HYPERLINK("https://klasma.github.io/Logging_2082/kartor_geotiff/S 2128-2025 georefererad karta.tif", "S 2128-2025")</f>
        <v/>
      </c>
      <c r="Z10">
        <f>HYPERLINK("https://klasma.github.io/Logging_2082/knärot/S 2128-2025 karta knärot.png", "S 2128-2025")</f>
        <v/>
      </c>
      <c r="AA10">
        <f>HYPERLINK("https://klasma.github.io/Logging_2082/klagomål/S 2128-2025 FSC-klagomål.docx", "S 2128-2025")</f>
        <v/>
      </c>
      <c r="AB10">
        <f>HYPERLINK("https://klasma.github.io/Logging_2082/klagomålsmail/S 2128-2025 FSC-klagomål mail.docx", "S 2128-2025")</f>
        <v/>
      </c>
      <c r="AC10">
        <f>HYPERLINK("https://klasma.github.io/Logging_2082/tillsyn/S 2128-2025 tillsynsbegäran.docx", "S 2128-2025")</f>
        <v/>
      </c>
      <c r="AD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46228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Jungfrulin
Slåtterfibbla
Tvåblad
Blåsippa
Fläcknycklar</t>
        </is>
      </c>
      <c r="W11">
        <f>HYPERLINK("https://klasma.github.io/Logging_2082/artfynd/A 25699-2022 artfynd.xlsx", "A 25699-2022")</f>
        <v/>
      </c>
      <c r="X11">
        <f>HYPERLINK("https://klasma.github.io/Logging_2082/kartor/A 25699-2022 karta.png", "A 25699-2022")</f>
        <v/>
      </c>
      <c r="Y11">
        <f>HYPERLINK("https://klasma.github.io/Logging_2082/kartor_geotiff/A 25699-2022 georefererad karta.tif", "A 25699-2022")</f>
        <v/>
      </c>
      <c r="AA11">
        <f>HYPERLINK("https://klasma.github.io/Logging_2082/klagomål/A 25699-2022 FSC-klagomål.docx", "A 25699-2022")</f>
        <v/>
      </c>
      <c r="AB11">
        <f>HYPERLINK("https://klasma.github.io/Logging_2082/klagomålsmail/A 25699-2022 FSC-klagomål mail.docx", "A 25699-2022")</f>
        <v/>
      </c>
      <c r="AC11">
        <f>HYPERLINK("https://klasma.github.io/Logging_2082/tillsyn/A 25699-2022 tillsynsbegäran.docx", "A 25699-2022")</f>
        <v/>
      </c>
      <c r="AD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46228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3</v>
      </c>
      <c r="V12" s="2" t="inlineStr">
        <is>
          <t>Rynkskinn
Ullticka
Stuplav
Kungsfågel</t>
        </is>
      </c>
      <c r="W12">
        <f>HYPERLINK("https://klasma.github.io/Logging_2082/artfynd/A 42492-2025 artfynd.xlsx", "A 42492-2025")</f>
        <v/>
      </c>
      <c r="X12">
        <f>HYPERLINK("https://klasma.github.io/Logging_2082/kartor/A 42492-2025 karta.png", "A 42492-2025")</f>
        <v/>
      </c>
      <c r="Y12">
        <f>HYPERLINK("https://klasma.github.io/Logging_2082/kartor_geotiff/A 42492-2025 georefererad karta.tif", "A 42492-2025")</f>
        <v/>
      </c>
      <c r="AA12">
        <f>HYPERLINK("https://klasma.github.io/Logging_2082/klagomål/A 42492-2025 FSC-klagomål.docx", "A 42492-2025")</f>
        <v/>
      </c>
      <c r="AB12">
        <f>HYPERLINK("https://klasma.github.io/Logging_2082/klagomålsmail/A 42492-2025 FSC-klagomål mail.docx", "A 42492-2025")</f>
        <v/>
      </c>
      <c r="AC12">
        <f>HYPERLINK("https://klasma.github.io/Logging_2082/tillsyn/A 42492-2025 tillsynsbegäran.docx", "A 42492-2025")</f>
        <v/>
      </c>
      <c r="AD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46228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21382-2025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45781</v>
      </c>
      <c r="E14" s="1" t="n">
        <v>46228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37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Brudsporre
Revlummer
Äkta lopplummer</t>
        </is>
      </c>
      <c r="W14">
        <f>HYPERLINK("https://klasma.github.io/Logging_2082/artfynd/A 21382-2025 artfynd.xlsx", "A 21382-2025")</f>
        <v/>
      </c>
      <c r="X14">
        <f>HYPERLINK("https://klasma.github.io/Logging_2082/kartor/A 21382-2025 karta.png", "A 21382-2025")</f>
        <v/>
      </c>
      <c r="Y14">
        <f>HYPERLINK("https://klasma.github.io/Logging_2082/kartor_geotiff/A 21382-2025 georefererad karta.tif", "A 21382-2025")</f>
        <v/>
      </c>
      <c r="AA14">
        <f>HYPERLINK("https://klasma.github.io/Logging_2082/klagomål/A 21382-2025 FSC-klagomål.docx", "A 21382-2025")</f>
        <v/>
      </c>
      <c r="AB14">
        <f>HYPERLINK("https://klasma.github.io/Logging_2082/klagomålsmail/A 21382-2025 FSC-klagomål mail.docx", "A 21382-2025")</f>
        <v/>
      </c>
      <c r="AC14">
        <f>HYPERLINK("https://klasma.github.io/Logging_2082/tillsyn/A 21382-2025 tillsynsbegäran.docx", "A 21382-2025")</f>
        <v/>
      </c>
      <c r="AD14">
        <f>HYPERLINK("https://klasma.github.io/Logging_2082/tillsynsmail/A 21382-2025 tillsynsbegäran mail.docx", "A 21382-2025")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46228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46228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28.2</v>
      </c>
      <c r="J16" t="n">
        <v>1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Ask
Grönsångare
Kransmossa</t>
        </is>
      </c>
      <c r="W16">
        <f>HYPERLINK("https://klasma.github.io/Logging_2082/artfynd/A 12817-2026 artfynd.xlsx", "A 12817-2026")</f>
        <v/>
      </c>
      <c r="X16">
        <f>HYPERLINK("https://klasma.github.io/Logging_2082/kartor/A 12817-2026 karta.png", "A 12817-2026")</f>
        <v/>
      </c>
      <c r="Y16">
        <f>HYPERLINK("https://klasma.github.io/Logging_2082/kartor_geotiff/A 12817-2026 georefererad karta.tif", "A 12817-2026")</f>
        <v/>
      </c>
      <c r="AA16">
        <f>HYPERLINK("https://klasma.github.io/Logging_2082/klagomål/A 12817-2026 FSC-klagomål.docx", "A 12817-2026")</f>
        <v/>
      </c>
      <c r="AB16">
        <f>HYPERLINK("https://klasma.github.io/Logging_2082/klagomålsmail/A 12817-2026 FSC-klagomål mail.docx", "A 12817-2026")</f>
        <v/>
      </c>
      <c r="AC16">
        <f>HYPERLINK("https://klasma.github.io/Logging_2082/tillsyn/A 12817-2026 tillsynsbegäran.docx", "A 12817-2026")</f>
        <v/>
      </c>
      <c r="AD16">
        <f>HYPERLINK("https://klasma.github.io/Logging_2082/tillsynsmail/A 12817-2026 tillsynsbegäran mail.docx", "A 12817-2026")</f>
        <v/>
      </c>
      <c r="AE16">
        <f>HYPERLINK("https://klasma.github.io/Logging_2082/fåglar/A 12817-2026 prioriterade fågelarter.docx", "A 12817-2026")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46228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46228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46228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46228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23917-2024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45455</v>
      </c>
      <c r="E21" s="1" t="n">
        <v>46228</v>
      </c>
      <c r="F21" t="inlineStr">
        <is>
          <t>DALARNAS LÄN</t>
        </is>
      </c>
      <c r="G21" t="inlineStr">
        <is>
          <t>SÄTER</t>
        </is>
      </c>
      <c r="I21" t="n">
        <v>1.2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Ullticka
Svavelriska</t>
        </is>
      </c>
      <c r="W21">
        <f>HYPERLINK("https://klasma.github.io/Logging_2082/artfynd/A 23917-2024 artfynd.xlsx", "A 23917-2024")</f>
        <v/>
      </c>
      <c r="X21">
        <f>HYPERLINK("https://klasma.github.io/Logging_2082/kartor/A 23917-2024 karta.png", "A 23917-2024")</f>
        <v/>
      </c>
      <c r="Y21">
        <f>HYPERLINK("https://klasma.github.io/Logging_2082/kartor_geotiff/A 23917-2024 georefererad karta.tif", "A 23917-2024")</f>
        <v/>
      </c>
      <c r="AA21">
        <f>HYPERLINK("https://klasma.github.io/Logging_2082/klagomål/A 23917-2024 FSC-klagomål.docx", "A 23917-2024")</f>
        <v/>
      </c>
      <c r="AB21">
        <f>HYPERLINK("https://klasma.github.io/Logging_2082/klagomålsmail/A 23917-2024 FSC-klagomål mail.docx", "A 23917-2024")</f>
        <v/>
      </c>
      <c r="AC21">
        <f>HYPERLINK("https://klasma.github.io/Logging_2082/tillsyn/A 23917-2024 tillsynsbegäran.docx", "A 23917-2024")</f>
        <v/>
      </c>
      <c r="AD21">
        <f>HYPERLINK("https://klasma.github.io/Logging_2082/tillsynsmail/A 23917-2024 tillsynsbegäran mail.docx", "A 23917-2024")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46228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Motaggsvamp</t>
        </is>
      </c>
      <c r="W22">
        <f>HYPERLINK("https://klasma.github.io/Logging_2082/artfynd/A 49656-2025 artfynd.xlsx", "A 49656-2025")</f>
        <v/>
      </c>
      <c r="X22">
        <f>HYPERLINK("https://klasma.github.io/Logging_2082/kartor/A 49656-2025 karta.png", "A 49656-2025")</f>
        <v/>
      </c>
      <c r="Y22">
        <f>HYPERLINK("https://klasma.github.io/Logging_2082/kartor_geotiff/A 49656-2025 georefererad karta.tif", "A 49656-2025")</f>
        <v/>
      </c>
      <c r="Z22">
        <f>HYPERLINK("https://klasma.github.io/Logging_2082/knärot/A 49656-2025 karta knärot.png", "A 49656-2025")</f>
        <v/>
      </c>
      <c r="AA22">
        <f>HYPERLINK("https://klasma.github.io/Logging_2082/klagomål/A 49656-2025 FSC-klagomål.docx", "A 49656-2025")</f>
        <v/>
      </c>
      <c r="AB22">
        <f>HYPERLINK("https://klasma.github.io/Logging_2082/klagomålsmail/A 49656-2025 FSC-klagomål mail.docx", "A 49656-2025")</f>
        <v/>
      </c>
      <c r="AC22">
        <f>HYPERLINK("https://klasma.github.io/Logging_2082/tillsyn/A 49656-2025 tillsynsbegäran.docx", "A 49656-2025")</f>
        <v/>
      </c>
      <c r="AD22">
        <f>HYPERLINK("https://klasma.github.io/Logging_2082/tillsynsmail/A 49656-2025 tillsynsbegäran mail.docx", "A 49656-2025")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46228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46228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46228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46228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46228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46228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46228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46228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46228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46228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46228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46228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9682-2025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46228</v>
      </c>
      <c r="F35" t="inlineStr">
        <is>
          <t>DALARNAS LÄN</t>
        </is>
      </c>
      <c r="G35" t="inlineStr">
        <is>
          <t>SÄTER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Ögonpyrola</t>
        </is>
      </c>
      <c r="W35">
        <f>HYPERLINK("https://klasma.github.io/Logging_2082/artfynd/A 9682-2025 artfynd.xlsx", "A 9682-2025")</f>
        <v/>
      </c>
      <c r="X35">
        <f>HYPERLINK("https://klasma.github.io/Logging_2082/kartor/A 9682-2025 karta.png", "A 9682-2025")</f>
        <v/>
      </c>
      <c r="Y35">
        <f>HYPERLINK("https://klasma.github.io/Logging_2082/kartor_geotiff/A 9682-2025 georefererad karta.tif", "A 9682-2025")</f>
        <v/>
      </c>
      <c r="AA35">
        <f>HYPERLINK("https://klasma.github.io/Logging_2082/klagomål/A 9682-2025 FSC-klagomål.docx", "A 9682-2025")</f>
        <v/>
      </c>
      <c r="AB35">
        <f>HYPERLINK("https://klasma.github.io/Logging_2082/klagomålsmail/A 9682-2025 FSC-klagomål mail.docx", "A 9682-2025")</f>
        <v/>
      </c>
      <c r="AC35">
        <f>HYPERLINK("https://klasma.github.io/Logging_2082/tillsyn/A 9682-2025 tillsynsbegäran.docx", "A 9682-2025")</f>
        <v/>
      </c>
      <c r="AD35">
        <f>HYPERLINK("https://klasma.github.io/Logging_2082/tillsynsmail/A 9682-2025 tillsynsbegäran mail.docx", "A 9682-2025")</f>
        <v/>
      </c>
    </row>
    <row r="36" ht="15" customHeight="1">
      <c r="A36" t="inlineStr">
        <is>
          <t>A 21111-2026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46228</v>
      </c>
      <c r="F36" t="inlineStr">
        <is>
          <t>DALARNAS LÄN</t>
        </is>
      </c>
      <c r="G36" t="inlineStr">
        <is>
          <t>SÄTER</t>
        </is>
      </c>
      <c r="I36" t="n">
        <v>4.6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Fjällig taggsvamp s.str.</t>
        </is>
      </c>
      <c r="W36">
        <f>HYPERLINK("https://klasma.github.io/Logging_2082/artfynd/A 21111-2026 artfynd.xlsx", "A 21111-2026")</f>
        <v/>
      </c>
      <c r="X36">
        <f>HYPERLINK("https://klasma.github.io/Logging_2082/kartor/A 21111-2026 karta.png", "A 21111-2026")</f>
        <v/>
      </c>
      <c r="Y36">
        <f>HYPERLINK("https://klasma.github.io/Logging_2082/kartor_geotiff/A 21111-2026 georefererad karta.tif", "A 21111-2026")</f>
        <v/>
      </c>
      <c r="AA36">
        <f>HYPERLINK("https://klasma.github.io/Logging_2082/klagomål/A 21111-2026 FSC-klagomål.docx", "A 21111-2026")</f>
        <v/>
      </c>
      <c r="AB36">
        <f>HYPERLINK("https://klasma.github.io/Logging_2082/klagomålsmail/A 21111-2026 FSC-klagomål mail.docx", "A 21111-2026")</f>
        <v/>
      </c>
      <c r="AC36">
        <f>HYPERLINK("https://klasma.github.io/Logging_2082/tillsyn/A 21111-2026 tillsynsbegäran.docx", "A 21111-2026")</f>
        <v/>
      </c>
      <c r="AD36">
        <f>HYPERLINK("https://klasma.github.io/Logging_2082/tillsynsmail/A 21111-2026 tillsynsbegäran mail.docx", "A 21111-2026")</f>
        <v/>
      </c>
    </row>
    <row r="37" ht="15" customHeight="1">
      <c r="A37" t="inlineStr">
        <is>
          <t>A 21120-2026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46228</v>
      </c>
      <c r="F37" t="inlineStr">
        <is>
          <t>DALARNAS LÄN</t>
        </is>
      </c>
      <c r="G37" t="inlineStr">
        <is>
          <t>SÄTER</t>
        </is>
      </c>
      <c r="I37" t="n">
        <v>4.8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21120-2026 artfynd.xlsx", "A 21120-2026")</f>
        <v/>
      </c>
      <c r="X37">
        <f>HYPERLINK("https://klasma.github.io/Logging_2082/kartor/A 21120-2026 karta.png", "A 21120-2026")</f>
        <v/>
      </c>
      <c r="Y37">
        <f>HYPERLINK("https://klasma.github.io/Logging_2082/kartor_geotiff/A 21120-2026 georefererad karta.tif", "A 21120-2026")</f>
        <v/>
      </c>
      <c r="Z37">
        <f>HYPERLINK("https://klasma.github.io/Logging_2082/knärot/A 21120-2026 karta knärot.png", "A 21120-2026")</f>
        <v/>
      </c>
      <c r="AA37">
        <f>HYPERLINK("https://klasma.github.io/Logging_2082/klagomål/A 21120-2026 FSC-klagomål.docx", "A 21120-2026")</f>
        <v/>
      </c>
      <c r="AB37">
        <f>HYPERLINK("https://klasma.github.io/Logging_2082/klagomålsmail/A 21120-2026 FSC-klagomål mail.docx", "A 21120-2026")</f>
        <v/>
      </c>
      <c r="AC37">
        <f>HYPERLINK("https://klasma.github.io/Logging_2082/tillsyn/A 21120-2026 tillsynsbegäran.docx", "A 21120-2026")</f>
        <v/>
      </c>
      <c r="AD37">
        <f>HYPERLINK("https://klasma.github.io/Logging_2082/tillsynsmail/A 21120-2026 tillsynsbegäran mail.docx", "A 21120-2026")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46228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46228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68448-2021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46228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68448-2021 artfynd.xlsx", "A 68448-2021")</f>
        <v/>
      </c>
      <c r="X40">
        <f>HYPERLINK("https://klasma.github.io/Logging_2082/kartor/A 68448-2021 karta.png", "A 68448-2021")</f>
        <v/>
      </c>
      <c r="Y40">
        <f>HYPERLINK("https://klasma.github.io/Logging_2082/kartor_geotiff/A 68448-2021 georefererad karta.tif", "A 68448-2021")</f>
        <v/>
      </c>
      <c r="Z40">
        <f>HYPERLINK("https://klasma.github.io/Logging_2082/knärot/A 68448-2021 karta knärot.png", "A 68448-2021")</f>
        <v/>
      </c>
      <c r="AA40">
        <f>HYPERLINK("https://klasma.github.io/Logging_2082/klagomål/A 68448-2021 FSC-klagomål.docx", "A 68448-2021")</f>
        <v/>
      </c>
      <c r="AB40">
        <f>HYPERLINK("https://klasma.github.io/Logging_2082/klagomålsmail/A 68448-2021 FSC-klagomål mail.docx", "A 68448-2021")</f>
        <v/>
      </c>
      <c r="AC40">
        <f>HYPERLINK("https://klasma.github.io/Logging_2082/tillsyn/A 68448-2021 tillsynsbegäran.docx", "A 68448-2021")</f>
        <v/>
      </c>
      <c r="AD40">
        <f>HYPERLINK("https://klasma.github.io/Logging_2082/tillsynsmail/A 68448-2021 tillsynsbegäran mail.docx", "A 68448-2021")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46228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46228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46228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46228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46228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46228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46228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46228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46228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46228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46228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46228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46228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46228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46228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46228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46228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46228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46228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46228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46228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46228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46228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46228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46228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46228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44503</v>
      </c>
      <c r="E67" s="1" t="n">
        <v>46228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46228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46228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46228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46228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46228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46228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46228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46228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46228</v>
      </c>
      <c r="F76" t="inlineStr">
        <is>
          <t>DALARNAS LÄN</t>
        </is>
      </c>
      <c r="G76" t="inlineStr">
        <is>
          <t>SÄTER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46228</v>
      </c>
      <c r="F77" t="inlineStr">
        <is>
          <t>DALARNAS LÄN</t>
        </is>
      </c>
      <c r="G77" t="inlineStr">
        <is>
          <t>SÄTER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46228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46228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46228</v>
      </c>
      <c r="F80" t="inlineStr">
        <is>
          <t>DALARNAS LÄN</t>
        </is>
      </c>
      <c r="G80" t="inlineStr">
        <is>
          <t>SÄTER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46228</v>
      </c>
      <c r="F81" t="inlineStr">
        <is>
          <t>DALARNAS LÄN</t>
        </is>
      </c>
      <c r="G81" t="inlineStr">
        <is>
          <t>SÄTER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46228</v>
      </c>
      <c r="F82" t="inlineStr">
        <is>
          <t>DALARNAS LÄN</t>
        </is>
      </c>
      <c r="G82" t="inlineStr">
        <is>
          <t>SÄTER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46228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46228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46228</v>
      </c>
      <c r="F85" t="inlineStr">
        <is>
          <t>DALARNAS LÄN</t>
        </is>
      </c>
      <c r="G85" t="inlineStr">
        <is>
          <t>SÄTER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  <c r="Z85">
        <f>HYPERLINK("https://klasma.github.io/Logging_2082/knärot/A 498-2025 karta knärot.png", "A 498-2025")</f>
        <v/>
      </c>
      <c r="AA85">
        <f>HYPERLINK("https://klasma.github.io/Logging_2082/klagomål/A 498-2025 FSC-klagomål.docx", "A 498-2025")</f>
        <v/>
      </c>
      <c r="AB85">
        <f>HYPERLINK("https://klasma.github.io/Logging_2082/klagomålsmail/A 498-2025 FSC-klagomål mail.docx", "A 498-2025")</f>
        <v/>
      </c>
      <c r="AC85">
        <f>HYPERLINK("https://klasma.github.io/Logging_2082/tillsyn/A 498-2025 tillsynsbegäran.docx", "A 498-2025")</f>
        <v/>
      </c>
      <c r="AD85">
        <f>HYPERLINK("https://klasma.github.io/Logging_2082/tillsynsmail/A 498-2025 tillsynsbegäran mail.docx", "A 498-2025")</f>
        <v/>
      </c>
    </row>
    <row r="86" ht="15" customHeight="1">
      <c r="A86" t="inlineStr">
        <is>
          <t>A 8697-2023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44978</v>
      </c>
      <c r="E86" s="1" t="n">
        <v>46228</v>
      </c>
      <c r="F86" t="inlineStr">
        <is>
          <t>DALARNAS LÄN</t>
        </is>
      </c>
      <c r="G86" t="inlineStr">
        <is>
          <t>SÄTER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46228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46228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45161-2021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44439</v>
      </c>
      <c r="E89" s="1" t="n">
        <v>46228</v>
      </c>
      <c r="F89" t="inlineStr">
        <is>
          <t>DALARNAS LÄN</t>
        </is>
      </c>
      <c r="G89" t="inlineStr">
        <is>
          <t>SÄTER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45604</v>
      </c>
      <c r="E90" s="1" t="n">
        <v>46228</v>
      </c>
      <c r="F90" t="inlineStr">
        <is>
          <t>DALARNAS LÄN</t>
        </is>
      </c>
      <c r="G90" t="inlineStr">
        <is>
          <t>SÄTER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51339-2024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45604</v>
      </c>
      <c r="E91" s="1" t="n">
        <v>46228</v>
      </c>
      <c r="F91" t="inlineStr">
        <is>
          <t>DALARNAS LÄN</t>
        </is>
      </c>
      <c r="G91" t="inlineStr">
        <is>
          <t>SÄTER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46228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46228</v>
      </c>
      <c r="F93" t="inlineStr">
        <is>
          <t>DALARNAS LÄN</t>
        </is>
      </c>
      <c r="G93" t="inlineStr">
        <is>
          <t>SÄTER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44924</v>
      </c>
      <c r="E94" s="1" t="n">
        <v>46228</v>
      </c>
      <c r="F94" t="inlineStr">
        <is>
          <t>DALARNAS LÄN</t>
        </is>
      </c>
      <c r="G94" t="inlineStr">
        <is>
          <t>SÄTER</t>
        </is>
      </c>
      <c r="H94" t="inlineStr">
        <is>
          <t>Kommuner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46228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46228</v>
      </c>
      <c r="F96" t="inlineStr">
        <is>
          <t>DALARNAS LÄN</t>
        </is>
      </c>
      <c r="G96" t="inlineStr">
        <is>
          <t>SÄTER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45198</v>
      </c>
      <c r="E97" s="1" t="n">
        <v>46228</v>
      </c>
      <c r="F97" t="inlineStr">
        <is>
          <t>DALARNAS LÄN</t>
        </is>
      </c>
      <c r="G97" t="inlineStr">
        <is>
          <t>SÄTER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46228</v>
      </c>
      <c r="F98" t="inlineStr">
        <is>
          <t>DALARNAS LÄN</t>
        </is>
      </c>
      <c r="G98" t="inlineStr">
        <is>
          <t>SÄTER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46228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46228</v>
      </c>
      <c r="F100" t="inlineStr">
        <is>
          <t>DALARNAS LÄN</t>
        </is>
      </c>
      <c r="G100" t="inlineStr">
        <is>
          <t>SÄTER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46228</v>
      </c>
      <c r="F101" t="inlineStr">
        <is>
          <t>DALARNAS LÄN</t>
        </is>
      </c>
      <c r="G101" t="inlineStr">
        <is>
          <t>SÄTER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64788-2023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45282</v>
      </c>
      <c r="E102" s="1" t="n">
        <v>46228</v>
      </c>
      <c r="F102" t="inlineStr">
        <is>
          <t>DALARNAS LÄN</t>
        </is>
      </c>
      <c r="G102" t="inlineStr">
        <is>
          <t>SÄTER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46228</v>
      </c>
      <c r="F103" t="inlineStr">
        <is>
          <t>DALARNAS LÄN</t>
        </is>
      </c>
      <c r="G103" t="inlineStr">
        <is>
          <t>SÄTER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46228</v>
      </c>
      <c r="F104" t="inlineStr">
        <is>
          <t>DALARNAS LÄN</t>
        </is>
      </c>
      <c r="G104" t="inlineStr">
        <is>
          <t>SÄTER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24617-2022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46228</v>
      </c>
      <c r="F105" t="inlineStr">
        <is>
          <t>DALARNAS LÄN</t>
        </is>
      </c>
      <c r="G105" t="inlineStr">
        <is>
          <t>SÄTER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46228</v>
      </c>
      <c r="F106" t="inlineStr">
        <is>
          <t>DALARNAS LÄN</t>
        </is>
      </c>
      <c r="G106" t="inlineStr">
        <is>
          <t>SÄTER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46228</v>
      </c>
      <c r="F107" t="inlineStr">
        <is>
          <t>DALARNAS LÄN</t>
        </is>
      </c>
      <c r="G107" t="inlineStr">
        <is>
          <t>SÄTER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46228</v>
      </c>
      <c r="F108" t="inlineStr">
        <is>
          <t>DALARNAS LÄN</t>
        </is>
      </c>
      <c r="G108" t="inlineStr">
        <is>
          <t>SÄTER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46228</v>
      </c>
      <c r="F109" t="inlineStr">
        <is>
          <t>DALARNAS LÄN</t>
        </is>
      </c>
      <c r="G109" t="inlineStr">
        <is>
          <t>SÄTER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45875</v>
      </c>
      <c r="E110" s="1" t="n">
        <v>46228</v>
      </c>
      <c r="F110" t="inlineStr">
        <is>
          <t>DALARNAS LÄN</t>
        </is>
      </c>
      <c r="G110" t="inlineStr">
        <is>
          <t>SÄTER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46228</v>
      </c>
      <c r="F111" t="inlineStr">
        <is>
          <t>DALARNAS LÄN</t>
        </is>
      </c>
      <c r="G111" t="inlineStr">
        <is>
          <t>SÄTER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45622</v>
      </c>
      <c r="E112" s="1" t="n">
        <v>46228</v>
      </c>
      <c r="F112" t="inlineStr">
        <is>
          <t>DALARNAS LÄN</t>
        </is>
      </c>
      <c r="G112" t="inlineStr">
        <is>
          <t>SÄTER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45883</v>
      </c>
      <c r="E113" s="1" t="n">
        <v>46228</v>
      </c>
      <c r="F113" t="inlineStr">
        <is>
          <t>DALARNAS LÄN</t>
        </is>
      </c>
      <c r="G113" t="inlineStr">
        <is>
          <t>SÄTER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45599</v>
      </c>
      <c r="E114" s="1" t="n">
        <v>46228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46228</v>
      </c>
      <c r="F115" t="inlineStr">
        <is>
          <t>DALARNAS LÄN</t>
        </is>
      </c>
      <c r="G115" t="inlineStr">
        <is>
          <t>SÄTER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45561</v>
      </c>
      <c r="E116" s="1" t="n">
        <v>46228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45574</v>
      </c>
      <c r="E117" s="1" t="n">
        <v>46228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45604</v>
      </c>
      <c r="E118" s="1" t="n">
        <v>46228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46228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46228</v>
      </c>
      <c r="F120" t="inlineStr">
        <is>
          <t>DALARNAS LÄN</t>
        </is>
      </c>
      <c r="G120" t="inlineStr">
        <is>
          <t>SÄTER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61332-2023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46228</v>
      </c>
      <c r="F121" t="inlineStr">
        <is>
          <t>DALARNAS LÄN</t>
        </is>
      </c>
      <c r="G121" t="inlineStr">
        <is>
          <t>SÄTER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46228</v>
      </c>
      <c r="F122" t="inlineStr">
        <is>
          <t>DALARNAS LÄN</t>
        </is>
      </c>
      <c r="G122" t="inlineStr">
        <is>
          <t>SÄTER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46228</v>
      </c>
      <c r="F123" t="inlineStr">
        <is>
          <t>DALARNAS LÄN</t>
        </is>
      </c>
      <c r="G123" t="inlineStr">
        <is>
          <t>SÄTER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46228</v>
      </c>
      <c r="F124" t="inlineStr">
        <is>
          <t>DALARNAS LÄN</t>
        </is>
      </c>
      <c r="G124" t="inlineStr">
        <is>
          <t>SÄTER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46228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44425</v>
      </c>
      <c r="E126" s="1" t="n">
        <v>46228</v>
      </c>
      <c r="F126" t="inlineStr">
        <is>
          <t>DALARNAS LÄN</t>
        </is>
      </c>
      <c r="G126" t="inlineStr">
        <is>
          <t>SÄTER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46228</v>
      </c>
      <c r="F127" t="inlineStr">
        <is>
          <t>DALARNAS LÄN</t>
        </is>
      </c>
      <c r="G127" t="inlineStr">
        <is>
          <t>SÄTER</t>
        </is>
      </c>
      <c r="H127" t="inlineStr">
        <is>
          <t>Kommuner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46228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46228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46228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45190</v>
      </c>
      <c r="E131" s="1" t="n">
        <v>46228</v>
      </c>
      <c r="F131" t="inlineStr">
        <is>
          <t>DALARNAS LÄN</t>
        </is>
      </c>
      <c r="G131" t="inlineStr">
        <is>
          <t>SÄTER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63654-2025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46014</v>
      </c>
      <c r="E132" s="1" t="n">
        <v>46228</v>
      </c>
      <c r="F132" t="inlineStr">
        <is>
          <t>DALARNAS LÄN</t>
        </is>
      </c>
      <c r="G132" t="inlineStr">
        <is>
          <t>SÄTER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46228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46228</v>
      </c>
      <c r="F134" t="inlineStr">
        <is>
          <t>DALARNAS LÄN</t>
        </is>
      </c>
      <c r="G134" t="inlineStr">
        <is>
          <t>SÄTER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46228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46228</v>
      </c>
      <c r="F136" t="inlineStr">
        <is>
          <t>DALARNAS LÄN</t>
        </is>
      </c>
      <c r="G136" t="inlineStr">
        <is>
          <t>SÄTER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20056-2026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46228</v>
      </c>
      <c r="F137" t="inlineStr">
        <is>
          <t>DALARNAS LÄN</t>
        </is>
      </c>
      <c r="G137" t="inlineStr">
        <is>
          <t>SÄTER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45566</v>
      </c>
      <c r="E138" s="1" t="n">
        <v>46228</v>
      </c>
      <c r="F138" t="inlineStr">
        <is>
          <t>DALARNAS LÄN</t>
        </is>
      </c>
      <c r="G138" t="inlineStr">
        <is>
          <t>SÄTER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46228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46228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10.8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46073</v>
      </c>
      <c r="E141" s="1" t="n">
        <v>46228</v>
      </c>
      <c r="F141" t="inlineStr">
        <is>
          <t>DALARNAS LÄN</t>
        </is>
      </c>
      <c r="G141" t="inlineStr">
        <is>
          <t>SÄTER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46228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46228</v>
      </c>
      <c r="F143" t="inlineStr">
        <is>
          <t>DALARNAS LÄN</t>
        </is>
      </c>
      <c r="G143" t="inlineStr">
        <is>
          <t>SÄTER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46228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41.4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46228</v>
      </c>
      <c r="F145" t="inlineStr">
        <is>
          <t>DALARNAS LÄN</t>
        </is>
      </c>
      <c r="G145" t="inlineStr">
        <is>
          <t>SÄTER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46228</v>
      </c>
      <c r="F146" t="inlineStr">
        <is>
          <t>DALARNAS LÄN</t>
        </is>
      </c>
      <c r="G146" t="inlineStr">
        <is>
          <t>SÄTER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46228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45411</v>
      </c>
      <c r="E148" s="1" t="n">
        <v>46228</v>
      </c>
      <c r="F148" t="inlineStr">
        <is>
          <t>DALARNAS LÄN</t>
        </is>
      </c>
      <c r="G148" t="inlineStr">
        <is>
          <t>SÄTER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46228</v>
      </c>
      <c r="F149" t="inlineStr">
        <is>
          <t>DALARNAS LÄN</t>
        </is>
      </c>
      <c r="G149" t="inlineStr">
        <is>
          <t>SÄTER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46228</v>
      </c>
      <c r="F150" t="inlineStr">
        <is>
          <t>DALARNAS LÄN</t>
        </is>
      </c>
      <c r="G150" t="inlineStr">
        <is>
          <t>SÄTER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44972</v>
      </c>
      <c r="E151" s="1" t="n">
        <v>46228</v>
      </c>
      <c r="F151" t="inlineStr">
        <is>
          <t>DALARNAS LÄN</t>
        </is>
      </c>
      <c r="G151" t="inlineStr">
        <is>
          <t>SÄTER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46098</v>
      </c>
      <c r="E152" s="1" t="n">
        <v>46228</v>
      </c>
      <c r="F152" t="inlineStr">
        <is>
          <t>DALARNAS LÄN</t>
        </is>
      </c>
      <c r="G152" t="inlineStr">
        <is>
          <t>SÄTER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46228</v>
      </c>
      <c r="F153" t="inlineStr">
        <is>
          <t>DALARNAS LÄN</t>
        </is>
      </c>
      <c r="G153" t="inlineStr">
        <is>
          <t>SÄTER</t>
        </is>
      </c>
      <c r="H153" t="inlineStr">
        <is>
          <t>Kommuner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46228</v>
      </c>
      <c r="F154" t="inlineStr">
        <is>
          <t>DALARNAS LÄN</t>
        </is>
      </c>
      <c r="G154" t="inlineStr">
        <is>
          <t>SÄTER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46228</v>
      </c>
      <c r="F155" t="inlineStr">
        <is>
          <t>DALARNAS LÄN</t>
        </is>
      </c>
      <c r="G155" t="inlineStr">
        <is>
          <t>SÄTER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12330-2026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46087</v>
      </c>
      <c r="E156" s="1" t="n">
        <v>46228</v>
      </c>
      <c r="F156" t="inlineStr">
        <is>
          <t>DALARNAS LÄN</t>
        </is>
      </c>
      <c r="G156" t="inlineStr">
        <is>
          <t>SÄTER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46228</v>
      </c>
      <c r="F157" t="inlineStr">
        <is>
          <t>DALARNAS LÄN</t>
        </is>
      </c>
      <c r="G157" t="inlineStr">
        <is>
          <t>SÄTER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46228</v>
      </c>
      <c r="F158" t="inlineStr">
        <is>
          <t>DALARNAS LÄN</t>
        </is>
      </c>
      <c r="G158" t="inlineStr">
        <is>
          <t>SÄTER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46228</v>
      </c>
      <c r="F159" t="inlineStr">
        <is>
          <t>DALARNAS LÄN</t>
        </is>
      </c>
      <c r="G159" t="inlineStr">
        <is>
          <t>SÄTER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46228</v>
      </c>
      <c r="F160" t="inlineStr">
        <is>
          <t>DALARNAS LÄN</t>
        </is>
      </c>
      <c r="G160" t="inlineStr">
        <is>
          <t>SÄTER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46228</v>
      </c>
      <c r="F161" t="inlineStr">
        <is>
          <t>DALARNAS LÄN</t>
        </is>
      </c>
      <c r="G161" t="inlineStr">
        <is>
          <t>SÄTER</t>
        </is>
      </c>
      <c r="I161" t="n">
        <v>13.2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46228</v>
      </c>
      <c r="F162" t="inlineStr">
        <is>
          <t>DALARNAS LÄN</t>
        </is>
      </c>
      <c r="G162" t="inlineStr">
        <is>
          <t>SÄTER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44732</v>
      </c>
      <c r="E163" s="1" t="n">
        <v>46228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46228</v>
      </c>
      <c r="F164" t="inlineStr">
        <is>
          <t>DALARNAS LÄN</t>
        </is>
      </c>
      <c r="G164" t="inlineStr">
        <is>
          <t>SÄTER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46228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44982</v>
      </c>
      <c r="E166" s="1" t="n">
        <v>46228</v>
      </c>
      <c r="F166" t="inlineStr">
        <is>
          <t>DALARNAS LÄN</t>
        </is>
      </c>
      <c r="G166" t="inlineStr">
        <is>
          <t>SÄTER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46228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46228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44882</v>
      </c>
      <c r="E169" s="1" t="n">
        <v>46228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46228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46228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  <c r="Z171">
        <f>HYPERLINK("https://klasma.github.io/Logging_2082/knärot/A 57416-2022 karta knärot.png", "A 57416-2022")</f>
        <v/>
      </c>
      <c r="AA171">
        <f>HYPERLINK("https://klasma.github.io/Logging_2082/klagomål/A 57416-2022 FSC-klagomål.docx", "A 57416-2022")</f>
        <v/>
      </c>
      <c r="AB171">
        <f>HYPERLINK("https://klasma.github.io/Logging_2082/klagomålsmail/A 57416-2022 FSC-klagomål mail.docx", "A 57416-2022")</f>
        <v/>
      </c>
      <c r="AC171">
        <f>HYPERLINK("https://klasma.github.io/Logging_2082/tillsyn/A 57416-2022 tillsynsbegäran.docx", "A 57416-2022")</f>
        <v/>
      </c>
      <c r="AD171">
        <f>HYPERLINK("https://klasma.github.io/Logging_2082/tillsynsmail/A 57416-2022 tillsynsbegäran mail.docx", "A 57416-2022")</f>
        <v/>
      </c>
    </row>
    <row r="172" ht="15" customHeight="1">
      <c r="A172" t="inlineStr">
        <is>
          <t>A 51826-2025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46228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46228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46228</v>
      </c>
      <c r="F174" t="inlineStr">
        <is>
          <t>DALARNAS LÄN</t>
        </is>
      </c>
      <c r="G174" t="inlineStr">
        <is>
          <t>SÄTER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45874</v>
      </c>
      <c r="E175" s="1" t="n">
        <v>46228</v>
      </c>
      <c r="F175" t="inlineStr">
        <is>
          <t>DALARNAS LÄN</t>
        </is>
      </c>
      <c r="G175" t="inlineStr">
        <is>
          <t>SÄTER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46091</v>
      </c>
      <c r="E176" s="1" t="n">
        <v>46228</v>
      </c>
      <c r="F176" t="inlineStr">
        <is>
          <t>DALARNAS LÄN</t>
        </is>
      </c>
      <c r="G176" t="inlineStr">
        <is>
          <t>SÄTER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46228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46228</v>
      </c>
      <c r="F178" t="inlineStr">
        <is>
          <t>DALARNAS LÄN</t>
        </is>
      </c>
      <c r="G178" t="inlineStr">
        <is>
          <t>SÄTER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53559-2025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45960</v>
      </c>
      <c r="E179" s="1" t="n">
        <v>46228</v>
      </c>
      <c r="F179" t="inlineStr">
        <is>
          <t>DALARNAS LÄN</t>
        </is>
      </c>
      <c r="G179" t="inlineStr">
        <is>
          <t>SÄTER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46228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21859-2022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46228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45006</v>
      </c>
      <c r="E182" s="1" t="n">
        <v>46228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46228</v>
      </c>
      <c r="F183" t="inlineStr">
        <is>
          <t>DALARNAS LÄN</t>
        </is>
      </c>
      <c r="G183" t="inlineStr">
        <is>
          <t>SÄTER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46228</v>
      </c>
      <c r="F184" t="inlineStr">
        <is>
          <t>DALARNAS LÄN</t>
        </is>
      </c>
      <c r="G184" t="inlineStr">
        <is>
          <t>SÄTER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46228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46228</v>
      </c>
      <c r="F186" t="inlineStr">
        <is>
          <t>DALARNAS LÄN</t>
        </is>
      </c>
      <c r="G186" t="inlineStr">
        <is>
          <t>SÄTER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46228</v>
      </c>
      <c r="F187" t="inlineStr">
        <is>
          <t>DALARNAS LÄN</t>
        </is>
      </c>
      <c r="G187" t="inlineStr">
        <is>
          <t>SÄTER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46228</v>
      </c>
      <c r="F188" t="inlineStr">
        <is>
          <t>DALARNAS LÄN</t>
        </is>
      </c>
      <c r="G188" t="inlineStr">
        <is>
          <t>SÄTER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46153</v>
      </c>
      <c r="E189" s="1" t="n">
        <v>46228</v>
      </c>
      <c r="F189" t="inlineStr">
        <is>
          <t>DALARNAS LÄN</t>
        </is>
      </c>
      <c r="G189" t="inlineStr">
        <is>
          <t>SÄTER</t>
        </is>
      </c>
      <c r="I189" t="n">
        <v>10.1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46228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44869</v>
      </c>
      <c r="E191" s="1" t="n">
        <v>46228</v>
      </c>
      <c r="F191" t="inlineStr">
        <is>
          <t>DALARNAS LÄN</t>
        </is>
      </c>
      <c r="G191" t="inlineStr">
        <is>
          <t>SÄTER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46228</v>
      </c>
      <c r="F192" t="inlineStr">
        <is>
          <t>DALARNAS LÄN</t>
        </is>
      </c>
      <c r="G192" t="inlineStr">
        <is>
          <t>SÄTER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45321</v>
      </c>
      <c r="E193" s="1" t="n">
        <v>46228</v>
      </c>
      <c r="F193" t="inlineStr">
        <is>
          <t>DALARNAS LÄN</t>
        </is>
      </c>
      <c r="G193" t="inlineStr">
        <is>
          <t>SÄTER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46228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46228</v>
      </c>
      <c r="F195" t="inlineStr">
        <is>
          <t>DALARNAS LÄN</t>
        </is>
      </c>
      <c r="G195" t="inlineStr">
        <is>
          <t>SÄTER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45175</v>
      </c>
      <c r="E196" s="1" t="n">
        <v>46228</v>
      </c>
      <c r="F196" t="inlineStr">
        <is>
          <t>DALARNAS LÄN</t>
        </is>
      </c>
      <c r="G196" t="inlineStr">
        <is>
          <t>SÄTER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46228</v>
      </c>
      <c r="F197" t="inlineStr">
        <is>
          <t>DALARNAS LÄN</t>
        </is>
      </c>
      <c r="G197" t="inlineStr">
        <is>
          <t>SÄTER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51320-2024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45604</v>
      </c>
      <c r="E198" s="1" t="n">
        <v>46228</v>
      </c>
      <c r="F198" t="inlineStr">
        <is>
          <t>DALARNAS LÄN</t>
        </is>
      </c>
      <c r="G198" t="inlineStr">
        <is>
          <t>SÄTER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51324-2024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45604</v>
      </c>
      <c r="E199" s="1" t="n">
        <v>46228</v>
      </c>
      <c r="F199" t="inlineStr">
        <is>
          <t>DALARNAS LÄN</t>
        </is>
      </c>
      <c r="G199" t="inlineStr">
        <is>
          <t>SÄTER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46228</v>
      </c>
      <c r="F200" t="inlineStr">
        <is>
          <t>DALARNAS LÄN</t>
        </is>
      </c>
      <c r="G200" t="inlineStr">
        <is>
          <t>SÄTER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46228</v>
      </c>
      <c r="F201" t="inlineStr">
        <is>
          <t>DALARNAS LÄN</t>
        </is>
      </c>
      <c r="G201" t="inlineStr">
        <is>
          <t>SÄTER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46228</v>
      </c>
      <c r="F202" t="inlineStr">
        <is>
          <t>DALARNAS LÄN</t>
        </is>
      </c>
      <c r="G202" t="inlineStr">
        <is>
          <t>SÄTER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51323-2024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45604</v>
      </c>
      <c r="E203" s="1" t="n">
        <v>46228</v>
      </c>
      <c r="F203" t="inlineStr">
        <is>
          <t>DALARNAS LÄN</t>
        </is>
      </c>
      <c r="G203" t="inlineStr">
        <is>
          <t>SÄTER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45527</v>
      </c>
      <c r="E204" s="1" t="n">
        <v>46228</v>
      </c>
      <c r="F204" t="inlineStr">
        <is>
          <t>DALARNAS LÄN</t>
        </is>
      </c>
      <c r="G204" t="inlineStr">
        <is>
          <t>SÄTER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46228</v>
      </c>
      <c r="F205" t="inlineStr">
        <is>
          <t>DALARNAS LÄN</t>
        </is>
      </c>
      <c r="G205" t="inlineStr">
        <is>
          <t>SÄTER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46228</v>
      </c>
      <c r="F206" t="inlineStr">
        <is>
          <t>DALARNAS LÄN</t>
        </is>
      </c>
      <c r="G206" t="inlineStr">
        <is>
          <t>SÄTER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46154</v>
      </c>
      <c r="E207" s="1" t="n">
        <v>46228</v>
      </c>
      <c r="F207" t="inlineStr">
        <is>
          <t>DALARNAS LÄN</t>
        </is>
      </c>
      <c r="G207" t="inlineStr">
        <is>
          <t>SÄTER</t>
        </is>
      </c>
      <c r="I207" t="n">
        <v>9.6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45604</v>
      </c>
      <c r="E208" s="1" t="n">
        <v>46228</v>
      </c>
      <c r="F208" t="inlineStr">
        <is>
          <t>DALARNAS LÄN</t>
        </is>
      </c>
      <c r="G208" t="inlineStr">
        <is>
          <t>SÄTER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46228</v>
      </c>
      <c r="F209" t="inlineStr">
        <is>
          <t>DALARNAS LÄN</t>
        </is>
      </c>
      <c r="G209" t="inlineStr">
        <is>
          <t>SÄTER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45342</v>
      </c>
      <c r="E210" s="1" t="n">
        <v>46228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46228</v>
      </c>
      <c r="F211" t="inlineStr">
        <is>
          <t>DALARNAS LÄN</t>
        </is>
      </c>
      <c r="G211" t="inlineStr">
        <is>
          <t>SÄTER</t>
        </is>
      </c>
      <c r="H211" t="inlineStr">
        <is>
          <t>Sveaskog</t>
        </is>
      </c>
      <c r="I211" t="n">
        <v>19.8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46228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22850-2026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46228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46228</v>
      </c>
      <c r="F214" t="inlineStr">
        <is>
          <t>DALARNAS LÄN</t>
        </is>
      </c>
      <c r="G214" t="inlineStr">
        <is>
          <t>SÄTER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45154</v>
      </c>
      <c r="E215" s="1" t="n">
        <v>46228</v>
      </c>
      <c r="F215" t="inlineStr">
        <is>
          <t>DALARNAS LÄN</t>
        </is>
      </c>
      <c r="G215" t="inlineStr">
        <is>
          <t>SÄTER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46228</v>
      </c>
      <c r="F216" t="inlineStr">
        <is>
          <t>DALARNAS LÄN</t>
        </is>
      </c>
      <c r="G216" t="inlineStr">
        <is>
          <t>SÄTER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46228</v>
      </c>
      <c r="F217" t="inlineStr">
        <is>
          <t>DALARNAS LÄN</t>
        </is>
      </c>
      <c r="G217" t="inlineStr">
        <is>
          <t>SÄTER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46228</v>
      </c>
      <c r="F218" t="inlineStr">
        <is>
          <t>DALARNAS LÄN</t>
        </is>
      </c>
      <c r="G218" t="inlineStr">
        <is>
          <t>SÄTER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46228</v>
      </c>
      <c r="F219" t="inlineStr">
        <is>
          <t>DALARNAS LÄN</t>
        </is>
      </c>
      <c r="G219" t="inlineStr">
        <is>
          <t>SÄTER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46228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46228</v>
      </c>
      <c r="F221" t="inlineStr">
        <is>
          <t>DALARNAS LÄN</t>
        </is>
      </c>
      <c r="G221" t="inlineStr">
        <is>
          <t>SÄTER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49586-2025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45939</v>
      </c>
      <c r="E222" s="1" t="n">
        <v>46228</v>
      </c>
      <c r="F222" t="inlineStr">
        <is>
          <t>DALARNAS LÄN</t>
        </is>
      </c>
      <c r="G222" t="inlineStr">
        <is>
          <t>SÄTER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46026</v>
      </c>
      <c r="E223" s="1" t="n">
        <v>46228</v>
      </c>
      <c r="F223" t="inlineStr">
        <is>
          <t>DALARNAS LÄN</t>
        </is>
      </c>
      <c r="G223" t="inlineStr">
        <is>
          <t>SÄTER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46190</v>
      </c>
      <c r="E224" s="1" t="n">
        <v>46228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46027</v>
      </c>
      <c r="E225" s="1" t="n">
        <v>46228</v>
      </c>
      <c r="F225" t="inlineStr">
        <is>
          <t>DALARNAS LÄN</t>
        </is>
      </c>
      <c r="G225" t="inlineStr">
        <is>
          <t>SÄTER</t>
        </is>
      </c>
      <c r="I225" t="n">
        <v>12.1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46228</v>
      </c>
      <c r="F226" t="inlineStr">
        <is>
          <t>DALARNAS LÄN</t>
        </is>
      </c>
      <c r="G226" t="inlineStr">
        <is>
          <t>SÄTER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46228</v>
      </c>
      <c r="F227" t="inlineStr">
        <is>
          <t>DALARNAS LÄN</t>
        </is>
      </c>
      <c r="G227" t="inlineStr">
        <is>
          <t>SÄTER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46228</v>
      </c>
      <c r="F228" t="inlineStr">
        <is>
          <t>DALARNAS LÄN</t>
        </is>
      </c>
      <c r="G228" t="inlineStr">
        <is>
          <t>SÄTER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987-2026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46030</v>
      </c>
      <c r="E229" s="1" t="n">
        <v>46228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46228</v>
      </c>
      <c r="F230" t="inlineStr">
        <is>
          <t>DALARNAS LÄN</t>
        </is>
      </c>
      <c r="G230" t="inlineStr">
        <is>
          <t>SÄTER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46228</v>
      </c>
      <c r="F231" t="inlineStr">
        <is>
          <t>DALARNAS LÄN</t>
        </is>
      </c>
      <c r="G231" t="inlineStr">
        <is>
          <t>SÄTER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46228</v>
      </c>
      <c r="F232" t="inlineStr">
        <is>
          <t>DALARNAS LÄN</t>
        </is>
      </c>
      <c r="G232" t="inlineStr">
        <is>
          <t>SÄTER</t>
        </is>
      </c>
      <c r="H232" t="inlineStr">
        <is>
          <t>Kommuner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46228</v>
      </c>
      <c r="F233" t="inlineStr">
        <is>
          <t>DALARNAS LÄN</t>
        </is>
      </c>
      <c r="G233" t="inlineStr">
        <is>
          <t>SÄTER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45398</v>
      </c>
      <c r="E234" s="1" t="n">
        <v>46228</v>
      </c>
      <c r="F234" t="inlineStr">
        <is>
          <t>DALARNAS LÄN</t>
        </is>
      </c>
      <c r="G234" t="inlineStr">
        <is>
          <t>SÄTER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44965</v>
      </c>
      <c r="E235" s="1" t="n">
        <v>46228</v>
      </c>
      <c r="F235" t="inlineStr">
        <is>
          <t>DALARNAS LÄN</t>
        </is>
      </c>
      <c r="G235" t="inlineStr">
        <is>
          <t>SÄTER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39262-2021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44413</v>
      </c>
      <c r="E236" s="1" t="n">
        <v>46228</v>
      </c>
      <c r="F236" t="inlineStr">
        <is>
          <t>DALARNAS LÄN</t>
        </is>
      </c>
      <c r="G236" t="inlineStr">
        <is>
          <t>SÄTER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46228</v>
      </c>
      <c r="F237" t="inlineStr">
        <is>
          <t>DALARNAS LÄN</t>
        </is>
      </c>
      <c r="G237" t="inlineStr">
        <is>
          <t>SÄTER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45526</v>
      </c>
      <c r="E238" s="1" t="n">
        <v>46228</v>
      </c>
      <c r="F238" t="inlineStr">
        <is>
          <t>DALARNAS LÄN</t>
        </is>
      </c>
      <c r="G238" t="inlineStr">
        <is>
          <t>SÄTER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46228</v>
      </c>
      <c r="F239" t="inlineStr">
        <is>
          <t>DALARNAS LÄN</t>
        </is>
      </c>
      <c r="G239" t="inlineStr">
        <is>
          <t>SÄTER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46228</v>
      </c>
      <c r="F240" t="inlineStr">
        <is>
          <t>DALARNAS LÄN</t>
        </is>
      </c>
      <c r="G240" t="inlineStr">
        <is>
          <t>SÄTER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46228</v>
      </c>
      <c r="F241" t="inlineStr">
        <is>
          <t>DALARNAS LÄN</t>
        </is>
      </c>
      <c r="G241" t="inlineStr">
        <is>
          <t>SÄTER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46228</v>
      </c>
      <c r="F242" t="inlineStr">
        <is>
          <t>DALARNAS LÄN</t>
        </is>
      </c>
      <c r="G242" t="inlineStr">
        <is>
          <t>SÄTER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46228</v>
      </c>
      <c r="F243" t="inlineStr">
        <is>
          <t>DALARNAS LÄN</t>
        </is>
      </c>
      <c r="G243" t="inlineStr">
        <is>
          <t>SÄTER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46228</v>
      </c>
      <c r="F244" t="inlineStr">
        <is>
          <t>DALARNAS LÄN</t>
        </is>
      </c>
      <c r="G244" t="inlineStr">
        <is>
          <t>SÄTER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45427</v>
      </c>
      <c r="E245" s="1" t="n">
        <v>46228</v>
      </c>
      <c r="F245" t="inlineStr">
        <is>
          <t>DALARNAS LÄN</t>
        </is>
      </c>
      <c r="G245" t="inlineStr">
        <is>
          <t>SÄTER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3445-2026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46042</v>
      </c>
      <c r="E246" s="1" t="n">
        <v>46228</v>
      </c>
      <c r="F246" t="inlineStr">
        <is>
          <t>DALARNAS LÄN</t>
        </is>
      </c>
      <c r="G246" t="inlineStr">
        <is>
          <t>SÄTER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21697-2023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46228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46228</v>
      </c>
      <c r="F248" t="inlineStr">
        <is>
          <t>DALARNAS LÄN</t>
        </is>
      </c>
      <c r="G248" t="inlineStr">
        <is>
          <t>SÄTER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46228</v>
      </c>
      <c r="F249" t="inlineStr">
        <is>
          <t>DALARNAS LÄN</t>
        </is>
      </c>
      <c r="G249" t="inlineStr">
        <is>
          <t>SÄTER</t>
        </is>
      </c>
      <c r="I249" t="n">
        <v>10.6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46045</v>
      </c>
      <c r="E250" s="1" t="n">
        <v>46228</v>
      </c>
      <c r="F250" t="inlineStr">
        <is>
          <t>DALARNAS LÄN</t>
        </is>
      </c>
      <c r="G250" t="inlineStr">
        <is>
          <t>SÄTER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46228</v>
      </c>
      <c r="F251" t="inlineStr">
        <is>
          <t>DALARNAS LÄN</t>
        </is>
      </c>
      <c r="G251" t="inlineStr">
        <is>
          <t>SÄTER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46228</v>
      </c>
      <c r="F252" t="inlineStr">
        <is>
          <t>DALARNAS LÄN</t>
        </is>
      </c>
      <c r="G252" t="inlineStr">
        <is>
          <t>SÄTER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46228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46228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46228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46228</v>
      </c>
      <c r="F256" t="inlineStr">
        <is>
          <t>DALARNAS LÄN</t>
        </is>
      </c>
      <c r="G256" t="inlineStr">
        <is>
          <t>SÄTER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46228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46228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46228</v>
      </c>
      <c r="F259" t="inlineStr">
        <is>
          <t>DALARNAS LÄN</t>
        </is>
      </c>
      <c r="G259" t="inlineStr">
        <is>
          <t>SÄTER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46228</v>
      </c>
      <c r="F260" t="inlineStr">
        <is>
          <t>DALARNAS LÄN</t>
        </is>
      </c>
      <c r="G260" t="inlineStr">
        <is>
          <t>SÄTER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23679-2026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46228</v>
      </c>
      <c r="F261" t="inlineStr">
        <is>
          <t>DALARNAS LÄN</t>
        </is>
      </c>
      <c r="G261" t="inlineStr">
        <is>
          <t>SÄTER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46228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52193-2021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44463</v>
      </c>
      <c r="E263" s="1" t="n">
        <v>46228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46228</v>
      </c>
      <c r="F264" t="inlineStr">
        <is>
          <t>DALARNAS LÄN</t>
        </is>
      </c>
      <c r="G264" t="inlineStr">
        <is>
          <t>SÄTER</t>
        </is>
      </c>
      <c r="I264" t="n">
        <v>9.9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46228</v>
      </c>
      <c r="F265" t="inlineStr">
        <is>
          <t>DALARNAS LÄN</t>
        </is>
      </c>
      <c r="G265" t="inlineStr">
        <is>
          <t>SÄTER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45455</v>
      </c>
      <c r="E266" s="1" t="n">
        <v>46228</v>
      </c>
      <c r="F266" t="inlineStr">
        <is>
          <t>DALARNAS LÄN</t>
        </is>
      </c>
      <c r="G266" t="inlineStr">
        <is>
          <t>SÄTER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46066</v>
      </c>
      <c r="E267" s="1" t="n">
        <v>46228</v>
      </c>
      <c r="F267" t="inlineStr">
        <is>
          <t>DALARNAS LÄN</t>
        </is>
      </c>
      <c r="G267" t="inlineStr">
        <is>
          <t>SÄTER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52220-2021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44462</v>
      </c>
      <c r="E268" s="1" t="n">
        <v>46228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46228</v>
      </c>
      <c r="F269" t="inlineStr">
        <is>
          <t>DALARNAS LÄN</t>
        </is>
      </c>
      <c r="G269" t="inlineStr">
        <is>
          <t>SÄTER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46076</v>
      </c>
      <c r="E270" s="1" t="n">
        <v>46228</v>
      </c>
      <c r="F270" t="inlineStr">
        <is>
          <t>DALARNAS LÄN</t>
        </is>
      </c>
      <c r="G270" t="inlineStr">
        <is>
          <t>SÄTER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46228</v>
      </c>
      <c r="F271" t="inlineStr">
        <is>
          <t>DALARNAS LÄN</t>
        </is>
      </c>
      <c r="G271" t="inlineStr">
        <is>
          <t>SÄTER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45366</v>
      </c>
      <c r="E272" s="1" t="n">
        <v>46228</v>
      </c>
      <c r="F272" t="inlineStr">
        <is>
          <t>DALARNAS LÄN</t>
        </is>
      </c>
      <c r="G272" t="inlineStr">
        <is>
          <t>SÄTER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10146-2026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46228</v>
      </c>
      <c r="F273" t="inlineStr">
        <is>
          <t>DALARNAS LÄN</t>
        </is>
      </c>
      <c r="G273" t="inlineStr">
        <is>
          <t>SÄTER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46211</v>
      </c>
      <c r="E274" s="1" t="n">
        <v>46228</v>
      </c>
      <c r="F274" t="inlineStr">
        <is>
          <t>DALARNAS LÄN</t>
        </is>
      </c>
      <c r="G274" t="inlineStr">
        <is>
          <t>SÄTER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46228</v>
      </c>
      <c r="F275" t="inlineStr">
        <is>
          <t>DALARNAS LÄN</t>
        </is>
      </c>
      <c r="G275" t="inlineStr">
        <is>
          <t>SÄTER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46228</v>
      </c>
      <c r="F276" t="inlineStr">
        <is>
          <t>DALARNAS LÄN</t>
        </is>
      </c>
      <c r="G276" t="inlineStr">
        <is>
          <t>SÄTER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44691</v>
      </c>
      <c r="E277" s="1" t="n">
        <v>46228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44992</v>
      </c>
      <c r="E278" s="1" t="n">
        <v>46228</v>
      </c>
      <c r="F278" t="inlineStr">
        <is>
          <t>DALARNAS LÄN</t>
        </is>
      </c>
      <c r="G278" t="inlineStr">
        <is>
          <t>SÄTER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46228</v>
      </c>
      <c r="F279" t="inlineStr">
        <is>
          <t>DALARNAS LÄN</t>
        </is>
      </c>
      <c r="G279" t="inlineStr">
        <is>
          <t>SÄTER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46228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46228</v>
      </c>
      <c r="F281" t="inlineStr">
        <is>
          <t>DALARNAS LÄN</t>
        </is>
      </c>
      <c r="G281" t="inlineStr">
        <is>
          <t>SÄTER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44908</v>
      </c>
      <c r="E282" s="1" t="n">
        <v>46228</v>
      </c>
      <c r="F282" t="inlineStr">
        <is>
          <t>DALARNAS LÄN</t>
        </is>
      </c>
      <c r="G282" t="inlineStr">
        <is>
          <t>SÄTER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12322-2026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46087</v>
      </c>
      <c r="E283" s="1" t="n">
        <v>46228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46228</v>
      </c>
      <c r="F284" t="inlineStr">
        <is>
          <t>DALARNAS LÄN</t>
        </is>
      </c>
      <c r="G284" t="inlineStr">
        <is>
          <t>SÄTER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46228</v>
      </c>
      <c r="F285" t="inlineStr">
        <is>
          <t>DALARNAS LÄN</t>
        </is>
      </c>
      <c r="G285" t="inlineStr">
        <is>
          <t>SÄTER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46228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69744-2021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44532</v>
      </c>
      <c r="E287" s="1" t="n">
        <v>46228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46083</v>
      </c>
      <c r="E288" s="1" t="n">
        <v>46228</v>
      </c>
      <c r="F288" t="inlineStr">
        <is>
          <t>DALARNAS LÄN</t>
        </is>
      </c>
      <c r="G288" t="inlineStr">
        <is>
          <t>SÄTER</t>
        </is>
      </c>
      <c r="H288" t="inlineStr">
        <is>
          <t>Kommuner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46228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46093</v>
      </c>
      <c r="E290" s="1" t="n">
        <v>46228</v>
      </c>
      <c r="F290" t="inlineStr">
        <is>
          <t>DALARNAS LÄN</t>
        </is>
      </c>
      <c r="G290" t="inlineStr">
        <is>
          <t>SÄTER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46228</v>
      </c>
      <c r="F291" t="inlineStr">
        <is>
          <t>DALARNAS LÄN</t>
        </is>
      </c>
      <c r="G291" t="inlineStr">
        <is>
          <t>SÄTER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46228</v>
      </c>
      <c r="F292" t="inlineStr">
        <is>
          <t>DALARNAS LÄN</t>
        </is>
      </c>
      <c r="G292" t="inlineStr">
        <is>
          <t>SÄTER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46228</v>
      </c>
      <c r="F293" t="inlineStr">
        <is>
          <t>DALARNAS LÄN</t>
        </is>
      </c>
      <c r="G293" t="inlineStr">
        <is>
          <t>SÄTER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46228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46228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46228</v>
      </c>
      <c r="F296" t="inlineStr">
        <is>
          <t>DALARNAS LÄN</t>
        </is>
      </c>
      <c r="G296" t="inlineStr">
        <is>
          <t>SÄTER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46228</v>
      </c>
      <c r="F297" t="inlineStr">
        <is>
          <t>DALARNAS LÄN</t>
        </is>
      </c>
      <c r="G297" t="inlineStr">
        <is>
          <t>SÄTER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45644</v>
      </c>
      <c r="E298" s="1" t="n">
        <v>46228</v>
      </c>
      <c r="F298" t="inlineStr">
        <is>
          <t>DALARNAS LÄN</t>
        </is>
      </c>
      <c r="G298" t="inlineStr">
        <is>
          <t>SÄTER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46228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10150-2025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45719</v>
      </c>
      <c r="E300" s="1" t="n">
        <v>46228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46228</v>
      </c>
      <c r="F301" t="inlineStr">
        <is>
          <t>DALARNAS LÄN</t>
        </is>
      </c>
      <c r="G301" t="inlineStr">
        <is>
          <t>SÄTER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46228</v>
      </c>
      <c r="F302" t="inlineStr">
        <is>
          <t>DALARNAS LÄN</t>
        </is>
      </c>
      <c r="G302" t="inlineStr">
        <is>
          <t>SÄTER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16698-2026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46228</v>
      </c>
      <c r="F303" t="inlineStr">
        <is>
          <t>DALARNAS LÄN</t>
        </is>
      </c>
      <c r="G303" t="inlineStr">
        <is>
          <t>SÄTER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46228</v>
      </c>
      <c r="F304" t="inlineStr">
        <is>
          <t>DALARNAS LÄN</t>
        </is>
      </c>
      <c r="G304" t="inlineStr">
        <is>
          <t>SÄTER</t>
        </is>
      </c>
      <c r="H304" t="inlineStr">
        <is>
          <t>Övriga statliga verk och myndigheter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46228</v>
      </c>
      <c r="F305" t="inlineStr">
        <is>
          <t>DALARNAS LÄN</t>
        </is>
      </c>
      <c r="G305" t="inlineStr">
        <is>
          <t>SÄTER</t>
        </is>
      </c>
      <c r="H305" t="inlineStr">
        <is>
          <t>Kommuner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46228</v>
      </c>
      <c r="F306" t="inlineStr">
        <is>
          <t>DALARNAS LÄN</t>
        </is>
      </c>
      <c r="G306" t="inlineStr">
        <is>
          <t>SÄTER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45334</v>
      </c>
      <c r="E307" s="1" t="n">
        <v>46228</v>
      </c>
      <c r="F307" t="inlineStr">
        <is>
          <t>DALARNAS LÄN</t>
        </is>
      </c>
      <c r="G307" t="inlineStr">
        <is>
          <t>SÄTER</t>
        </is>
      </c>
      <c r="H307" t="inlineStr">
        <is>
          <t>Kommuner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46228</v>
      </c>
      <c r="F308" t="inlineStr">
        <is>
          <t>DALARNAS LÄN</t>
        </is>
      </c>
      <c r="G308" t="inlineStr">
        <is>
          <t>SÄTER</t>
        </is>
      </c>
      <c r="I308" t="n">
        <v>15.2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10285-2026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46228</v>
      </c>
      <c r="F309" t="inlineStr">
        <is>
          <t>DALARNAS LÄN</t>
        </is>
      </c>
      <c r="G309" t="inlineStr">
        <is>
          <t>SÄTER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41556-2021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44425</v>
      </c>
      <c r="E310" s="1" t="n">
        <v>46228</v>
      </c>
      <c r="F310" t="inlineStr">
        <is>
          <t>DALARNAS LÄN</t>
        </is>
      </c>
      <c r="G310" t="inlineStr">
        <is>
          <t>SÄTER</t>
        </is>
      </c>
      <c r="I310" t="n">
        <v>10.8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46228</v>
      </c>
      <c r="F311" t="inlineStr">
        <is>
          <t>DALARNAS LÄN</t>
        </is>
      </c>
      <c r="G311" t="inlineStr">
        <is>
          <t>SÄTER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45546</v>
      </c>
      <c r="E312" s="1" t="n">
        <v>46228</v>
      </c>
      <c r="F312" t="inlineStr">
        <is>
          <t>DALARNAS LÄN</t>
        </is>
      </c>
      <c r="G312" t="inlineStr">
        <is>
          <t>SÄTER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46228</v>
      </c>
      <c r="F313" t="inlineStr">
        <is>
          <t>DALARNAS LÄN</t>
        </is>
      </c>
      <c r="G313" t="inlineStr">
        <is>
          <t>SÄTER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46228</v>
      </c>
      <c r="F314" t="inlineStr">
        <is>
          <t>DALARNAS LÄN</t>
        </is>
      </c>
      <c r="G314" t="inlineStr">
        <is>
          <t>SÄTER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46228</v>
      </c>
      <c r="F315" t="inlineStr">
        <is>
          <t>DALARNAS LÄN</t>
        </is>
      </c>
      <c r="G315" t="inlineStr">
        <is>
          <t>SÄTER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32904-2022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44784</v>
      </c>
      <c r="E316" s="1" t="n">
        <v>46228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45247</v>
      </c>
      <c r="E317" s="1" t="n">
        <v>46228</v>
      </c>
      <c r="F317" t="inlineStr">
        <is>
          <t>DALARNAS LÄN</t>
        </is>
      </c>
      <c r="G317" t="inlineStr">
        <is>
          <t>SÄTER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47044-2023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46228</v>
      </c>
      <c r="F318" t="inlineStr">
        <is>
          <t>DALARNAS LÄN</t>
        </is>
      </c>
      <c r="G318" t="inlineStr">
        <is>
          <t>SÄTER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51333-2024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45604</v>
      </c>
      <c r="E319" s="1" t="n">
        <v>46228</v>
      </c>
      <c r="F319" t="inlineStr">
        <is>
          <t>DALARNAS LÄN</t>
        </is>
      </c>
      <c r="G319" t="inlineStr">
        <is>
          <t>SÄTER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19979-2025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46228</v>
      </c>
      <c r="F320" t="inlineStr">
        <is>
          <t>DALARNAS LÄN</t>
        </is>
      </c>
      <c r="G320" t="inlineStr">
        <is>
          <t>SÄTER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44784</v>
      </c>
      <c r="E321" s="1" t="n">
        <v>46228</v>
      </c>
      <c r="F321" t="inlineStr">
        <is>
          <t>DALARNAS LÄN</t>
        </is>
      </c>
      <c r="G321" t="inlineStr">
        <is>
          <t>SÄTER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46228</v>
      </c>
      <c r="F322" t="inlineStr">
        <is>
          <t>DALARNAS LÄN</t>
        </is>
      </c>
      <c r="G322" t="inlineStr">
        <is>
          <t>SÄTER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45453</v>
      </c>
      <c r="E323" s="1" t="n">
        <v>46228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44811</v>
      </c>
      <c r="E324" s="1" t="n">
        <v>46228</v>
      </c>
      <c r="F324" t="inlineStr">
        <is>
          <t>DALARNAS LÄN</t>
        </is>
      </c>
      <c r="G324" t="inlineStr">
        <is>
          <t>SÄTER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46228</v>
      </c>
      <c r="F325" t="inlineStr">
        <is>
          <t>DALARNAS LÄN</t>
        </is>
      </c>
      <c r="G325" t="inlineStr">
        <is>
          <t>SÄTER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34993-2024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45527</v>
      </c>
      <c r="E326" s="1" t="n">
        <v>46228</v>
      </c>
      <c r="F326" t="inlineStr">
        <is>
          <t>DALARNAS LÄN</t>
        </is>
      </c>
      <c r="G326" t="inlineStr">
        <is>
          <t>SÄTER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21766-2024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45442</v>
      </c>
      <c r="E327" s="1" t="n">
        <v>46228</v>
      </c>
      <c r="F327" t="inlineStr">
        <is>
          <t>DALARNAS LÄN</t>
        </is>
      </c>
      <c r="G327" t="inlineStr">
        <is>
          <t>SÄTER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44643</v>
      </c>
      <c r="E328" s="1" t="n">
        <v>46228</v>
      </c>
      <c r="F328" t="inlineStr">
        <is>
          <t>DALARNAS LÄN</t>
        </is>
      </c>
      <c r="G328" t="inlineStr">
        <is>
          <t>SÄTER</t>
        </is>
      </c>
      <c r="I328" t="n">
        <v>8.1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45628</v>
      </c>
      <c r="E329" s="1" t="n">
        <v>46228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46228</v>
      </c>
      <c r="F330" t="inlineStr">
        <is>
          <t>DALARNAS LÄN</t>
        </is>
      </c>
      <c r="G330" t="inlineStr">
        <is>
          <t>SÄTER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44953</v>
      </c>
      <c r="E331" s="1" t="n">
        <v>46228</v>
      </c>
      <c r="F331" t="inlineStr">
        <is>
          <t>DALARNAS LÄN</t>
        </is>
      </c>
      <c r="G331" t="inlineStr">
        <is>
          <t>SÄTER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46228</v>
      </c>
      <c r="F332" t="inlineStr">
        <is>
          <t>DALARNAS LÄN</t>
        </is>
      </c>
      <c r="G332" t="inlineStr">
        <is>
          <t>SÄTER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46228</v>
      </c>
      <c r="F333" t="inlineStr">
        <is>
          <t>DALARNAS LÄN</t>
        </is>
      </c>
      <c r="G333" t="inlineStr">
        <is>
          <t>SÄTER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42998-2023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45182</v>
      </c>
      <c r="E334" s="1" t="n">
        <v>46228</v>
      </c>
      <c r="F334" t="inlineStr">
        <is>
          <t>DALARNAS LÄN</t>
        </is>
      </c>
      <c r="G334" t="inlineStr">
        <is>
          <t>SÄTER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51847-2024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46228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46228</v>
      </c>
      <c r="F336" t="inlineStr">
        <is>
          <t>DALARNAS LÄN</t>
        </is>
      </c>
      <c r="G336" t="inlineStr">
        <is>
          <t>SÄTER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37440-2022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44809</v>
      </c>
      <c r="E337" s="1" t="n">
        <v>46228</v>
      </c>
      <c r="F337" t="inlineStr">
        <is>
          <t>DALARNAS LÄN</t>
        </is>
      </c>
      <c r="G337" t="inlineStr">
        <is>
          <t>SÄTER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44788</v>
      </c>
      <c r="E338" s="1" t="n">
        <v>46228</v>
      </c>
      <c r="F338" t="inlineStr">
        <is>
          <t>DALARNAS LÄN</t>
        </is>
      </c>
      <c r="G338" t="inlineStr">
        <is>
          <t>SÄTER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28549-2022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44748</v>
      </c>
      <c r="E339" s="1" t="n">
        <v>46228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44445</v>
      </c>
      <c r="E340" s="1" t="n">
        <v>46228</v>
      </c>
      <c r="F340" t="inlineStr">
        <is>
          <t>DALARNAS LÄN</t>
        </is>
      </c>
      <c r="G340" t="inlineStr">
        <is>
          <t>SÄTER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45171</v>
      </c>
      <c r="E341" s="1" t="n">
        <v>46228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45783</v>
      </c>
      <c r="E342" s="1" t="n">
        <v>46228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46228</v>
      </c>
      <c r="F343" t="inlineStr">
        <is>
          <t>DALARNAS LÄN</t>
        </is>
      </c>
      <c r="G343" t="inlineStr">
        <is>
          <t>SÄTER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19322-2024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45428</v>
      </c>
      <c r="E344" s="1" t="n">
        <v>46228</v>
      </c>
      <c r="F344" t="inlineStr">
        <is>
          <t>DALARNAS LÄN</t>
        </is>
      </c>
      <c r="G344" t="inlineStr">
        <is>
          <t>SÄTER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45432</v>
      </c>
      <c r="E345" s="1" t="n">
        <v>46228</v>
      </c>
      <c r="F345" t="inlineStr">
        <is>
          <t>DALARNAS LÄN</t>
        </is>
      </c>
      <c r="G345" t="inlineStr">
        <is>
          <t>SÄTER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45700</v>
      </c>
      <c r="E346" s="1" t="n">
        <v>46228</v>
      </c>
      <c r="F346" t="inlineStr">
        <is>
          <t>DALARNAS LÄN</t>
        </is>
      </c>
      <c r="G346" t="inlineStr">
        <is>
          <t>SÄTER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45790</v>
      </c>
      <c r="E347" s="1" t="n">
        <v>46228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10404-2024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45365</v>
      </c>
      <c r="E348" s="1" t="n">
        <v>46228</v>
      </c>
      <c r="F348" t="inlineStr">
        <is>
          <t>DALARNAS LÄN</t>
        </is>
      </c>
      <c r="G348" t="inlineStr">
        <is>
          <t>SÄTER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46228</v>
      </c>
      <c r="F349" t="inlineStr">
        <is>
          <t>DALARNAS LÄN</t>
        </is>
      </c>
      <c r="G349" t="inlineStr">
        <is>
          <t>SÄTER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33482-2023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45118</v>
      </c>
      <c r="E350" s="1" t="n">
        <v>46228</v>
      </c>
      <c r="F350" t="inlineStr">
        <is>
          <t>DALARNAS LÄN</t>
        </is>
      </c>
      <c r="G350" t="inlineStr">
        <is>
          <t>SÄTER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45443</v>
      </c>
      <c r="E351" s="1" t="n">
        <v>46228</v>
      </c>
      <c r="F351" t="inlineStr">
        <is>
          <t>DALARNAS LÄN</t>
        </is>
      </c>
      <c r="G351" t="inlineStr">
        <is>
          <t>SÄTER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46228</v>
      </c>
      <c r="F352" t="inlineStr">
        <is>
          <t>DALARNAS LÄN</t>
        </is>
      </c>
      <c r="G352" t="inlineStr">
        <is>
          <t>SÄTER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46228</v>
      </c>
      <c r="F353" t="inlineStr">
        <is>
          <t>DALARNAS LÄN</t>
        </is>
      </c>
      <c r="G353" t="inlineStr">
        <is>
          <t>SÄTER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46228</v>
      </c>
      <c r="F354" t="inlineStr">
        <is>
          <t>DALARNAS LÄN</t>
        </is>
      </c>
      <c r="G354" t="inlineStr">
        <is>
          <t>SÄTER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46228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46228</v>
      </c>
      <c r="F356" t="inlineStr">
        <is>
          <t>DALARNAS LÄN</t>
        </is>
      </c>
      <c r="G356" t="inlineStr">
        <is>
          <t>SÄTER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46228</v>
      </c>
      <c r="F357" t="inlineStr">
        <is>
          <t>DALARNAS LÄN</t>
        </is>
      </c>
      <c r="G357" t="inlineStr">
        <is>
          <t>SÄTER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39780-2024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45552</v>
      </c>
      <c r="E358" s="1" t="n">
        <v>46228</v>
      </c>
      <c r="F358" t="inlineStr">
        <is>
          <t>DALARNAS LÄN</t>
        </is>
      </c>
      <c r="G358" t="inlineStr">
        <is>
          <t>SÄTER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32886-2022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44784</v>
      </c>
      <c r="E359" s="1" t="n">
        <v>46228</v>
      </c>
      <c r="F359" t="inlineStr">
        <is>
          <t>DALARNAS LÄN</t>
        </is>
      </c>
      <c r="G359" t="inlineStr">
        <is>
          <t>SÄTER</t>
        </is>
      </c>
      <c r="I359" t="n">
        <v>10.9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45771</v>
      </c>
      <c r="E360" s="1" t="n">
        <v>46228</v>
      </c>
      <c r="F360" t="inlineStr">
        <is>
          <t>DALARNAS LÄN</t>
        </is>
      </c>
      <c r="G360" t="inlineStr">
        <is>
          <t>SÄTER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46228</v>
      </c>
      <c r="F361" t="inlineStr">
        <is>
          <t>DALARNAS LÄN</t>
        </is>
      </c>
      <c r="G361" t="inlineStr">
        <is>
          <t>SÄTER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46228</v>
      </c>
      <c r="F362" t="inlineStr">
        <is>
          <t>DALARNAS LÄN</t>
        </is>
      </c>
      <c r="G362" t="inlineStr">
        <is>
          <t>SÄTER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46228</v>
      </c>
      <c r="F363" t="inlineStr">
        <is>
          <t>DALARNAS LÄN</t>
        </is>
      </c>
      <c r="G363" t="inlineStr">
        <is>
          <t>SÄTER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46228</v>
      </c>
      <c r="F364" t="inlineStr">
        <is>
          <t>DALARNAS LÄN</t>
        </is>
      </c>
      <c r="G364" t="inlineStr">
        <is>
          <t>SÄTER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36549-2025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45870</v>
      </c>
      <c r="E365" s="1" t="n">
        <v>46228</v>
      </c>
      <c r="F365" t="inlineStr">
        <is>
          <t>DALARNAS LÄN</t>
        </is>
      </c>
      <c r="G365" t="inlineStr">
        <is>
          <t>SÄTER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46228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46228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46228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46228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46228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46228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46228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46228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46228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2026-07-25T01:53:41Z</dcterms:created>
  <dcterms:modified xmlns:dcterms="http://purl.org/dc/terms/" xmlns:xsi="http://www.w3.org/2001/XMLSchema-instance" xsi:type="dcterms:W3CDTF">2026-07-25T01:53:41Z</dcterms:modified>
</cp:coreProperties>
</file>