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46313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46313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46313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46313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46313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46313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46313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46313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46313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46313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46313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46313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46313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46313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46313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46313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46313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46313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46313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46313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46313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46313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46313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46313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46313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A 193-2022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46313</v>
      </c>
      <c r="F28" t="inlineStr">
        <is>
          <t>DALARNAS LÄN</t>
        </is>
      </c>
      <c r="G28" t="inlineStr">
        <is>
          <t>SÄTER</t>
        </is>
      </c>
      <c r="I28" t="n">
        <v>1.9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Dropptaggsvamp
Talltita</t>
        </is>
      </c>
      <c r="W28">
        <f>HYPERLINK("https://klasma.github.io/Logging_2082/artfynd/A 193-2022 artfynd.xlsx", "A 193-2022")</f>
        <v/>
      </c>
      <c r="X28">
        <f>HYPERLINK("https://klasma.github.io/Logging_2082/kartor/A 193-2022 karta.png", "A 193-2022")</f>
        <v/>
      </c>
      <c r="Y28">
        <f>HYPERLINK("https://klasma.github.io/Logging_2082/kartor_geotiff/A 193-2022 georefererad karta.tif", "A 193-2022")</f>
        <v/>
      </c>
      <c r="AA28">
        <f>HYPERLINK("https://klasma.github.io/Logging_2082/klagomål/A 193-2022 FSC-klagomål.docx", "A 193-2022")</f>
        <v/>
      </c>
      <c r="AB28">
        <f>HYPERLINK("https://klasma.github.io/Logging_2082/klagomålsmail/A 193-2022 FSC-klagomål mail.docx", "A 193-2022")</f>
        <v/>
      </c>
      <c r="AC28">
        <f>HYPERLINK("https://klasma.github.io/Logging_2082/tillsyn/A 193-2022 tillsynsbegäran.docx", "A 193-2022")</f>
        <v/>
      </c>
      <c r="AD28">
        <f>HYPERLINK("https://klasma.github.io/Logging_2082/tillsynsmail/A 193-2022 tillsynsbegäran mail.docx", "A 193-2022")</f>
        <v/>
      </c>
      <c r="AE28">
        <f>HYPERLINK("https://klasma.github.io/Logging_2082/fåglar/A 193-2022 prioriterade fågelarter.docx", "A 193-2022")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46313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46313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46313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46313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21111-2026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46313</v>
      </c>
      <c r="F33" t="inlineStr">
        <is>
          <t>DALARNAS LÄN</t>
        </is>
      </c>
      <c r="G33" t="inlineStr">
        <is>
          <t>SÄTER</t>
        </is>
      </c>
      <c r="I33" t="n">
        <v>4.6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Fjällig taggsvamp s.str.</t>
        </is>
      </c>
      <c r="W33">
        <f>HYPERLINK("https://klasma.github.io/Logging_2082/artfynd/A 21111-2026 artfynd.xlsx", "A 21111-2026")</f>
        <v/>
      </c>
      <c r="X33">
        <f>HYPERLINK("https://klasma.github.io/Logging_2082/kartor/A 21111-2026 karta.png", "A 21111-2026")</f>
        <v/>
      </c>
      <c r="Y33">
        <f>HYPERLINK("https://klasma.github.io/Logging_2082/kartor_geotiff/A 21111-2026 georefererad karta.tif", "A 21111-2026")</f>
        <v/>
      </c>
      <c r="AA33">
        <f>HYPERLINK("https://klasma.github.io/Logging_2082/klagomål/A 21111-2026 FSC-klagomål.docx", "A 21111-2026")</f>
        <v/>
      </c>
      <c r="AB33">
        <f>HYPERLINK("https://klasma.github.io/Logging_2082/klagomålsmail/A 21111-2026 FSC-klagomål mail.docx", "A 21111-2026")</f>
        <v/>
      </c>
      <c r="AC33">
        <f>HYPERLINK("https://klasma.github.io/Logging_2082/tillsyn/A 21111-2026 tillsynsbegäran.docx", "A 21111-2026")</f>
        <v/>
      </c>
      <c r="AD33">
        <f>HYPERLINK("https://klasma.github.io/Logging_2082/tillsynsmail/A 21111-2026 tillsynsbegäran mail.docx", "A 21111-2026")</f>
        <v/>
      </c>
    </row>
    <row r="34" ht="15" customHeight="1">
      <c r="A34" t="inlineStr">
        <is>
          <t>A 21120-2026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46146</v>
      </c>
      <c r="E34" s="1" t="n">
        <v>46313</v>
      </c>
      <c r="F34" t="inlineStr">
        <is>
          <t>DALARNAS LÄN</t>
        </is>
      </c>
      <c r="G34" t="inlineStr">
        <is>
          <t>SÄTER</t>
        </is>
      </c>
      <c r="I34" t="n">
        <v>4.8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HYPERLINK("https://klasma.github.io/Logging_2082/artfynd/A 21120-2026 artfynd.xlsx", "A 21120-2026")</f>
        <v/>
      </c>
      <c r="X34">
        <f>HYPERLINK("https://klasma.github.io/Logging_2082/kartor/A 21120-2026 karta.png", "A 21120-2026")</f>
        <v/>
      </c>
      <c r="Y34">
        <f>HYPERLINK("https://klasma.github.io/Logging_2082/kartor_geotiff/A 21120-2026 georefererad karta.tif", "A 21120-2026")</f>
        <v/>
      </c>
      <c r="Z34">
        <f>HYPERLINK("https://klasma.github.io/Logging_2082/knärot/A 21120-2026 karta knärot.png", "A 21120-2026")</f>
        <v/>
      </c>
      <c r="AA34">
        <f>HYPERLINK("https://klasma.github.io/Logging_2082/klagomål/A 21120-2026 FSC-klagomål.docx", "A 21120-2026")</f>
        <v/>
      </c>
      <c r="AB34">
        <f>HYPERLINK("https://klasma.github.io/Logging_2082/klagomålsmail/A 21120-2026 FSC-klagomål mail.docx", "A 21120-2026")</f>
        <v/>
      </c>
      <c r="AC34">
        <f>HYPERLINK("https://klasma.github.io/Logging_2082/tillsyn/A 21120-2026 tillsynsbegäran.docx", "A 21120-2026")</f>
        <v/>
      </c>
      <c r="AD34">
        <f>HYPERLINK("https://klasma.github.io/Logging_2082/tillsynsmail/A 21120-2026 tillsynsbegäran mail.docx", "A 21120-2026")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46313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Järnsparv</t>
        </is>
      </c>
      <c r="W35">
        <f>HYPERLINK("https://klasma.github.io/Logging_2082/artfynd/A 47661-2025 artfynd.xlsx", "A 47661-2025")</f>
        <v/>
      </c>
      <c r="X35">
        <f>HYPERLINK("https://klasma.github.io/Logging_2082/kartor/A 47661-2025 karta.png", "A 47661-2025")</f>
        <v/>
      </c>
      <c r="Y35">
        <f>HYPERLINK("https://klasma.github.io/Logging_2082/kartor_geotiff/A 47661-2025 georefererad karta.tif", "A 47661-2025")</f>
        <v/>
      </c>
      <c r="AA35">
        <f>HYPERLINK("https://klasma.github.io/Logging_2082/klagomål/A 47661-2025 FSC-klagomål.docx", "A 47661-2025")</f>
        <v/>
      </c>
      <c r="AB35">
        <f>HYPERLINK("https://klasma.github.io/Logging_2082/klagomålsmail/A 47661-2025 FSC-klagomål mail.docx", "A 47661-2025")</f>
        <v/>
      </c>
      <c r="AC35">
        <f>HYPERLINK("https://klasma.github.io/Logging_2082/tillsyn/A 47661-2025 tillsynsbegäran.docx", "A 47661-2025")</f>
        <v/>
      </c>
      <c r="AD35">
        <f>HYPERLINK("https://klasma.github.io/Logging_2082/tillsynsmail/A 47661-2025 tillsynsbegäran mail.docx", "A 47661-2025")</f>
        <v/>
      </c>
      <c r="AE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46313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46313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36939-2025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45874</v>
      </c>
      <c r="E38" s="1" t="n">
        <v>46313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Slaguggla</t>
        </is>
      </c>
      <c r="W38">
        <f>HYPERLINK("https://klasma.github.io/Logging_2082/artfynd/A 36939-2025 artfynd.xlsx", "A 36939-2025")</f>
        <v/>
      </c>
      <c r="X38">
        <f>HYPERLINK("https://klasma.github.io/Logging_2082/kartor/A 36939-2025 karta.png", "A 36939-2025")</f>
        <v/>
      </c>
      <c r="Y38">
        <f>HYPERLINK("https://klasma.github.io/Logging_2082/kartor_geotiff/A 36939-2025 georefererad karta.tif", "A 36939-2025")</f>
        <v/>
      </c>
      <c r="AA38">
        <f>HYPERLINK("https://klasma.github.io/Logging_2082/klagomål/A 36939-2025 FSC-klagomål.docx", "A 36939-2025")</f>
        <v/>
      </c>
      <c r="AB38">
        <f>HYPERLINK("https://klasma.github.io/Logging_2082/klagomålsmail/A 36939-2025 FSC-klagomål mail.docx", "A 36939-2025")</f>
        <v/>
      </c>
      <c r="AC38">
        <f>HYPERLINK("https://klasma.github.io/Logging_2082/tillsyn/A 36939-2025 tillsynsbegäran.docx", "A 36939-2025")</f>
        <v/>
      </c>
      <c r="AD38">
        <f>HYPERLINK("https://klasma.github.io/Logging_2082/tillsynsmail/A 36939-2025 tillsynsbegäran mail.docx", "A 36939-2025")</f>
        <v/>
      </c>
      <c r="AE38">
        <f>HYPERLINK("https://klasma.github.io/Logging_2082/fåglar/A 36939-2025 prioriterade fågelarter.docx", "A 36939-2025")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46313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46313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32383-2022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32383-2022 artfynd.xlsx", "A 32383-2022")</f>
        <v/>
      </c>
      <c r="X41">
        <f>HYPERLINK("https://klasma.github.io/Logging_2082/kartor/A 32383-2022 karta.png", "A 32383-2022")</f>
        <v/>
      </c>
      <c r="Y41">
        <f>HYPERLINK("https://klasma.github.io/Logging_2082/kartor_geotiff/A 32383-2022 georefererad karta.tif", "A 32383-2022")</f>
        <v/>
      </c>
      <c r="Z41">
        <f>HYPERLINK("https://klasma.github.io/Logging_2082/knärot/A 32383-2022 karta knärot.png", "A 32383-2022")</f>
        <v/>
      </c>
      <c r="AA41">
        <f>HYPERLINK("https://klasma.github.io/Logging_2082/klagomål/A 32383-2022 FSC-klagomål.docx", "A 32383-2022")</f>
        <v/>
      </c>
      <c r="AB41">
        <f>HYPERLINK("https://klasma.github.io/Logging_2082/klagomålsmail/A 32383-2022 FSC-klagomål mail.docx", "A 32383-2022")</f>
        <v/>
      </c>
      <c r="AC41">
        <f>HYPERLINK("https://klasma.github.io/Logging_2082/tillsyn/A 32383-2022 tillsynsbegäran.docx", "A 32383-2022")</f>
        <v/>
      </c>
      <c r="AD41">
        <f>HYPERLINK("https://klasma.github.io/Logging_2082/tillsynsmail/A 32383-2022 tillsynsbegäran mail.docx", "A 32383-2022")</f>
        <v/>
      </c>
    </row>
    <row r="42" ht="15" customHeight="1">
      <c r="A42" t="inlineStr">
        <is>
          <t>A 11533-2026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46313</v>
      </c>
      <c r="F42" t="inlineStr">
        <is>
          <t>DALARNAS LÄN</t>
        </is>
      </c>
      <c r="G42" t="inlineStr">
        <is>
          <t>SÄTER</t>
        </is>
      </c>
      <c r="H42" t="inlineStr">
        <is>
          <t>Kommuner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Fläcknycklar</t>
        </is>
      </c>
      <c r="W42">
        <f>HYPERLINK("https://klasma.github.io/Logging_2082/artfynd/A 11533-2026 artfynd.xlsx", "A 11533-2026")</f>
        <v/>
      </c>
      <c r="X42">
        <f>HYPERLINK("https://klasma.github.io/Logging_2082/kartor/A 11533-2026 karta.png", "A 11533-2026")</f>
        <v/>
      </c>
      <c r="Y42">
        <f>HYPERLINK("https://klasma.github.io/Logging_2082/kartor_geotiff/A 11533-2026 georefererad karta.tif", "A 11533-2026")</f>
        <v/>
      </c>
      <c r="AA42">
        <f>HYPERLINK("https://klasma.github.io/Logging_2082/klagomål/A 11533-2026 FSC-klagomål.docx", "A 11533-2026")</f>
        <v/>
      </c>
      <c r="AB42">
        <f>HYPERLINK("https://klasma.github.io/Logging_2082/klagomålsmail/A 11533-2026 FSC-klagomål mail.docx", "A 11533-2026")</f>
        <v/>
      </c>
      <c r="AC42">
        <f>HYPERLINK("https://klasma.github.io/Logging_2082/tillsyn/A 11533-2026 tillsynsbegäran.docx", "A 11533-2026")</f>
        <v/>
      </c>
      <c r="AD42">
        <f>HYPERLINK("https://klasma.github.io/Logging_2082/tillsynsmail/A 11533-2026 tillsynsbegäran mail.docx", "A 11533-2026")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46313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36969-2026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46273</v>
      </c>
      <c r="E44" s="1" t="n">
        <v>46313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Bronshjon</t>
        </is>
      </c>
      <c r="W44">
        <f>HYPERLINK("https://klasma.github.io/Logging_2082/artfynd/A 36969-2026 artfynd.xlsx", "A 36969-2026")</f>
        <v/>
      </c>
      <c r="X44">
        <f>HYPERLINK("https://klasma.github.io/Logging_2082/kartor/A 36969-2026 karta.png", "A 36969-2026")</f>
        <v/>
      </c>
      <c r="Y44">
        <f>HYPERLINK("https://klasma.github.io/Logging_2082/kartor_geotiff/A 36969-2026 georefererad karta.tif", "A 36969-2026")</f>
        <v/>
      </c>
      <c r="AA44">
        <f>HYPERLINK("https://klasma.github.io/Logging_2082/klagomål/A 36969-2026 FSC-klagomål.docx", "A 36969-2026")</f>
        <v/>
      </c>
      <c r="AB44">
        <f>HYPERLINK("https://klasma.github.io/Logging_2082/klagomålsmail/A 36969-2026 FSC-klagomål mail.docx", "A 36969-2026")</f>
        <v/>
      </c>
      <c r="AC44">
        <f>HYPERLINK("https://klasma.github.io/Logging_2082/tillsyn/A 36969-2026 tillsynsbegäran.docx", "A 36969-2026")</f>
        <v/>
      </c>
      <c r="AD44">
        <f>HYPERLINK("https://klasma.github.io/Logging_2082/tillsynsmail/A 36969-2026 tillsynsbegäran mail.docx", "A 36969-2026")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46313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46313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46313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A 34938-2025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46313</v>
      </c>
      <c r="F48" t="inlineStr">
        <is>
          <t>DALARNAS LÄN</t>
        </is>
      </c>
      <c r="G48" t="inlineStr">
        <is>
          <t>SÄTER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HYPERLINK("https://klasma.github.io/Logging_2082/artfynd/A 34938-2025 artfynd.xlsx", "A 34938-2025")</f>
        <v/>
      </c>
      <c r="X48">
        <f>HYPERLINK("https://klasma.github.io/Logging_2082/kartor/A 34938-2025 karta.png", "A 34938-2025")</f>
        <v/>
      </c>
      <c r="Y48">
        <f>HYPERLINK("https://klasma.github.io/Logging_2082/kartor_geotiff/A 34938-2025 georefererad karta.tif", "A 34938-2025")</f>
        <v/>
      </c>
      <c r="AA48">
        <f>HYPERLINK("https://klasma.github.io/Logging_2082/klagomål/A 34938-2025 FSC-klagomål.docx", "A 34938-2025")</f>
        <v/>
      </c>
      <c r="AB48">
        <f>HYPERLINK("https://klasma.github.io/Logging_2082/klagomålsmail/A 34938-2025 FSC-klagomål mail.docx", "A 34938-2025")</f>
        <v/>
      </c>
      <c r="AC48">
        <f>HYPERLINK("https://klasma.github.io/Logging_2082/tillsyn/A 34938-2025 tillsynsbegäran.docx", "A 34938-2025")</f>
        <v/>
      </c>
      <c r="AD48">
        <f>HYPERLINK("https://klasma.github.io/Logging_2082/tillsynsmail/A 34938-2025 tillsynsbegäran mail.docx", "A 34938-2025")</f>
        <v/>
      </c>
    </row>
    <row r="49" ht="15" customHeight="1">
      <c r="A49" t="inlineStr">
        <is>
          <t>A 35221-2025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45853</v>
      </c>
      <c r="E49" s="1" t="n">
        <v>46313</v>
      </c>
      <c r="F49" t="inlineStr">
        <is>
          <t>DALARNAS LÄN</t>
        </is>
      </c>
      <c r="G49" t="inlineStr">
        <is>
          <t>SÄTER</t>
        </is>
      </c>
      <c r="I49" t="n">
        <v>9.5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HYPERLINK("https://klasma.github.io/Logging_2082/artfynd/A 35221-2025 artfynd.xlsx", "A 35221-2025")</f>
        <v/>
      </c>
      <c r="X49">
        <f>HYPERLINK("https://klasma.github.io/Logging_2082/kartor/A 35221-2025 karta.png", "A 35221-2025")</f>
        <v/>
      </c>
      <c r="Y49">
        <f>HYPERLINK("https://klasma.github.io/Logging_2082/kartor_geotiff/A 35221-2025 georefererad karta.tif", "A 35221-2025")</f>
        <v/>
      </c>
      <c r="AA49">
        <f>HYPERLINK("https://klasma.github.io/Logging_2082/klagomål/A 35221-2025 FSC-klagomål.docx", "A 35221-2025")</f>
        <v/>
      </c>
      <c r="AB49">
        <f>HYPERLINK("https://klasma.github.io/Logging_2082/klagomålsmail/A 35221-2025 FSC-klagomål mail.docx", "A 35221-2025")</f>
        <v/>
      </c>
      <c r="AC49">
        <f>HYPERLINK("https://klasma.github.io/Logging_2082/tillsyn/A 35221-2025 tillsynsbegäran.docx", "A 35221-2025")</f>
        <v/>
      </c>
      <c r="AD49">
        <f>HYPERLINK("https://klasma.github.io/Logging_2082/tillsynsmail/A 35221-2025 tillsynsbegäran mail.docx", "A 35221-2025")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46313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46313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46313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46313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46313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46313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46313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46313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46313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46313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46313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46313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46313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46313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46313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46313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46313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46313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46313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46313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46313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46313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46313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44572</v>
      </c>
      <c r="E73" s="1" t="n">
        <v>46313</v>
      </c>
      <c r="F73" t="inlineStr">
        <is>
          <t>DALARNAS LÄN</t>
        </is>
      </c>
      <c r="G73" t="inlineStr">
        <is>
          <t>SÄTER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46313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46313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46313</v>
      </c>
      <c r="F76" t="inlineStr">
        <is>
          <t>DALARNAS LÄN</t>
        </is>
      </c>
      <c r="G76" t="inlineStr">
        <is>
          <t>SÄTER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46313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51328-2024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45604</v>
      </c>
      <c r="E78" s="1" t="n">
        <v>46313</v>
      </c>
      <c r="F78" t="inlineStr">
        <is>
          <t>DALARNAS LÄN</t>
        </is>
      </c>
      <c r="G78" t="inlineStr">
        <is>
          <t>SÄTER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51339-2024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46313</v>
      </c>
      <c r="F79" t="inlineStr">
        <is>
          <t>DALARNAS LÄN</t>
        </is>
      </c>
      <c r="G79" t="inlineStr">
        <is>
          <t>SÄTER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46313</v>
      </c>
      <c r="F80" t="inlineStr">
        <is>
          <t>DALARNAS LÄN</t>
        </is>
      </c>
      <c r="G80" t="inlineStr">
        <is>
          <t>SÄTER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46313</v>
      </c>
      <c r="F81" t="inlineStr">
        <is>
          <t>DALARNAS LÄN</t>
        </is>
      </c>
      <c r="G81" t="inlineStr">
        <is>
          <t>SÄTER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46313</v>
      </c>
      <c r="F82" t="inlineStr">
        <is>
          <t>DALARNAS LÄN</t>
        </is>
      </c>
      <c r="G82" t="inlineStr">
        <is>
          <t>SÄTER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  <c r="Z82">
        <f>HYPERLINK("https://klasma.github.io/Logging_2082/knärot/A 498-2025 karta knärot.png", "A 498-2025")</f>
        <v/>
      </c>
      <c r="AA82">
        <f>HYPERLINK("https://klasma.github.io/Logging_2082/klagomål/A 498-2025 FSC-klagomål.docx", "A 498-2025")</f>
        <v/>
      </c>
      <c r="AB82">
        <f>HYPERLINK("https://klasma.github.io/Logging_2082/klagomålsmail/A 498-2025 FSC-klagomål mail.docx", "A 498-2025")</f>
        <v/>
      </c>
      <c r="AC82">
        <f>HYPERLINK("https://klasma.github.io/Logging_2082/tillsyn/A 498-2025 tillsynsbegäran.docx", "A 498-2025")</f>
        <v/>
      </c>
      <c r="AD82">
        <f>HYPERLINK("https://klasma.github.io/Logging_2082/tillsynsmail/A 498-2025 tillsynsbegäran mail.docx", "A 498-2025")</f>
        <v/>
      </c>
    </row>
    <row r="83" ht="15" customHeight="1">
      <c r="A83" t="inlineStr">
        <is>
          <t>A 8697-2023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46313</v>
      </c>
      <c r="F83" t="inlineStr">
        <is>
          <t>DALARNAS LÄN</t>
        </is>
      </c>
      <c r="G83" t="inlineStr">
        <is>
          <t>SÄTER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46313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46313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46313</v>
      </c>
      <c r="F86" t="inlineStr">
        <is>
          <t>DALARNAS LÄN</t>
        </is>
      </c>
      <c r="G86" t="inlineStr">
        <is>
          <t>SÄTER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44956</v>
      </c>
      <c r="E87" s="1" t="n">
        <v>46313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46313</v>
      </c>
      <c r="F88" t="inlineStr">
        <is>
          <t>DALARNAS LÄN</t>
        </is>
      </c>
      <c r="G88" t="inlineStr">
        <is>
          <t>SÄTER</t>
        </is>
      </c>
      <c r="H88" t="inlineStr">
        <is>
          <t>Kommuner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46313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46313</v>
      </c>
      <c r="F90" t="inlineStr">
        <is>
          <t>DALARNAS LÄN</t>
        </is>
      </c>
      <c r="G90" t="inlineStr">
        <is>
          <t>SÄTER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44690</v>
      </c>
      <c r="E91" s="1" t="n">
        <v>46313</v>
      </c>
      <c r="F91" t="inlineStr">
        <is>
          <t>DALARNAS LÄN</t>
        </is>
      </c>
      <c r="G91" t="inlineStr">
        <is>
          <t>SÄTER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46313</v>
      </c>
      <c r="F92" t="inlineStr">
        <is>
          <t>DALARNAS LÄN</t>
        </is>
      </c>
      <c r="G92" t="inlineStr">
        <is>
          <t>SÄTER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46313</v>
      </c>
      <c r="F93" t="inlineStr">
        <is>
          <t>DALARNAS LÄN</t>
        </is>
      </c>
      <c r="G93" t="inlineStr">
        <is>
          <t>SÄTER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46313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46313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46313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46313</v>
      </c>
      <c r="F97" t="inlineStr">
        <is>
          <t>DALARNAS LÄN</t>
        </is>
      </c>
      <c r="G97" t="inlineStr">
        <is>
          <t>SÄTER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46313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46313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46313</v>
      </c>
      <c r="F100" t="inlineStr">
        <is>
          <t>DALARNAS LÄN</t>
        </is>
      </c>
      <c r="G100" t="inlineStr">
        <is>
          <t>SÄTER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46313</v>
      </c>
      <c r="F101" t="inlineStr">
        <is>
          <t>DALARNAS LÄN</t>
        </is>
      </c>
      <c r="G101" t="inlineStr">
        <is>
          <t>SÄTER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46313</v>
      </c>
      <c r="F102" t="inlineStr">
        <is>
          <t>DALARNAS LÄN</t>
        </is>
      </c>
      <c r="G102" t="inlineStr">
        <is>
          <t>SÄTER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46313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45599</v>
      </c>
      <c r="E104" s="1" t="n">
        <v>46313</v>
      </c>
      <c r="F104" t="inlineStr">
        <is>
          <t>DALARNAS LÄN</t>
        </is>
      </c>
      <c r="G104" t="inlineStr">
        <is>
          <t>SÄTER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46313</v>
      </c>
      <c r="F105" t="inlineStr">
        <is>
          <t>DALARNAS LÄN</t>
        </is>
      </c>
      <c r="G105" t="inlineStr">
        <is>
          <t>SÄTER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46313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46014</v>
      </c>
      <c r="E107" s="1" t="n">
        <v>46313</v>
      </c>
      <c r="F107" t="inlineStr">
        <is>
          <t>DALARNAS LÄN</t>
        </is>
      </c>
      <c r="G107" t="inlineStr">
        <is>
          <t>SÄTER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46043</v>
      </c>
      <c r="E108" s="1" t="n">
        <v>46313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46313</v>
      </c>
      <c r="F109" t="inlineStr">
        <is>
          <t>DALARNAS LÄN</t>
        </is>
      </c>
      <c r="G109" t="inlineStr">
        <is>
          <t>SÄTER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46313</v>
      </c>
      <c r="F110" t="inlineStr">
        <is>
          <t>DALARNAS LÄN</t>
        </is>
      </c>
      <c r="G110" t="inlineStr">
        <is>
          <t>SÄTER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46313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46313</v>
      </c>
      <c r="F112" t="inlineStr">
        <is>
          <t>DALARNAS LÄN</t>
        </is>
      </c>
      <c r="G112" t="inlineStr">
        <is>
          <t>SÄTER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45567</v>
      </c>
      <c r="E113" s="1" t="n">
        <v>46313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46313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46313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46313</v>
      </c>
      <c r="F116" t="inlineStr">
        <is>
          <t>DALARNAS LÄN</t>
        </is>
      </c>
      <c r="G116" t="inlineStr">
        <is>
          <t>SÄTER</t>
        </is>
      </c>
      <c r="H116" t="inlineStr">
        <is>
          <t>Kommuner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46313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10.2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46313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46313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46313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46313</v>
      </c>
      <c r="F121" t="inlineStr">
        <is>
          <t>DALARNAS LÄN</t>
        </is>
      </c>
      <c r="G121" t="inlineStr">
        <is>
          <t>SÄTER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46313</v>
      </c>
      <c r="F122" t="inlineStr">
        <is>
          <t>DALARNAS LÄN</t>
        </is>
      </c>
      <c r="G122" t="inlineStr">
        <is>
          <t>SÄTER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46313</v>
      </c>
      <c r="F123" t="inlineStr">
        <is>
          <t>DALARNAS LÄN</t>
        </is>
      </c>
      <c r="G123" t="inlineStr">
        <is>
          <t>SÄTER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46313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46313</v>
      </c>
      <c r="F125" t="inlineStr">
        <is>
          <t>DALARNAS LÄN</t>
        </is>
      </c>
      <c r="G125" t="inlineStr">
        <is>
          <t>SÄTER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46084</v>
      </c>
      <c r="E126" s="1" t="n">
        <v>46313</v>
      </c>
      <c r="F126" t="inlineStr">
        <is>
          <t>DALARNAS LÄN</t>
        </is>
      </c>
      <c r="G126" t="inlineStr">
        <is>
          <t>SÄTER</t>
        </is>
      </c>
      <c r="H126" t="inlineStr">
        <is>
          <t>Kommuner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46313</v>
      </c>
      <c r="F127" t="inlineStr">
        <is>
          <t>DALARNAS LÄN</t>
        </is>
      </c>
      <c r="G127" t="inlineStr">
        <is>
          <t>SÄTER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46313</v>
      </c>
      <c r="F128" t="inlineStr">
        <is>
          <t>DALARNAS LÄN</t>
        </is>
      </c>
      <c r="G128" t="inlineStr">
        <is>
          <t>SÄTER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46313</v>
      </c>
      <c r="F129" t="inlineStr">
        <is>
          <t>DALARNAS LÄN</t>
        </is>
      </c>
      <c r="G129" t="inlineStr">
        <is>
          <t>SÄTER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46313</v>
      </c>
      <c r="F130" t="inlineStr">
        <is>
          <t>DALARNAS LÄN</t>
        </is>
      </c>
      <c r="G130" t="inlineStr">
        <is>
          <t>SÄTER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46313</v>
      </c>
      <c r="F131" t="inlineStr">
        <is>
          <t>DALARNAS LÄN</t>
        </is>
      </c>
      <c r="G131" t="inlineStr">
        <is>
          <t>SÄTER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46313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46313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46313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46313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42.6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45566</v>
      </c>
      <c r="E136" s="1" t="n">
        <v>46313</v>
      </c>
      <c r="F136" t="inlineStr">
        <is>
          <t>DALARNAS LÄN</t>
        </is>
      </c>
      <c r="G136" t="inlineStr">
        <is>
          <t>SÄTER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46313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45365</v>
      </c>
      <c r="E138" s="1" t="n">
        <v>46313</v>
      </c>
      <c r="F138" t="inlineStr">
        <is>
          <t>DALARNAS LÄN</t>
        </is>
      </c>
      <c r="G138" t="inlineStr">
        <is>
          <t>SÄTER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46313</v>
      </c>
      <c r="F139" t="inlineStr">
        <is>
          <t>DALARNAS LÄN</t>
        </is>
      </c>
      <c r="G139" t="inlineStr">
        <is>
          <t>SÄTER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46313</v>
      </c>
      <c r="F140" t="inlineStr">
        <is>
          <t>DALARNAS LÄN</t>
        </is>
      </c>
      <c r="G140" t="inlineStr">
        <is>
          <t>SÄTER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46313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46313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41.4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46313</v>
      </c>
      <c r="F143" t="inlineStr">
        <is>
          <t>DALARNAS LÄN</t>
        </is>
      </c>
      <c r="G143" t="inlineStr">
        <is>
          <t>SÄTER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46313</v>
      </c>
      <c r="F144" t="inlineStr">
        <is>
          <t>DALARNAS LÄN</t>
        </is>
      </c>
      <c r="G144" t="inlineStr">
        <is>
          <t>SÄTER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46313</v>
      </c>
      <c r="F145" t="inlineStr">
        <is>
          <t>DALARNAS LÄN</t>
        </is>
      </c>
      <c r="G145" t="inlineStr">
        <is>
          <t>SÄTER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46313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46313</v>
      </c>
      <c r="F147" t="inlineStr">
        <is>
          <t>DALARNAS LÄN</t>
        </is>
      </c>
      <c r="G147" t="inlineStr">
        <is>
          <t>SÄTER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46313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46313</v>
      </c>
      <c r="F149" t="inlineStr">
        <is>
          <t>DALARNAS LÄN</t>
        </is>
      </c>
      <c r="G149" t="inlineStr">
        <is>
          <t>SÄTER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46313</v>
      </c>
      <c r="F150" t="inlineStr">
        <is>
          <t>DALARNAS LÄN</t>
        </is>
      </c>
      <c r="G150" t="inlineStr">
        <is>
          <t>SÄTER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46313</v>
      </c>
      <c r="F151" t="inlineStr">
        <is>
          <t>DALARNAS LÄN</t>
        </is>
      </c>
      <c r="G151" t="inlineStr">
        <is>
          <t>SÄTER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46313</v>
      </c>
      <c r="F152" t="inlineStr">
        <is>
          <t>DALARNAS LÄN</t>
        </is>
      </c>
      <c r="G152" t="inlineStr">
        <is>
          <t>SÄTER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49599-2025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46313</v>
      </c>
      <c r="F153" t="inlineStr">
        <is>
          <t>DALARNAS LÄN</t>
        </is>
      </c>
      <c r="G153" t="inlineStr">
        <is>
          <t>SÄTER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45569</v>
      </c>
      <c r="E154" s="1" t="n">
        <v>46313</v>
      </c>
      <c r="F154" t="inlineStr">
        <is>
          <t>DALARNAS LÄN</t>
        </is>
      </c>
      <c r="G154" t="inlineStr">
        <is>
          <t>SÄTER</t>
        </is>
      </c>
      <c r="I154" t="n">
        <v>13.2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44732</v>
      </c>
      <c r="E155" s="1" t="n">
        <v>46313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44982</v>
      </c>
      <c r="E156" s="1" t="n">
        <v>46313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46313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46313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46313</v>
      </c>
      <c r="F159" t="inlineStr">
        <is>
          <t>DALARNAS LÄN</t>
        </is>
      </c>
      <c r="G159" t="inlineStr">
        <is>
          <t>SÄTER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46313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46313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  <c r="Z161">
        <f>HYPERLINK("https://klasma.github.io/Logging_2082/knärot/A 57416-2022 karta knärot.png", "A 57416-2022")</f>
        <v/>
      </c>
      <c r="AA161">
        <f>HYPERLINK("https://klasma.github.io/Logging_2082/klagomål/A 57416-2022 FSC-klagomål.docx", "A 57416-2022")</f>
        <v/>
      </c>
      <c r="AB161">
        <f>HYPERLINK("https://klasma.github.io/Logging_2082/klagomålsmail/A 57416-2022 FSC-klagomål mail.docx", "A 57416-2022")</f>
        <v/>
      </c>
      <c r="AC161">
        <f>HYPERLINK("https://klasma.github.io/Logging_2082/tillsyn/A 57416-2022 tillsynsbegäran.docx", "A 57416-2022")</f>
        <v/>
      </c>
      <c r="AD161">
        <f>HYPERLINK("https://klasma.github.io/Logging_2082/tillsynsmail/A 57416-2022 tillsynsbegäran mail.docx", "A 57416-2022")</f>
        <v/>
      </c>
    </row>
    <row r="162" ht="15" customHeight="1">
      <c r="A162" t="inlineStr">
        <is>
          <t>A 22261-2026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46313</v>
      </c>
      <c r="F162" t="inlineStr">
        <is>
          <t>DALARNAS LÄN</t>
        </is>
      </c>
      <c r="G162" t="inlineStr">
        <is>
          <t>SÄTER</t>
        </is>
      </c>
      <c r="I162" t="n">
        <v>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46313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46313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46313</v>
      </c>
      <c r="F165" t="inlineStr">
        <is>
          <t>DALARNAS LÄN</t>
        </is>
      </c>
      <c r="G165" t="inlineStr">
        <is>
          <t>SÄTER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46313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46313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46313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46313</v>
      </c>
      <c r="F169" t="inlineStr">
        <is>
          <t>DALARNAS LÄN</t>
        </is>
      </c>
      <c r="G169" t="inlineStr">
        <is>
          <t>SÄTER</t>
        </is>
      </c>
      <c r="H169" t="inlineStr">
        <is>
          <t>Bergvik skog väst AB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46313</v>
      </c>
      <c r="F170" t="inlineStr">
        <is>
          <t>DALARNAS LÄN</t>
        </is>
      </c>
      <c r="G170" t="inlineStr">
        <is>
          <t>SÄTER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45006</v>
      </c>
      <c r="E171" s="1" t="n">
        <v>46313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46313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46313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46313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46313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46313</v>
      </c>
      <c r="F176" t="inlineStr">
        <is>
          <t>DALARNAS LÄN</t>
        </is>
      </c>
      <c r="G176" t="inlineStr">
        <is>
          <t>SÄTER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46163</v>
      </c>
      <c r="E177" s="1" t="n">
        <v>46313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46313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46313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46313</v>
      </c>
      <c r="F180" t="inlineStr">
        <is>
          <t>DALARNAS LÄN</t>
        </is>
      </c>
      <c r="G180" t="inlineStr">
        <is>
          <t>SÄTER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46313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44869</v>
      </c>
      <c r="E182" s="1" t="n">
        <v>46313</v>
      </c>
      <c r="F182" t="inlineStr">
        <is>
          <t>DALARNAS LÄN</t>
        </is>
      </c>
      <c r="G182" t="inlineStr">
        <is>
          <t>SÄTER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46313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46313</v>
      </c>
      <c r="F184" t="inlineStr">
        <is>
          <t>DALARNAS LÄN</t>
        </is>
      </c>
      <c r="G184" t="inlineStr">
        <is>
          <t>SÄTER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46313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46313</v>
      </c>
      <c r="F186" t="inlineStr">
        <is>
          <t>DALARNAS LÄN</t>
        </is>
      </c>
      <c r="G186" t="inlineStr">
        <is>
          <t>SÄTER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46313</v>
      </c>
      <c r="F187" t="inlineStr">
        <is>
          <t>DALARNAS LÄN</t>
        </is>
      </c>
      <c r="G187" t="inlineStr">
        <is>
          <t>SÄTER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46313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46313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51320-2024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45604</v>
      </c>
      <c r="E190" s="1" t="n">
        <v>46313</v>
      </c>
      <c r="F190" t="inlineStr">
        <is>
          <t>DALARNAS LÄN</t>
        </is>
      </c>
      <c r="G190" t="inlineStr">
        <is>
          <t>SÄTER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45604</v>
      </c>
      <c r="E191" s="1" t="n">
        <v>46313</v>
      </c>
      <c r="F191" t="inlineStr">
        <is>
          <t>DALARNAS LÄN</t>
        </is>
      </c>
      <c r="G191" t="inlineStr">
        <is>
          <t>SÄTER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46313</v>
      </c>
      <c r="F192" t="inlineStr">
        <is>
          <t>DALARNAS LÄN</t>
        </is>
      </c>
      <c r="G192" t="inlineStr">
        <is>
          <t>SÄTER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46313</v>
      </c>
      <c r="F193" t="inlineStr">
        <is>
          <t>DALARNAS LÄN</t>
        </is>
      </c>
      <c r="G193" t="inlineStr">
        <is>
          <t>SÄTER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29635-2024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46313</v>
      </c>
      <c r="F194" t="inlineStr">
        <is>
          <t>DALARNAS LÄN</t>
        </is>
      </c>
      <c r="G194" t="inlineStr">
        <is>
          <t>SÄTER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46313</v>
      </c>
      <c r="F195" t="inlineStr">
        <is>
          <t>DALARNAS LÄN</t>
        </is>
      </c>
      <c r="G195" t="inlineStr">
        <is>
          <t>SÄTER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46313</v>
      </c>
      <c r="F196" t="inlineStr">
        <is>
          <t>DALARNAS LÄN</t>
        </is>
      </c>
      <c r="G196" t="inlineStr">
        <is>
          <t>SÄTER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51323-2024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45604</v>
      </c>
      <c r="E197" s="1" t="n">
        <v>46313</v>
      </c>
      <c r="F197" t="inlineStr">
        <is>
          <t>DALARNAS LÄN</t>
        </is>
      </c>
      <c r="G197" t="inlineStr">
        <is>
          <t>SÄTER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45527</v>
      </c>
      <c r="E198" s="1" t="n">
        <v>46313</v>
      </c>
      <c r="F198" t="inlineStr">
        <is>
          <t>DALARNAS LÄN</t>
        </is>
      </c>
      <c r="G198" t="inlineStr">
        <is>
          <t>SÄTER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45527</v>
      </c>
      <c r="E199" s="1" t="n">
        <v>46313</v>
      </c>
      <c r="F199" t="inlineStr">
        <is>
          <t>DALARNAS LÄN</t>
        </is>
      </c>
      <c r="G199" t="inlineStr">
        <is>
          <t>SÄTER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46313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45527</v>
      </c>
      <c r="E201" s="1" t="n">
        <v>46313</v>
      </c>
      <c r="F201" t="inlineStr">
        <is>
          <t>DALARNAS LÄN</t>
        </is>
      </c>
      <c r="G201" t="inlineStr">
        <is>
          <t>SÄTER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46313</v>
      </c>
      <c r="F202" t="inlineStr">
        <is>
          <t>DALARNAS LÄN</t>
        </is>
      </c>
      <c r="G202" t="inlineStr">
        <is>
          <t>SÄTER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46313</v>
      </c>
      <c r="F203" t="inlineStr">
        <is>
          <t>DALARNAS LÄN</t>
        </is>
      </c>
      <c r="G203" t="inlineStr">
        <is>
          <t>SÄTER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46313</v>
      </c>
      <c r="F204" t="inlineStr">
        <is>
          <t>DALARNAS LÄN</t>
        </is>
      </c>
      <c r="G204" t="inlineStr">
        <is>
          <t>SÄTER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46313</v>
      </c>
      <c r="F205" t="inlineStr">
        <is>
          <t>DALARNAS LÄN</t>
        </is>
      </c>
      <c r="G205" t="inlineStr">
        <is>
          <t>SÄTER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46313</v>
      </c>
      <c r="F206" t="inlineStr">
        <is>
          <t>DALARNAS LÄN</t>
        </is>
      </c>
      <c r="G206" t="inlineStr">
        <is>
          <t>SÄTER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46313</v>
      </c>
      <c r="F207" t="inlineStr">
        <is>
          <t>DALARNAS LÄN</t>
        </is>
      </c>
      <c r="G207" t="inlineStr">
        <is>
          <t>SÄTER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46313</v>
      </c>
      <c r="F208" t="inlineStr">
        <is>
          <t>DALARNAS LÄN</t>
        </is>
      </c>
      <c r="G208" t="inlineStr">
        <is>
          <t>SÄTER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16836-2024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45411</v>
      </c>
      <c r="E209" s="1" t="n">
        <v>46313</v>
      </c>
      <c r="F209" t="inlineStr">
        <is>
          <t>DALARNAS LÄN</t>
        </is>
      </c>
      <c r="G209" t="inlineStr">
        <is>
          <t>SÄTER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45411</v>
      </c>
      <c r="E210" s="1" t="n">
        <v>46313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46313</v>
      </c>
      <c r="F211" t="inlineStr">
        <is>
          <t>DALARNAS LÄN</t>
        </is>
      </c>
      <c r="G211" t="inlineStr">
        <is>
          <t>SÄTER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46026</v>
      </c>
      <c r="E212" s="1" t="n">
        <v>46313</v>
      </c>
      <c r="F212" t="inlineStr">
        <is>
          <t>DALARNAS LÄN</t>
        </is>
      </c>
      <c r="G212" t="inlineStr">
        <is>
          <t>SÄTER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46027</v>
      </c>
      <c r="E213" s="1" t="n">
        <v>46313</v>
      </c>
      <c r="F213" t="inlineStr">
        <is>
          <t>DALARNAS LÄN</t>
        </is>
      </c>
      <c r="G213" t="inlineStr">
        <is>
          <t>SÄTER</t>
        </is>
      </c>
      <c r="I213" t="n">
        <v>12.1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987-2026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46030</v>
      </c>
      <c r="E214" s="1" t="n">
        <v>46313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46313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46313</v>
      </c>
      <c r="F216" t="inlineStr">
        <is>
          <t>DALARNAS LÄN</t>
        </is>
      </c>
      <c r="G216" t="inlineStr">
        <is>
          <t>SÄTER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46313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46313</v>
      </c>
      <c r="F218" t="inlineStr">
        <is>
          <t>DALARNAS LÄN</t>
        </is>
      </c>
      <c r="G218" t="inlineStr">
        <is>
          <t>SÄTER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46313</v>
      </c>
      <c r="F219" t="inlineStr">
        <is>
          <t>DALARNAS LÄN</t>
        </is>
      </c>
      <c r="G219" t="inlineStr">
        <is>
          <t>SÄTER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46313</v>
      </c>
      <c r="F220" t="inlineStr">
        <is>
          <t>DALARNAS LÄN</t>
        </is>
      </c>
      <c r="G220" t="inlineStr">
        <is>
          <t>SÄTER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46313</v>
      </c>
      <c r="F221" t="inlineStr">
        <is>
          <t>DALARNAS LÄN</t>
        </is>
      </c>
      <c r="G221" t="inlineStr">
        <is>
          <t>SÄTER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46313</v>
      </c>
      <c r="F222" t="inlineStr">
        <is>
          <t>DALARNAS LÄN</t>
        </is>
      </c>
      <c r="G222" t="inlineStr">
        <is>
          <t>SÄTER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46313</v>
      </c>
      <c r="F223" t="inlineStr">
        <is>
          <t>DALARNAS LÄN</t>
        </is>
      </c>
      <c r="G223" t="inlineStr">
        <is>
          <t>SÄTER</t>
        </is>
      </c>
      <c r="H223" t="inlineStr">
        <is>
          <t>Övriga statliga verk och myndigheter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46313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46313</v>
      </c>
      <c r="F225" t="inlineStr">
        <is>
          <t>DALARNAS LÄN</t>
        </is>
      </c>
      <c r="G225" t="inlineStr">
        <is>
          <t>SÄTER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46313</v>
      </c>
      <c r="F226" t="inlineStr">
        <is>
          <t>DALARNAS LÄN</t>
        </is>
      </c>
      <c r="G226" t="inlineStr">
        <is>
          <t>SÄTER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45576</v>
      </c>
      <c r="E227" s="1" t="n">
        <v>46313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46313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46313</v>
      </c>
      <c r="F229" t="inlineStr">
        <is>
          <t>DALARNAS LÄN</t>
        </is>
      </c>
      <c r="G229" t="inlineStr">
        <is>
          <t>SÄTER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46313</v>
      </c>
      <c r="F230" t="inlineStr">
        <is>
          <t>DALARNAS LÄN</t>
        </is>
      </c>
      <c r="G230" t="inlineStr">
        <is>
          <t>SÄTER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46313</v>
      </c>
      <c r="F231" t="inlineStr">
        <is>
          <t>DALARNAS LÄN</t>
        </is>
      </c>
      <c r="G231" t="inlineStr">
        <is>
          <t>SÄTER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46313</v>
      </c>
      <c r="F232" t="inlineStr">
        <is>
          <t>DALARNAS LÄN</t>
        </is>
      </c>
      <c r="G232" t="inlineStr">
        <is>
          <t>SÄTER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46313</v>
      </c>
      <c r="F233" t="inlineStr">
        <is>
          <t>DALARNAS LÄN</t>
        </is>
      </c>
      <c r="G233" t="inlineStr">
        <is>
          <t>SÄTER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46313</v>
      </c>
      <c r="F234" t="inlineStr">
        <is>
          <t>DALARNAS LÄN</t>
        </is>
      </c>
      <c r="G234" t="inlineStr">
        <is>
          <t>SÄTER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46313</v>
      </c>
      <c r="F235" t="inlineStr">
        <is>
          <t>DALARNAS LÄN</t>
        </is>
      </c>
      <c r="G235" t="inlineStr">
        <is>
          <t>SÄTER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45526</v>
      </c>
      <c r="E236" s="1" t="n">
        <v>46313</v>
      </c>
      <c r="F236" t="inlineStr">
        <is>
          <t>DALARNAS LÄN</t>
        </is>
      </c>
      <c r="G236" t="inlineStr">
        <is>
          <t>SÄTER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46313</v>
      </c>
      <c r="F237" t="inlineStr">
        <is>
          <t>DALARNAS LÄN</t>
        </is>
      </c>
      <c r="G237" t="inlineStr">
        <is>
          <t>SÄTER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46313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46313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46313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46313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46313</v>
      </c>
      <c r="F242" t="inlineStr">
        <is>
          <t>DALARNAS LÄN</t>
        </is>
      </c>
      <c r="G242" t="inlineStr">
        <is>
          <t>SÄTER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46313</v>
      </c>
      <c r="F243" t="inlineStr">
        <is>
          <t>DALARNAS LÄN</t>
        </is>
      </c>
      <c r="G243" t="inlineStr">
        <is>
          <t>SÄTER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46313</v>
      </c>
      <c r="F244" t="inlineStr">
        <is>
          <t>DALARNAS LÄN</t>
        </is>
      </c>
      <c r="G244" t="inlineStr">
        <is>
          <t>SÄTER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46064</v>
      </c>
      <c r="E245" s="1" t="n">
        <v>46313</v>
      </c>
      <c r="F245" t="inlineStr">
        <is>
          <t>DALARNAS LÄN</t>
        </is>
      </c>
      <c r="G245" t="inlineStr">
        <is>
          <t>SÄTER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46313</v>
      </c>
      <c r="F246" t="inlineStr">
        <is>
          <t>DALARNAS LÄN</t>
        </is>
      </c>
      <c r="G246" t="inlineStr">
        <is>
          <t>SÄTER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46313</v>
      </c>
      <c r="F247" t="inlineStr">
        <is>
          <t>DALARNAS LÄN</t>
        </is>
      </c>
      <c r="G247" t="inlineStr">
        <is>
          <t>SÄTER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46313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10552-2026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46077</v>
      </c>
      <c r="E249" s="1" t="n">
        <v>46313</v>
      </c>
      <c r="F249" t="inlineStr">
        <is>
          <t>DALARNAS LÄN</t>
        </is>
      </c>
      <c r="G249" t="inlineStr">
        <is>
          <t>SÄTER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46313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46313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46313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46313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46313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46313</v>
      </c>
      <c r="F255" t="inlineStr">
        <is>
          <t>DALARNAS LÄN</t>
        </is>
      </c>
      <c r="G255" t="inlineStr">
        <is>
          <t>SÄTER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46313</v>
      </c>
      <c r="F256" t="inlineStr">
        <is>
          <t>DALARNAS LÄN</t>
        </is>
      </c>
      <c r="G256" t="inlineStr">
        <is>
          <t>SÄTER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46313</v>
      </c>
      <c r="F257" t="inlineStr">
        <is>
          <t>DALARNAS LÄN</t>
        </is>
      </c>
      <c r="G257" t="inlineStr">
        <is>
          <t>SÄTER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46313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46313</v>
      </c>
      <c r="F259" t="inlineStr">
        <is>
          <t>DALARNAS LÄN</t>
        </is>
      </c>
      <c r="G259" t="inlineStr">
        <is>
          <t>SÄTER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46313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46313</v>
      </c>
      <c r="F261" t="inlineStr">
        <is>
          <t>DALARNAS LÄN</t>
        </is>
      </c>
      <c r="G261" t="inlineStr">
        <is>
          <t>SÄTER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46313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46313</v>
      </c>
      <c r="F263" t="inlineStr">
        <is>
          <t>DALARNAS LÄN</t>
        </is>
      </c>
      <c r="G263" t="inlineStr">
        <is>
          <t>SÄTER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46313</v>
      </c>
      <c r="F264" t="inlineStr">
        <is>
          <t>DALARNAS LÄN</t>
        </is>
      </c>
      <c r="G264" t="inlineStr">
        <is>
          <t>SÄTER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46313</v>
      </c>
      <c r="F265" t="inlineStr">
        <is>
          <t>DALARNAS LÄN</t>
        </is>
      </c>
      <c r="G265" t="inlineStr">
        <is>
          <t>SÄTER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46313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46313</v>
      </c>
      <c r="F267" t="inlineStr">
        <is>
          <t>DALARNAS LÄN</t>
        </is>
      </c>
      <c r="G267" t="inlineStr">
        <is>
          <t>SÄTER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46313</v>
      </c>
      <c r="F268" t="inlineStr">
        <is>
          <t>DALARNAS LÄN</t>
        </is>
      </c>
      <c r="G268" t="inlineStr">
        <is>
          <t>SÄTER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45005</v>
      </c>
      <c r="E269" s="1" t="n">
        <v>46313</v>
      </c>
      <c r="F269" t="inlineStr">
        <is>
          <t>DALARNAS LÄN</t>
        </is>
      </c>
      <c r="G269" t="inlineStr">
        <is>
          <t>SÄTER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46313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46313</v>
      </c>
      <c r="F271" t="inlineStr">
        <is>
          <t>DALARNAS LÄN</t>
        </is>
      </c>
      <c r="G271" t="inlineStr">
        <is>
          <t>SÄTER</t>
        </is>
      </c>
      <c r="I271" t="n">
        <v>15.2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46313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46313</v>
      </c>
      <c r="F273" t="inlineStr">
        <is>
          <t>DALARNAS LÄN</t>
        </is>
      </c>
      <c r="G273" t="inlineStr">
        <is>
          <t>SÄTER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46313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46313</v>
      </c>
      <c r="F275" t="inlineStr">
        <is>
          <t>DALARNAS LÄN</t>
        </is>
      </c>
      <c r="G275" t="inlineStr">
        <is>
          <t>SÄTER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46313</v>
      </c>
      <c r="F276" t="inlineStr">
        <is>
          <t>DALARNAS LÄN</t>
        </is>
      </c>
      <c r="G276" t="inlineStr">
        <is>
          <t>SÄTER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44595</v>
      </c>
      <c r="E277" s="1" t="n">
        <v>46313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46313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45638</v>
      </c>
      <c r="E279" s="1" t="n">
        <v>46313</v>
      </c>
      <c r="F279" t="inlineStr">
        <is>
          <t>DALARNAS LÄN</t>
        </is>
      </c>
      <c r="G279" t="inlineStr">
        <is>
          <t>SÄTER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46313</v>
      </c>
      <c r="F280" t="inlineStr">
        <is>
          <t>DALARNAS LÄN</t>
        </is>
      </c>
      <c r="G280" t="inlineStr">
        <is>
          <t>SÄTER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46313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46313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46313</v>
      </c>
      <c r="F283" t="inlineStr">
        <is>
          <t>DALARNAS LÄN</t>
        </is>
      </c>
      <c r="G283" t="inlineStr">
        <is>
          <t>SÄTER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46313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46313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45334</v>
      </c>
      <c r="E286" s="1" t="n">
        <v>46313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46313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46211</v>
      </c>
      <c r="E288" s="1" t="n">
        <v>46313</v>
      </c>
      <c r="F288" t="inlineStr">
        <is>
          <t>DALARNAS LÄN</t>
        </is>
      </c>
      <c r="G288" t="inlineStr">
        <is>
          <t>SÄTER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46313</v>
      </c>
      <c r="F289" t="inlineStr">
        <is>
          <t>DALARNAS LÄN</t>
        </is>
      </c>
      <c r="G289" t="inlineStr">
        <is>
          <t>SÄTER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46313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46313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44784</v>
      </c>
      <c r="E292" s="1" t="n">
        <v>46313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46275</v>
      </c>
      <c r="E293" s="1" t="n">
        <v>46313</v>
      </c>
      <c r="F293" t="inlineStr">
        <is>
          <t>DALARNAS LÄN</t>
        </is>
      </c>
      <c r="G293" t="inlineStr">
        <is>
          <t>SÄTER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46313</v>
      </c>
      <c r="F294" t="inlineStr">
        <is>
          <t>DALARNAS LÄN</t>
        </is>
      </c>
      <c r="G294" t="inlineStr">
        <is>
          <t>SÄTER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46313</v>
      </c>
      <c r="F295" t="inlineStr">
        <is>
          <t>DALARNAS LÄN</t>
        </is>
      </c>
      <c r="G295" t="inlineStr">
        <is>
          <t>SÄTER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46234</v>
      </c>
      <c r="E296" s="1" t="n">
        <v>46313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46275</v>
      </c>
      <c r="E297" s="1" t="n">
        <v>46313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46313</v>
      </c>
      <c r="F298" t="inlineStr">
        <is>
          <t>DALARNAS LÄN</t>
        </is>
      </c>
      <c r="G298" t="inlineStr">
        <is>
          <t>SÄTER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46283</v>
      </c>
      <c r="E299" s="1" t="n">
        <v>46313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46313</v>
      </c>
      <c r="F300" t="inlineStr">
        <is>
          <t>DALARNAS LÄN</t>
        </is>
      </c>
      <c r="G300" t="inlineStr">
        <is>
          <t>SÄTER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46313</v>
      </c>
      <c r="F301" t="inlineStr">
        <is>
          <t>DALARNAS LÄN</t>
        </is>
      </c>
      <c r="G301" t="inlineStr">
        <is>
          <t>SÄTER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46313</v>
      </c>
      <c r="F302" t="inlineStr">
        <is>
          <t>DALARNAS LÄN</t>
        </is>
      </c>
      <c r="G302" t="inlineStr">
        <is>
          <t>SÄTER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44739</v>
      </c>
      <c r="E303" s="1" t="n">
        <v>46313</v>
      </c>
      <c r="F303" t="inlineStr">
        <is>
          <t>DALARNAS LÄN</t>
        </is>
      </c>
      <c r="G303" t="inlineStr">
        <is>
          <t>SÄTER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45453</v>
      </c>
      <c r="E304" s="1" t="n">
        <v>46313</v>
      </c>
      <c r="F304" t="inlineStr">
        <is>
          <t>DALARNAS LÄN</t>
        </is>
      </c>
      <c r="G304" t="inlineStr">
        <is>
          <t>SÄTER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46313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46313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46313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45442</v>
      </c>
      <c r="E308" s="1" t="n">
        <v>46313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44643</v>
      </c>
      <c r="E309" s="1" t="n">
        <v>46313</v>
      </c>
      <c r="F309" t="inlineStr">
        <is>
          <t>DALARNAS LÄN</t>
        </is>
      </c>
      <c r="G309" t="inlineStr">
        <is>
          <t>SÄTER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46290</v>
      </c>
      <c r="E310" s="1" t="n">
        <v>46313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46313</v>
      </c>
      <c r="F311" t="inlineStr">
        <is>
          <t>DALARNAS LÄN</t>
        </is>
      </c>
      <c r="G311" t="inlineStr">
        <is>
          <t>SÄTER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46313</v>
      </c>
      <c r="F312" t="inlineStr">
        <is>
          <t>DALARNAS LÄN</t>
        </is>
      </c>
      <c r="G312" t="inlineStr">
        <is>
          <t>SÄTER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46313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46313</v>
      </c>
      <c r="F314" t="inlineStr">
        <is>
          <t>DALARNAS LÄN</t>
        </is>
      </c>
      <c r="G314" t="inlineStr">
        <is>
          <t>SÄTER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46313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46313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46313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45182</v>
      </c>
      <c r="E318" s="1" t="n">
        <v>46313</v>
      </c>
      <c r="F318" t="inlineStr">
        <is>
          <t>DALARNAS LÄN</t>
        </is>
      </c>
      <c r="G318" t="inlineStr">
        <is>
          <t>SÄTER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46313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46313</v>
      </c>
      <c r="F320" t="inlineStr">
        <is>
          <t>DALARNAS LÄN</t>
        </is>
      </c>
      <c r="G320" t="inlineStr">
        <is>
          <t>SÄTER</t>
        </is>
      </c>
      <c r="H320" t="inlineStr">
        <is>
          <t>Sveaskog</t>
        </is>
      </c>
      <c r="I320" t="n">
        <v>19.8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46313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54310-2023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46313</v>
      </c>
      <c r="F322" t="inlineStr">
        <is>
          <t>DALARNAS LÄN</t>
        </is>
      </c>
      <c r="G322" t="inlineStr">
        <is>
          <t>SÄTER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44788</v>
      </c>
      <c r="E323" s="1" t="n">
        <v>46313</v>
      </c>
      <c r="F323" t="inlineStr">
        <is>
          <t>DALARNAS LÄN</t>
        </is>
      </c>
      <c r="G323" t="inlineStr">
        <is>
          <t>SÄTER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46313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28549-2022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44748</v>
      </c>
      <c r="E325" s="1" t="n">
        <v>46313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46313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46313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46313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19322-2024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46313</v>
      </c>
      <c r="F329" t="inlineStr">
        <is>
          <t>DALARNAS LÄN</t>
        </is>
      </c>
      <c r="G329" t="inlineStr">
        <is>
          <t>SÄTER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46313</v>
      </c>
      <c r="F330" t="inlineStr">
        <is>
          <t>DALARNAS LÄN</t>
        </is>
      </c>
      <c r="G330" t="inlineStr">
        <is>
          <t>SÄTER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46313</v>
      </c>
      <c r="F331" t="inlineStr">
        <is>
          <t>DALARNAS LÄN</t>
        </is>
      </c>
      <c r="G331" t="inlineStr">
        <is>
          <t>SÄTER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46313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46313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46313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46313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35564-2026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46262</v>
      </c>
      <c r="E336" s="1" t="n">
        <v>46313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45118</v>
      </c>
      <c r="E337" s="1" t="n">
        <v>46313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45443</v>
      </c>
      <c r="E338" s="1" t="n">
        <v>46313</v>
      </c>
      <c r="F338" t="inlineStr">
        <is>
          <t>DALARNAS LÄN</t>
        </is>
      </c>
      <c r="G338" t="inlineStr">
        <is>
          <t>SÄTER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46313</v>
      </c>
      <c r="F339" t="inlineStr">
        <is>
          <t>DALARNAS LÄN</t>
        </is>
      </c>
      <c r="G339" t="inlineStr">
        <is>
          <t>SÄTER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37440-2022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44809</v>
      </c>
      <c r="E340" s="1" t="n">
        <v>46313</v>
      </c>
      <c r="F340" t="inlineStr">
        <is>
          <t>DALARNAS LÄN</t>
        </is>
      </c>
      <c r="G340" t="inlineStr">
        <is>
          <t>SÄTER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46313</v>
      </c>
      <c r="F341" t="inlineStr">
        <is>
          <t>DALARNAS LÄN</t>
        </is>
      </c>
      <c r="G341" t="inlineStr">
        <is>
          <t>SÄTER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12285-2024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45377</v>
      </c>
      <c r="E342" s="1" t="n">
        <v>46313</v>
      </c>
      <c r="F342" t="inlineStr">
        <is>
          <t>DALARNAS LÄN</t>
        </is>
      </c>
      <c r="G342" t="inlineStr">
        <is>
          <t>SÄTER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35385-2026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46261</v>
      </c>
      <c r="E343" s="1" t="n">
        <v>46313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46313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45804</v>
      </c>
      <c r="E345" s="1" t="n">
        <v>46313</v>
      </c>
      <c r="F345" t="inlineStr">
        <is>
          <t>DALARNAS LÄN</t>
        </is>
      </c>
      <c r="G345" t="inlineStr">
        <is>
          <t>SÄTER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46313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46313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46313</v>
      </c>
      <c r="F348" t="inlineStr">
        <is>
          <t>DALARNAS LÄN</t>
        </is>
      </c>
      <c r="G348" t="inlineStr">
        <is>
          <t>SÄTER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46313</v>
      </c>
      <c r="F349" t="inlineStr">
        <is>
          <t>DALARNAS LÄN</t>
        </is>
      </c>
      <c r="G349" t="inlineStr">
        <is>
          <t>SÄTER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44784</v>
      </c>
      <c r="E350" s="1" t="n">
        <v>46313</v>
      </c>
      <c r="F350" t="inlineStr">
        <is>
          <t>DALARNAS LÄN</t>
        </is>
      </c>
      <c r="G350" t="inlineStr">
        <is>
          <t>SÄTER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46313</v>
      </c>
      <c r="F351" t="inlineStr">
        <is>
          <t>DALARNAS LÄN</t>
        </is>
      </c>
      <c r="G351" t="inlineStr">
        <is>
          <t>SÄTER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46313</v>
      </c>
      <c r="F352" t="inlineStr">
        <is>
          <t>DALARNAS LÄN</t>
        </is>
      </c>
      <c r="G352" t="inlineStr">
        <is>
          <t>SÄTER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46293</v>
      </c>
      <c r="E353" s="1" t="n">
        <v>46313</v>
      </c>
      <c r="F353" t="inlineStr">
        <is>
          <t>DALARNAS LÄN</t>
        </is>
      </c>
      <c r="G353" t="inlineStr">
        <is>
          <t>SÄTER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46313</v>
      </c>
      <c r="F354" t="inlineStr">
        <is>
          <t>DALARNAS LÄN</t>
        </is>
      </c>
      <c r="G354" t="inlineStr">
        <is>
          <t>SÄTER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46313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46313</v>
      </c>
      <c r="F356" t="inlineStr">
        <is>
          <t>DALARNAS LÄN</t>
        </is>
      </c>
      <c r="G356" t="inlineStr">
        <is>
          <t>SÄTER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46313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46313</v>
      </c>
      <c r="F358" t="inlineStr">
        <is>
          <t>DALARNAS LÄN</t>
        </is>
      </c>
      <c r="G358" t="inlineStr">
        <is>
          <t>SÄTER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46313</v>
      </c>
      <c r="F359" t="inlineStr">
        <is>
          <t>DALARNAS LÄN</t>
        </is>
      </c>
      <c r="G359" t="inlineStr">
        <is>
          <t>SÄTER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46313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46313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46313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46313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46313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46313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46313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46313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46313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2026-10-18T08:07:17Z</dcterms:created>
  <dcterms:modified xmlns:dcterms="http://purl.org/dc/terms/" xmlns:xsi="http://www.w3.org/2001/XMLSchema-instance" xsi:type="dcterms:W3CDTF">2026-10-18T08:07:17Z</dcterms:modified>
</cp:coreProperties>
</file>