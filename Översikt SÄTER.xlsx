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46242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46242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46242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46242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46242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46242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46242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46242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46242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46242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46242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46242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46242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46242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12817-2026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46091</v>
      </c>
      <c r="E16" s="1" t="n">
        <v>46242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28.2</v>
      </c>
      <c r="J16" t="n">
        <v>1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Ask
Grönsångare
Kransmossa</t>
        </is>
      </c>
      <c r="W16">
        <f>HYPERLINK("https://klasma.github.io/Logging_2082/artfynd/A 12817-2026 artfynd.xlsx", "A 12817-2026")</f>
        <v/>
      </c>
      <c r="X16">
        <f>HYPERLINK("https://klasma.github.io/Logging_2082/kartor/A 12817-2026 karta.png", "A 12817-2026")</f>
        <v/>
      </c>
      <c r="Y16">
        <f>HYPERLINK("https://klasma.github.io/Logging_2082/kartor_geotiff/A 12817-2026 georefererad karta.tif", "A 12817-2026")</f>
        <v/>
      </c>
      <c r="AA16">
        <f>HYPERLINK("https://klasma.github.io/Logging_2082/klagomål/A 12817-2026 FSC-klagomål.docx", "A 12817-2026")</f>
        <v/>
      </c>
      <c r="AB16">
        <f>HYPERLINK("https://klasma.github.io/Logging_2082/klagomålsmail/A 12817-2026 FSC-klagomål mail.docx", "A 12817-2026")</f>
        <v/>
      </c>
      <c r="AC16">
        <f>HYPERLINK("https://klasma.github.io/Logging_2082/tillsyn/A 12817-2026 tillsynsbegäran.docx", "A 12817-2026")</f>
        <v/>
      </c>
      <c r="AD16">
        <f>HYPERLINK("https://klasma.github.io/Logging_2082/tillsynsmail/A 12817-2026 tillsynsbegäran mail.docx", "A 12817-2026")</f>
        <v/>
      </c>
      <c r="AE16">
        <f>HYPERLINK("https://klasma.github.io/Logging_2082/fåglar/A 12817-2026 prioriterade fågelarter.docx", "A 12817-2026")</f>
        <v/>
      </c>
    </row>
    <row r="17" ht="15" customHeight="1">
      <c r="A17" t="inlineStr">
        <is>
          <t>A 21382-2025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45781</v>
      </c>
      <c r="E17" s="1" t="n">
        <v>46242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37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Brudsporre
Revlummer
Äkta lopplummer</t>
        </is>
      </c>
      <c r="W17">
        <f>HYPERLINK("https://klasma.github.io/Logging_2082/artfynd/A 21382-2025 artfynd.xlsx", "A 21382-2025")</f>
        <v/>
      </c>
      <c r="X17">
        <f>HYPERLINK("https://klasma.github.io/Logging_2082/kartor/A 21382-2025 karta.png", "A 21382-2025")</f>
        <v/>
      </c>
      <c r="Y17">
        <f>HYPERLINK("https://klasma.github.io/Logging_2082/kartor_geotiff/A 21382-2025 georefererad karta.tif", "A 21382-2025")</f>
        <v/>
      </c>
      <c r="AA17">
        <f>HYPERLINK("https://klasma.github.io/Logging_2082/klagomål/A 21382-2025 FSC-klagomål.docx", "A 21382-2025")</f>
        <v/>
      </c>
      <c r="AB17">
        <f>HYPERLINK("https://klasma.github.io/Logging_2082/klagomålsmail/A 21382-2025 FSC-klagomål mail.docx", "A 21382-2025")</f>
        <v/>
      </c>
      <c r="AC17">
        <f>HYPERLINK("https://klasma.github.io/Logging_2082/tillsyn/A 21382-2025 tillsynsbegäran.docx", "A 21382-2025")</f>
        <v/>
      </c>
      <c r="AD17">
        <f>HYPERLINK("https://klasma.github.io/Logging_2082/tillsynsmail/A 21382-2025 tillsynsbegäran mail.docx", "A 21382-2025")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46242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46242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46242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46242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49656-2025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46242</v>
      </c>
      <c r="F22" t="inlineStr">
        <is>
          <t>DALARNAS LÄN</t>
        </is>
      </c>
      <c r="G22" t="inlineStr">
        <is>
          <t>SÄTER</t>
        </is>
      </c>
      <c r="I22" t="n">
        <v>0.6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Knärot
Motaggsvamp</t>
        </is>
      </c>
      <c r="W22">
        <f>HYPERLINK("https://klasma.github.io/Logging_2082/artfynd/A 49656-2025 artfynd.xlsx", "A 49656-2025")</f>
        <v/>
      </c>
      <c r="X22">
        <f>HYPERLINK("https://klasma.github.io/Logging_2082/kartor/A 49656-2025 karta.png", "A 49656-2025")</f>
        <v/>
      </c>
      <c r="Y22">
        <f>HYPERLINK("https://klasma.github.io/Logging_2082/kartor_geotiff/A 49656-2025 georefererad karta.tif", "A 49656-2025")</f>
        <v/>
      </c>
      <c r="Z22">
        <f>HYPERLINK("https://klasma.github.io/Logging_2082/knärot/A 49656-2025 karta knärot.png", "A 49656-2025")</f>
        <v/>
      </c>
      <c r="AA22">
        <f>HYPERLINK("https://klasma.github.io/Logging_2082/klagomål/A 49656-2025 FSC-klagomål.docx", "A 49656-2025")</f>
        <v/>
      </c>
      <c r="AB22">
        <f>HYPERLINK("https://klasma.github.io/Logging_2082/klagomålsmail/A 49656-2025 FSC-klagomål mail.docx", "A 49656-2025")</f>
        <v/>
      </c>
      <c r="AC22">
        <f>HYPERLINK("https://klasma.github.io/Logging_2082/tillsyn/A 49656-2025 tillsynsbegäran.docx", "A 49656-2025")</f>
        <v/>
      </c>
      <c r="AD22">
        <f>HYPERLINK("https://klasma.github.io/Logging_2082/tillsynsmail/A 49656-2025 tillsynsbegäran mail.docx", "A 49656-2025")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46242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46242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46242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46242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46242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46242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46242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46242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46242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39406-2024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45551</v>
      </c>
      <c r="E32" s="1" t="n">
        <v>46242</v>
      </c>
      <c r="F32" t="inlineStr">
        <is>
          <t>DALARNAS LÄN</t>
        </is>
      </c>
      <c r="G32" t="inlineStr">
        <is>
          <t>SÄTER</t>
        </is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Sotriska</t>
        </is>
      </c>
      <c r="W32">
        <f>HYPERLINK("https://klasma.github.io/Logging_2082/artfynd/A 39406-2024 artfynd.xlsx", "A 39406-2024")</f>
        <v/>
      </c>
      <c r="X32">
        <f>HYPERLINK("https://klasma.github.io/Logging_2082/kartor/A 39406-2024 karta.png", "A 39406-2024")</f>
        <v/>
      </c>
      <c r="Y32">
        <f>HYPERLINK("https://klasma.github.io/Logging_2082/kartor_geotiff/A 39406-2024 georefererad karta.tif", "A 39406-2024")</f>
        <v/>
      </c>
      <c r="AA32">
        <f>HYPERLINK("https://klasma.github.io/Logging_2082/klagomål/A 39406-2024 FSC-klagomål.docx", "A 39406-2024")</f>
        <v/>
      </c>
      <c r="AB32">
        <f>HYPERLINK("https://klasma.github.io/Logging_2082/klagomålsmail/A 39406-2024 FSC-klagomål mail.docx", "A 39406-2024")</f>
        <v/>
      </c>
      <c r="AC32">
        <f>HYPERLINK("https://klasma.github.io/Logging_2082/tillsyn/A 39406-2024 tillsynsbegäran.docx", "A 39406-2024")</f>
        <v/>
      </c>
      <c r="AD32">
        <f>HYPERLINK("https://klasma.github.io/Logging_2082/tillsynsmail/A 39406-2024 tillsynsbegäran mail.docx", "A 39406-2024")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46242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46242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9682-2025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46242</v>
      </c>
      <c r="F35" t="inlineStr">
        <is>
          <t>DALARNAS LÄN</t>
        </is>
      </c>
      <c r="G35" t="inlineStr">
        <is>
          <t>SÄTER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Ögonpyrola</t>
        </is>
      </c>
      <c r="W35">
        <f>HYPERLINK("https://klasma.github.io/Logging_2082/artfynd/A 9682-2025 artfynd.xlsx", "A 9682-2025")</f>
        <v/>
      </c>
      <c r="X35">
        <f>HYPERLINK("https://klasma.github.io/Logging_2082/kartor/A 9682-2025 karta.png", "A 9682-2025")</f>
        <v/>
      </c>
      <c r="Y35">
        <f>HYPERLINK("https://klasma.github.io/Logging_2082/kartor_geotiff/A 9682-2025 georefererad karta.tif", "A 9682-2025")</f>
        <v/>
      </c>
      <c r="AA35">
        <f>HYPERLINK("https://klasma.github.io/Logging_2082/klagomål/A 9682-2025 FSC-klagomål.docx", "A 9682-2025")</f>
        <v/>
      </c>
      <c r="AB35">
        <f>HYPERLINK("https://klasma.github.io/Logging_2082/klagomålsmail/A 9682-2025 FSC-klagomål mail.docx", "A 9682-2025")</f>
        <v/>
      </c>
      <c r="AC35">
        <f>HYPERLINK("https://klasma.github.io/Logging_2082/tillsyn/A 9682-2025 tillsynsbegäran.docx", "A 9682-2025")</f>
        <v/>
      </c>
      <c r="AD35">
        <f>HYPERLINK("https://klasma.github.io/Logging_2082/tillsynsmail/A 9682-2025 tillsynsbegäran mail.docx", "A 9682-2025")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46242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46242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21111-2026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46242</v>
      </c>
      <c r="F38" t="inlineStr">
        <is>
          <t>DALARNAS LÄN</t>
        </is>
      </c>
      <c r="G38" t="inlineStr">
        <is>
          <t>SÄTER</t>
        </is>
      </c>
      <c r="I38" t="n">
        <v>4.6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Fjällig taggsvamp s.str.</t>
        </is>
      </c>
      <c r="W38">
        <f>HYPERLINK("https://klasma.github.io/Logging_2082/artfynd/A 21111-2026 artfynd.xlsx", "A 21111-2026")</f>
        <v/>
      </c>
      <c r="X38">
        <f>HYPERLINK("https://klasma.github.io/Logging_2082/kartor/A 21111-2026 karta.png", "A 21111-2026")</f>
        <v/>
      </c>
      <c r="Y38">
        <f>HYPERLINK("https://klasma.github.io/Logging_2082/kartor_geotiff/A 21111-2026 georefererad karta.tif", "A 21111-2026")</f>
        <v/>
      </c>
      <c r="AA38">
        <f>HYPERLINK("https://klasma.github.io/Logging_2082/klagomål/A 21111-2026 FSC-klagomål.docx", "A 21111-2026")</f>
        <v/>
      </c>
      <c r="AB38">
        <f>HYPERLINK("https://klasma.github.io/Logging_2082/klagomålsmail/A 21111-2026 FSC-klagomål mail.docx", "A 21111-2026")</f>
        <v/>
      </c>
      <c r="AC38">
        <f>HYPERLINK("https://klasma.github.io/Logging_2082/tillsyn/A 21111-2026 tillsynsbegäran.docx", "A 21111-2026")</f>
        <v/>
      </c>
      <c r="AD38">
        <f>HYPERLINK("https://klasma.github.io/Logging_2082/tillsynsmail/A 21111-2026 tillsynsbegäran mail.docx", "A 21111-2026")</f>
        <v/>
      </c>
    </row>
    <row r="39" ht="15" customHeight="1">
      <c r="A39" t="inlineStr">
        <is>
          <t>A 21120-2026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46242</v>
      </c>
      <c r="F39" t="inlineStr">
        <is>
          <t>DALARNAS LÄN</t>
        </is>
      </c>
      <c r="G39" t="inlineStr">
        <is>
          <t>SÄTER</t>
        </is>
      </c>
      <c r="I39" t="n">
        <v>4.8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21120-2026 artfynd.xlsx", "A 21120-2026")</f>
        <v/>
      </c>
      <c r="X39">
        <f>HYPERLINK("https://klasma.github.io/Logging_2082/kartor/A 21120-2026 karta.png", "A 21120-2026")</f>
        <v/>
      </c>
      <c r="Y39">
        <f>HYPERLINK("https://klasma.github.io/Logging_2082/kartor_geotiff/A 21120-2026 georefererad karta.tif", "A 21120-2026")</f>
        <v/>
      </c>
      <c r="Z39">
        <f>HYPERLINK("https://klasma.github.io/Logging_2082/knärot/A 21120-2026 karta knärot.png", "A 21120-2026")</f>
        <v/>
      </c>
      <c r="AA39">
        <f>HYPERLINK("https://klasma.github.io/Logging_2082/klagomål/A 21120-2026 FSC-klagomål.docx", "A 21120-2026")</f>
        <v/>
      </c>
      <c r="AB39">
        <f>HYPERLINK("https://klasma.github.io/Logging_2082/klagomålsmail/A 21120-2026 FSC-klagomål mail.docx", "A 21120-2026")</f>
        <v/>
      </c>
      <c r="AC39">
        <f>HYPERLINK("https://klasma.github.io/Logging_2082/tillsyn/A 21120-2026 tillsynsbegäran.docx", "A 21120-2026")</f>
        <v/>
      </c>
      <c r="AD39">
        <f>HYPERLINK("https://klasma.github.io/Logging_2082/tillsynsmail/A 21120-2026 tillsynsbegäran mail.docx", "A 21120-2026")</f>
        <v/>
      </c>
    </row>
    <row r="40" ht="15" customHeight="1">
      <c r="A40" t="inlineStr">
        <is>
          <t>A 35221-2025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45853</v>
      </c>
      <c r="E40" s="1" t="n">
        <v>46242</v>
      </c>
      <c r="F40" t="inlineStr">
        <is>
          <t>DALARNAS LÄN</t>
        </is>
      </c>
      <c r="G40" t="inlineStr">
        <is>
          <t>SÄTER</t>
        </is>
      </c>
      <c r="I40" t="n">
        <v>9.5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Vedskivlav</t>
        </is>
      </c>
      <c r="W40">
        <f>HYPERLINK("https://klasma.github.io/Logging_2082/artfynd/A 35221-2025 artfynd.xlsx", "A 35221-2025")</f>
        <v/>
      </c>
      <c r="X40">
        <f>HYPERLINK("https://klasma.github.io/Logging_2082/kartor/A 35221-2025 karta.png", "A 35221-2025")</f>
        <v/>
      </c>
      <c r="Y40">
        <f>HYPERLINK("https://klasma.github.io/Logging_2082/kartor_geotiff/A 35221-2025 georefererad karta.tif", "A 35221-2025")</f>
        <v/>
      </c>
      <c r="AA40">
        <f>HYPERLINK("https://klasma.github.io/Logging_2082/klagomål/A 35221-2025 FSC-klagomål.docx", "A 35221-2025")</f>
        <v/>
      </c>
      <c r="AB40">
        <f>HYPERLINK("https://klasma.github.io/Logging_2082/klagomålsmail/A 35221-2025 FSC-klagomål mail.docx", "A 35221-2025")</f>
        <v/>
      </c>
      <c r="AC40">
        <f>HYPERLINK("https://klasma.github.io/Logging_2082/tillsyn/A 35221-2025 tillsynsbegäran.docx", "A 35221-2025")</f>
        <v/>
      </c>
      <c r="AD40">
        <f>HYPERLINK("https://klasma.github.io/Logging_2082/tillsynsmail/A 35221-2025 tillsynsbegäran mail.docx", "A 35221-2025")</f>
        <v/>
      </c>
    </row>
    <row r="41" ht="15" customHeight="1">
      <c r="A41" t="inlineStr">
        <is>
          <t>A 68448-2021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46242</v>
      </c>
      <c r="F41" t="inlineStr">
        <is>
          <t>DALARNAS LÄN</t>
        </is>
      </c>
      <c r="G41" t="inlineStr">
        <is>
          <t>SÄTER</t>
        </is>
      </c>
      <c r="I41" t="n">
        <v>1.4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68448-2021 artfynd.xlsx", "A 68448-2021")</f>
        <v/>
      </c>
      <c r="X41">
        <f>HYPERLINK("https://klasma.github.io/Logging_2082/kartor/A 68448-2021 karta.png", "A 68448-2021")</f>
        <v/>
      </c>
      <c r="Y41">
        <f>HYPERLINK("https://klasma.github.io/Logging_2082/kartor_geotiff/A 68448-2021 georefererad karta.tif", "A 68448-2021")</f>
        <v/>
      </c>
      <c r="Z41">
        <f>HYPERLINK("https://klasma.github.io/Logging_2082/knärot/A 68448-2021 karta knärot.png", "A 68448-2021")</f>
        <v/>
      </c>
      <c r="AA41">
        <f>HYPERLINK("https://klasma.github.io/Logging_2082/klagomål/A 68448-2021 FSC-klagomål.docx", "A 68448-2021")</f>
        <v/>
      </c>
      <c r="AB41">
        <f>HYPERLINK("https://klasma.github.io/Logging_2082/klagomålsmail/A 68448-2021 FSC-klagomål mail.docx", "A 68448-2021")</f>
        <v/>
      </c>
      <c r="AC41">
        <f>HYPERLINK("https://klasma.github.io/Logging_2082/tillsyn/A 68448-2021 tillsynsbegäran.docx", "A 68448-2021")</f>
        <v/>
      </c>
      <c r="AD41">
        <f>HYPERLINK("https://klasma.github.io/Logging_2082/tillsynsmail/A 68448-2021 tillsynsbegäran mail.docx", "A 68448-2021")</f>
        <v/>
      </c>
    </row>
    <row r="42" ht="15" customHeight="1">
      <c r="A42" t="inlineStr">
        <is>
          <t>A 32383-2022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46242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HYPERLINK("https://klasma.github.io/Logging_2082/artfynd/A 32383-2022 artfynd.xlsx", "A 32383-2022")</f>
        <v/>
      </c>
      <c r="X42">
        <f>HYPERLINK("https://klasma.github.io/Logging_2082/kartor/A 32383-2022 karta.png", "A 32383-2022")</f>
        <v/>
      </c>
      <c r="Y42">
        <f>HYPERLINK("https://klasma.github.io/Logging_2082/kartor_geotiff/A 32383-2022 georefererad karta.tif", "A 32383-2022")</f>
        <v/>
      </c>
      <c r="Z42">
        <f>HYPERLINK("https://klasma.github.io/Logging_2082/knärot/A 32383-2022 karta knärot.png", "A 32383-2022")</f>
        <v/>
      </c>
      <c r="AA42">
        <f>HYPERLINK("https://klasma.github.io/Logging_2082/klagomål/A 32383-2022 FSC-klagomål.docx", "A 32383-2022")</f>
        <v/>
      </c>
      <c r="AB42">
        <f>HYPERLINK("https://klasma.github.io/Logging_2082/klagomålsmail/A 32383-2022 FSC-klagomål mail.docx", "A 32383-2022")</f>
        <v/>
      </c>
      <c r="AC42">
        <f>HYPERLINK("https://klasma.github.io/Logging_2082/tillsyn/A 32383-2022 tillsynsbegäran.docx", "A 32383-2022")</f>
        <v/>
      </c>
      <c r="AD42">
        <f>HYPERLINK("https://klasma.github.io/Logging_2082/tillsynsmail/A 32383-2022 tillsynsbegäran mail.docx", "A 32383-2022")</f>
        <v/>
      </c>
    </row>
    <row r="43" ht="15" customHeight="1">
      <c r="A43" t="inlineStr">
        <is>
          <t>A 33605-2022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46242</v>
      </c>
      <c r="F43" t="inlineStr">
        <is>
          <t>DALARNAS LÄN</t>
        </is>
      </c>
      <c r="G43" t="inlineStr">
        <is>
          <t>SÄTER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HYPERLINK("https://klasma.github.io/Logging_2082/artfynd/A 33605-2022 artfynd.xlsx", "A 33605-2022")</f>
        <v/>
      </c>
      <c r="X43">
        <f>HYPERLINK("https://klasma.github.io/Logging_2082/kartor/A 33605-2022 karta.png", "A 33605-2022")</f>
        <v/>
      </c>
      <c r="Y43">
        <f>HYPERLINK("https://klasma.github.io/Logging_2082/kartor_geotiff/A 33605-2022 georefererad karta.tif", "A 33605-2022")</f>
        <v/>
      </c>
      <c r="AA43">
        <f>HYPERLINK("https://klasma.github.io/Logging_2082/klagomål/A 33605-2022 FSC-klagomål.docx", "A 33605-2022")</f>
        <v/>
      </c>
      <c r="AB43">
        <f>HYPERLINK("https://klasma.github.io/Logging_2082/klagomålsmail/A 33605-2022 FSC-klagomål mail.docx", "A 33605-2022")</f>
        <v/>
      </c>
      <c r="AC43">
        <f>HYPERLINK("https://klasma.github.io/Logging_2082/tillsyn/A 33605-2022 tillsynsbegäran.docx", "A 33605-2022")</f>
        <v/>
      </c>
      <c r="AD43">
        <f>HYPERLINK("https://klasma.github.io/Logging_2082/tillsynsmail/A 33605-2022 tillsynsbegäran mail.docx", "A 33605-2022")</f>
        <v/>
      </c>
    </row>
    <row r="44" ht="15" customHeight="1">
      <c r="A44" t="inlineStr">
        <is>
          <t>A 47064-2021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46242</v>
      </c>
      <c r="F44" t="inlineStr">
        <is>
          <t>DALARNAS LÄN</t>
        </is>
      </c>
      <c r="G44" t="inlineStr">
        <is>
          <t>SÄTER</t>
        </is>
      </c>
      <c r="I44" t="n">
        <v>2.9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Sädesärla</t>
        </is>
      </c>
      <c r="W44">
        <f>HYPERLINK("https://klasma.github.io/Logging_2082/artfynd/A 47064-2021 artfynd.xlsx", "A 47064-2021")</f>
        <v/>
      </c>
      <c r="X44">
        <f>HYPERLINK("https://klasma.github.io/Logging_2082/kartor/A 47064-2021 karta.png", "A 47064-2021")</f>
        <v/>
      </c>
      <c r="Y44">
        <f>HYPERLINK("https://klasma.github.io/Logging_2082/kartor_geotiff/A 47064-2021 georefererad karta.tif", "A 47064-2021")</f>
        <v/>
      </c>
      <c r="AA44">
        <f>HYPERLINK("https://klasma.github.io/Logging_2082/klagomål/A 47064-2021 FSC-klagomål.docx", "A 47064-2021")</f>
        <v/>
      </c>
      <c r="AB44">
        <f>HYPERLINK("https://klasma.github.io/Logging_2082/klagomålsmail/A 47064-2021 FSC-klagomål mail.docx", "A 47064-2021")</f>
        <v/>
      </c>
      <c r="AC44">
        <f>HYPERLINK("https://klasma.github.io/Logging_2082/tillsyn/A 47064-2021 tillsynsbegäran.docx", "A 47064-2021")</f>
        <v/>
      </c>
      <c r="AD44">
        <f>HYPERLINK("https://klasma.github.io/Logging_2082/tillsynsmail/A 47064-2021 tillsynsbegäran mail.docx", "A 47064-2021")</f>
        <v/>
      </c>
      <c r="AE44">
        <f>HYPERLINK("https://klasma.github.io/Logging_2082/fåglar/A 47064-2021 prioriterade fågelarter.docx", "A 47064-2021")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46242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46242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46242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46242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46242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46242</v>
      </c>
      <c r="F50" t="inlineStr">
        <is>
          <t>DALARNAS LÄN</t>
        </is>
      </c>
      <c r="G50" t="inlineStr">
        <is>
          <t>SÄTER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44448</v>
      </c>
      <c r="E51" s="1" t="n">
        <v>46242</v>
      </c>
      <c r="F51" t="inlineStr">
        <is>
          <t>DALARNAS LÄN</t>
        </is>
      </c>
      <c r="G51" t="inlineStr">
        <is>
          <t>SÄTER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46242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46242</v>
      </c>
      <c r="F53" t="inlineStr">
        <is>
          <t>DALARNAS LÄN</t>
        </is>
      </c>
      <c r="G53" t="inlineStr">
        <is>
          <t>SÄTER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46242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46242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46242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44425</v>
      </c>
      <c r="E57" s="1" t="n">
        <v>46242</v>
      </c>
      <c r="F57" t="inlineStr">
        <is>
          <t>DALARNAS LÄN</t>
        </is>
      </c>
      <c r="G57" t="inlineStr">
        <is>
          <t>SÄTER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46242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46242</v>
      </c>
      <c r="F59" t="inlineStr">
        <is>
          <t>DALARNAS LÄN</t>
        </is>
      </c>
      <c r="G59" t="inlineStr">
        <is>
          <t>SÄTER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44511</v>
      </c>
      <c r="E60" s="1" t="n">
        <v>46242</v>
      </c>
      <c r="F60" t="inlineStr">
        <is>
          <t>DALARNAS LÄN</t>
        </is>
      </c>
      <c r="G60" t="inlineStr">
        <is>
          <t>SÄTER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46242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39775-2021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44417</v>
      </c>
      <c r="E62" s="1" t="n">
        <v>46242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44688</v>
      </c>
      <c r="E63" s="1" t="n">
        <v>46242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46242</v>
      </c>
      <c r="F64" t="inlineStr">
        <is>
          <t>DALARNAS LÄN</t>
        </is>
      </c>
      <c r="G64" t="inlineStr">
        <is>
          <t>SÄTER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46242</v>
      </c>
      <c r="F65" t="inlineStr">
        <is>
          <t>DALARNAS LÄN</t>
        </is>
      </c>
      <c r="G65" t="inlineStr">
        <is>
          <t>SÄTER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46242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61400-2021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44500</v>
      </c>
      <c r="E67" s="1" t="n">
        <v>46242</v>
      </c>
      <c r="F67" t="inlineStr">
        <is>
          <t>DALARNAS LÄN</t>
        </is>
      </c>
      <c r="G67" t="inlineStr">
        <is>
          <t>SÄTER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46242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46242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46242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46242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44445</v>
      </c>
      <c r="E72" s="1" t="n">
        <v>46242</v>
      </c>
      <c r="F72" t="inlineStr">
        <is>
          <t>DALARNAS LÄN</t>
        </is>
      </c>
      <c r="G72" t="inlineStr">
        <is>
          <t>SÄTER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44715</v>
      </c>
      <c r="E73" s="1" t="n">
        <v>46242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46242</v>
      </c>
      <c r="F74" t="inlineStr">
        <is>
          <t>DALARNAS LÄN</t>
        </is>
      </c>
      <c r="G74" t="inlineStr">
        <is>
          <t>SÄTER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46242</v>
      </c>
      <c r="F75" t="inlineStr">
        <is>
          <t>DALARNAS LÄN</t>
        </is>
      </c>
      <c r="G75" t="inlineStr">
        <is>
          <t>SÄTER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46242</v>
      </c>
      <c r="F76" t="inlineStr">
        <is>
          <t>DALARNAS LÄN</t>
        </is>
      </c>
      <c r="G76" t="inlineStr">
        <is>
          <t>SÄTER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46242</v>
      </c>
      <c r="F77" t="inlineStr">
        <is>
          <t>DALARNAS LÄN</t>
        </is>
      </c>
      <c r="G77" t="inlineStr">
        <is>
          <t>SÄTER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46242</v>
      </c>
      <c r="F78" t="inlineStr">
        <is>
          <t>DALARNAS LÄN</t>
        </is>
      </c>
      <c r="G78" t="inlineStr">
        <is>
          <t>SÄTER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46242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46242</v>
      </c>
      <c r="F80" t="inlineStr">
        <is>
          <t>DALARNAS LÄN</t>
        </is>
      </c>
      <c r="G80" t="inlineStr">
        <is>
          <t>SÄTER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62368-2023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45268</v>
      </c>
      <c r="E81" s="1" t="n">
        <v>46242</v>
      </c>
      <c r="F81" t="inlineStr">
        <is>
          <t>DALARNAS LÄN</t>
        </is>
      </c>
      <c r="G81" t="inlineStr">
        <is>
          <t>SÄTER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46242</v>
      </c>
      <c r="F82" t="inlineStr">
        <is>
          <t>DALARNAS LÄN</t>
        </is>
      </c>
      <c r="G82" t="inlineStr">
        <is>
          <t>SÄTER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46242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51328-2024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45604</v>
      </c>
      <c r="E84" s="1" t="n">
        <v>46242</v>
      </c>
      <c r="F84" t="inlineStr">
        <is>
          <t>DALARNAS LÄN</t>
        </is>
      </c>
      <c r="G84" t="inlineStr">
        <is>
          <t>SÄTER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51339-2024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45604</v>
      </c>
      <c r="E85" s="1" t="n">
        <v>46242</v>
      </c>
      <c r="F85" t="inlineStr">
        <is>
          <t>DALARNAS LÄN</t>
        </is>
      </c>
      <c r="G85" t="inlineStr">
        <is>
          <t>SÄTER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46242</v>
      </c>
      <c r="F86" t="inlineStr">
        <is>
          <t>DALARNAS LÄN</t>
        </is>
      </c>
      <c r="G86" t="inlineStr">
        <is>
          <t>SÄTER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45664</v>
      </c>
      <c r="E87" s="1" t="n">
        <v>46242</v>
      </c>
      <c r="F87" t="inlineStr">
        <is>
          <t>DALARNAS LÄN</t>
        </is>
      </c>
      <c r="G87" t="inlineStr">
        <is>
          <t>SÄTER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  <c r="Z87">
        <f>HYPERLINK("https://klasma.github.io/Logging_2082/knärot/A 498-2025 karta knärot.png", "A 498-2025")</f>
        <v/>
      </c>
      <c r="AA87">
        <f>HYPERLINK("https://klasma.github.io/Logging_2082/klagomål/A 498-2025 FSC-klagomål.docx", "A 498-2025")</f>
        <v/>
      </c>
      <c r="AB87">
        <f>HYPERLINK("https://klasma.github.io/Logging_2082/klagomålsmail/A 498-2025 FSC-klagomål mail.docx", "A 498-2025")</f>
        <v/>
      </c>
      <c r="AC87">
        <f>HYPERLINK("https://klasma.github.io/Logging_2082/tillsyn/A 498-2025 tillsynsbegäran.docx", "A 498-2025")</f>
        <v/>
      </c>
      <c r="AD87">
        <f>HYPERLINK("https://klasma.github.io/Logging_2082/tillsynsmail/A 498-2025 tillsynsbegäran mail.docx", "A 498-2025")</f>
        <v/>
      </c>
    </row>
    <row r="88" ht="15" customHeight="1">
      <c r="A88" t="inlineStr">
        <is>
          <t>A 8697-2023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44978</v>
      </c>
      <c r="E88" s="1" t="n">
        <v>46242</v>
      </c>
      <c r="F88" t="inlineStr">
        <is>
          <t>DALARNAS LÄN</t>
        </is>
      </c>
      <c r="G88" t="inlineStr">
        <is>
          <t>SÄTER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41961-2024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46242</v>
      </c>
      <c r="F89" t="inlineStr">
        <is>
          <t>DALARNAS LÄN</t>
        </is>
      </c>
      <c r="G89" t="inlineStr">
        <is>
          <t>SÄTER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46242</v>
      </c>
      <c r="F90" t="inlineStr">
        <is>
          <t>DALARNAS LÄN</t>
        </is>
      </c>
      <c r="G90" t="inlineStr">
        <is>
          <t>SÄTER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64610-2023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46242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44433</v>
      </c>
      <c r="E92" s="1" t="n">
        <v>46242</v>
      </c>
      <c r="F92" t="inlineStr">
        <is>
          <t>DALARNAS LÄN</t>
        </is>
      </c>
      <c r="G92" t="inlineStr">
        <is>
          <t>SÄTER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44439</v>
      </c>
      <c r="E93" s="1" t="n">
        <v>46242</v>
      </c>
      <c r="F93" t="inlineStr">
        <is>
          <t>DALARNAS LÄN</t>
        </is>
      </c>
      <c r="G93" t="inlineStr">
        <is>
          <t>SÄTER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46242</v>
      </c>
      <c r="F94" t="inlineStr">
        <is>
          <t>DALARNAS LÄN</t>
        </is>
      </c>
      <c r="G94" t="inlineStr">
        <is>
          <t>SÄTER</t>
        </is>
      </c>
      <c r="I94" t="n">
        <v>10.9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46242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62470-2022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44924</v>
      </c>
      <c r="E96" s="1" t="n">
        <v>46242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49661-2021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46242</v>
      </c>
      <c r="F97" t="inlineStr">
        <is>
          <t>DALARNAS LÄN</t>
        </is>
      </c>
      <c r="G97" t="inlineStr">
        <is>
          <t>SÄTER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46242</v>
      </c>
      <c r="F98" t="inlineStr">
        <is>
          <t>DALARNAS LÄN</t>
        </is>
      </c>
      <c r="G98" t="inlineStr">
        <is>
          <t>SÄTER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45198</v>
      </c>
      <c r="E99" s="1" t="n">
        <v>46242</v>
      </c>
      <c r="F99" t="inlineStr">
        <is>
          <t>DALARNAS LÄN</t>
        </is>
      </c>
      <c r="G99" t="inlineStr">
        <is>
          <t>SÄTER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18888-2022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44690</v>
      </c>
      <c r="E100" s="1" t="n">
        <v>46242</v>
      </c>
      <c r="F100" t="inlineStr">
        <is>
          <t>DALARNAS LÄN</t>
        </is>
      </c>
      <c r="G100" t="inlineStr">
        <is>
          <t>SÄTER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46242</v>
      </c>
      <c r="F101" t="inlineStr">
        <is>
          <t>DALARNAS LÄN</t>
        </is>
      </c>
      <c r="G101" t="inlineStr">
        <is>
          <t>SÄTER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46242</v>
      </c>
      <c r="F102" t="inlineStr">
        <is>
          <t>DALARNAS LÄN</t>
        </is>
      </c>
      <c r="G102" t="inlineStr">
        <is>
          <t>SÄTER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46027</v>
      </c>
      <c r="E103" s="1" t="n">
        <v>46242</v>
      </c>
      <c r="F103" t="inlineStr">
        <is>
          <t>DALARNAS LÄN</t>
        </is>
      </c>
      <c r="G103" t="inlineStr">
        <is>
          <t>SÄTER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987-2026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46030</v>
      </c>
      <c r="E104" s="1" t="n">
        <v>46242</v>
      </c>
      <c r="F104" t="inlineStr">
        <is>
          <t>DALARNAS LÄN</t>
        </is>
      </c>
      <c r="G104" t="inlineStr">
        <is>
          <t>SÄTER</t>
        </is>
      </c>
      <c r="H104" t="inlineStr">
        <is>
          <t>Bergvik skog väst AB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46242</v>
      </c>
      <c r="F105" t="inlineStr">
        <is>
          <t>DALARNAS LÄN</t>
        </is>
      </c>
      <c r="G105" t="inlineStr">
        <is>
          <t>SÄTER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46242</v>
      </c>
      <c r="F106" t="inlineStr">
        <is>
          <t>DALARNAS LÄN</t>
        </is>
      </c>
      <c r="G106" t="inlineStr">
        <is>
          <t>SÄTER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46242</v>
      </c>
      <c r="F107" t="inlineStr">
        <is>
          <t>DALARNAS LÄN</t>
        </is>
      </c>
      <c r="G107" t="inlineStr">
        <is>
          <t>SÄTER</t>
        </is>
      </c>
      <c r="H107" t="inlineStr">
        <is>
          <t>Kommuner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44585</v>
      </c>
      <c r="E108" s="1" t="n">
        <v>46242</v>
      </c>
      <c r="F108" t="inlineStr">
        <is>
          <t>DALARNAS LÄN</t>
        </is>
      </c>
      <c r="G108" t="inlineStr">
        <is>
          <t>SÄTER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46242</v>
      </c>
      <c r="F109" t="inlineStr">
        <is>
          <t>DALARNAS LÄN</t>
        </is>
      </c>
      <c r="G109" t="inlineStr">
        <is>
          <t>SÄTER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46242</v>
      </c>
      <c r="F110" t="inlineStr">
        <is>
          <t>DALARNAS LÄN</t>
        </is>
      </c>
      <c r="G110" t="inlineStr">
        <is>
          <t>SÄTER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64788-2023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45282</v>
      </c>
      <c r="E111" s="1" t="n">
        <v>46242</v>
      </c>
      <c r="F111" t="inlineStr">
        <is>
          <t>DALARNAS LÄN</t>
        </is>
      </c>
      <c r="G111" t="inlineStr">
        <is>
          <t>SÄTER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45455</v>
      </c>
      <c r="E112" s="1" t="n">
        <v>46242</v>
      </c>
      <c r="F112" t="inlineStr">
        <is>
          <t>DALARNAS LÄN</t>
        </is>
      </c>
      <c r="G112" t="inlineStr">
        <is>
          <t>SÄTER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46242</v>
      </c>
      <c r="F113" t="inlineStr">
        <is>
          <t>DALARNAS LÄN</t>
        </is>
      </c>
      <c r="G113" t="inlineStr">
        <is>
          <t>SÄTER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46242</v>
      </c>
      <c r="F114" t="inlineStr">
        <is>
          <t>DALARNAS LÄN</t>
        </is>
      </c>
      <c r="G114" t="inlineStr">
        <is>
          <t>SÄTER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46242</v>
      </c>
      <c r="F115" t="inlineStr">
        <is>
          <t>DALARNAS LÄN</t>
        </is>
      </c>
      <c r="G115" t="inlineStr">
        <is>
          <t>SÄTER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46242</v>
      </c>
      <c r="F116" t="inlineStr">
        <is>
          <t>DALARNAS LÄN</t>
        </is>
      </c>
      <c r="G116" t="inlineStr">
        <is>
          <t>SÄTER</t>
        </is>
      </c>
      <c r="I116" t="n">
        <v>10.9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46242</v>
      </c>
      <c r="F117" t="inlineStr">
        <is>
          <t>DALARNAS LÄN</t>
        </is>
      </c>
      <c r="G117" t="inlineStr">
        <is>
          <t>SÄTER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46242</v>
      </c>
      <c r="F118" t="inlineStr">
        <is>
          <t>DALARNAS LÄN</t>
        </is>
      </c>
      <c r="G118" t="inlineStr">
        <is>
          <t>SÄTER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46242</v>
      </c>
      <c r="F119" t="inlineStr">
        <is>
          <t>DALARNAS LÄN</t>
        </is>
      </c>
      <c r="G119" t="inlineStr">
        <is>
          <t>SÄTER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46242</v>
      </c>
      <c r="F120" t="inlineStr">
        <is>
          <t>DALARNAS LÄN</t>
        </is>
      </c>
      <c r="G120" t="inlineStr">
        <is>
          <t>SÄTER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46042</v>
      </c>
      <c r="E121" s="1" t="n">
        <v>46242</v>
      </c>
      <c r="F121" t="inlineStr">
        <is>
          <t>DALARNAS LÄN</t>
        </is>
      </c>
      <c r="G121" t="inlineStr">
        <is>
          <t>SÄTER</t>
        </is>
      </c>
      <c r="I121" t="n">
        <v>10.6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46242</v>
      </c>
      <c r="F122" t="inlineStr">
        <is>
          <t>DALARNAS LÄN</t>
        </is>
      </c>
      <c r="G122" t="inlineStr">
        <is>
          <t>SÄTER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46242</v>
      </c>
      <c r="F123" t="inlineStr">
        <is>
          <t>DALARNAS LÄN</t>
        </is>
      </c>
      <c r="G123" t="inlineStr">
        <is>
          <t>SÄTER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14168-2025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46242</v>
      </c>
      <c r="F124" t="inlineStr">
        <is>
          <t>DALARNAS LÄN</t>
        </is>
      </c>
      <c r="G124" t="inlineStr">
        <is>
          <t>SÄTER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44727</v>
      </c>
      <c r="E125" s="1" t="n">
        <v>46242</v>
      </c>
      <c r="F125" t="inlineStr">
        <is>
          <t>DALARNAS LÄN</t>
        </is>
      </c>
      <c r="G125" t="inlineStr">
        <is>
          <t>SÄTER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46051</v>
      </c>
      <c r="E126" s="1" t="n">
        <v>46242</v>
      </c>
      <c r="F126" t="inlineStr">
        <is>
          <t>DALARNAS LÄN</t>
        </is>
      </c>
      <c r="G126" t="inlineStr">
        <is>
          <t>SÄTER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54141-2023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45232</v>
      </c>
      <c r="E127" s="1" t="n">
        <v>46242</v>
      </c>
      <c r="F127" t="inlineStr">
        <is>
          <t>DALARNAS LÄN</t>
        </is>
      </c>
      <c r="G127" t="inlineStr">
        <is>
          <t>SÄTER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46242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46242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42674-2025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46242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6845-2026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46242</v>
      </c>
      <c r="F131" t="inlineStr">
        <is>
          <t>DALARNAS LÄN</t>
        </is>
      </c>
      <c r="G131" t="inlineStr">
        <is>
          <t>SÄTER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6856-2026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46242</v>
      </c>
      <c r="F132" t="inlineStr">
        <is>
          <t>DALARNAS LÄN</t>
        </is>
      </c>
      <c r="G132" t="inlineStr">
        <is>
          <t>SÄTER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45435</v>
      </c>
      <c r="E133" s="1" t="n">
        <v>46242</v>
      </c>
      <c r="F133" t="inlineStr">
        <is>
          <t>DALARNAS LÄN</t>
        </is>
      </c>
      <c r="G133" t="inlineStr">
        <is>
          <t>SÄTER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46242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39780-2024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45552</v>
      </c>
      <c r="E135" s="1" t="n">
        <v>46242</v>
      </c>
      <c r="F135" t="inlineStr">
        <is>
          <t>DALARNAS LÄN</t>
        </is>
      </c>
      <c r="G135" t="inlineStr">
        <is>
          <t>SÄTER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44609</v>
      </c>
      <c r="E136" s="1" t="n">
        <v>46242</v>
      </c>
      <c r="F136" t="inlineStr">
        <is>
          <t>DALARNAS LÄN</t>
        </is>
      </c>
      <c r="G136" t="inlineStr">
        <is>
          <t>SÄTER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44784</v>
      </c>
      <c r="E137" s="1" t="n">
        <v>46242</v>
      </c>
      <c r="F137" t="inlineStr">
        <is>
          <t>DALARNAS LÄN</t>
        </is>
      </c>
      <c r="G137" t="inlineStr">
        <is>
          <t>SÄTER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46065</v>
      </c>
      <c r="E138" s="1" t="n">
        <v>46242</v>
      </c>
      <c r="F138" t="inlineStr">
        <is>
          <t>DALARNAS LÄN</t>
        </is>
      </c>
      <c r="G138" t="inlineStr">
        <is>
          <t>SÄTER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46064</v>
      </c>
      <c r="E139" s="1" t="n">
        <v>46242</v>
      </c>
      <c r="F139" t="inlineStr">
        <is>
          <t>DALARNAS LÄN</t>
        </is>
      </c>
      <c r="G139" t="inlineStr">
        <is>
          <t>SÄTER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46066</v>
      </c>
      <c r="E140" s="1" t="n">
        <v>46242</v>
      </c>
      <c r="F140" t="inlineStr">
        <is>
          <t>DALARNAS LÄN</t>
        </is>
      </c>
      <c r="G140" t="inlineStr">
        <is>
          <t>SÄTER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46242</v>
      </c>
      <c r="F141" t="inlineStr">
        <is>
          <t>DALARNAS LÄN</t>
        </is>
      </c>
      <c r="G141" t="inlineStr">
        <is>
          <t>SÄTER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46242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45925</v>
      </c>
      <c r="E143" s="1" t="n">
        <v>46242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41.4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46242</v>
      </c>
      <c r="F144" t="inlineStr">
        <is>
          <t>DALARNAS LÄN</t>
        </is>
      </c>
      <c r="G144" t="inlineStr">
        <is>
          <t>SÄTER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46242</v>
      </c>
      <c r="F145" t="inlineStr">
        <is>
          <t>DALARNAS LÄN</t>
        </is>
      </c>
      <c r="G145" t="inlineStr">
        <is>
          <t>SÄTER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46242</v>
      </c>
      <c r="F146" t="inlineStr">
        <is>
          <t>DALARNAS LÄN</t>
        </is>
      </c>
      <c r="G146" t="inlineStr">
        <is>
          <t>SÄTER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46076</v>
      </c>
      <c r="E147" s="1" t="n">
        <v>46242</v>
      </c>
      <c r="F147" t="inlineStr">
        <is>
          <t>DALARNAS LÄN</t>
        </is>
      </c>
      <c r="G147" t="inlineStr">
        <is>
          <t>SÄTER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45107</v>
      </c>
      <c r="E148" s="1" t="n">
        <v>46242</v>
      </c>
      <c r="F148" t="inlineStr">
        <is>
          <t>DALARNAS LÄN</t>
        </is>
      </c>
      <c r="G148" t="inlineStr">
        <is>
          <t>SÄTER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46242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46077</v>
      </c>
      <c r="E150" s="1" t="n">
        <v>46242</v>
      </c>
      <c r="F150" t="inlineStr">
        <is>
          <t>DALARNAS LÄN</t>
        </is>
      </c>
      <c r="G150" t="inlineStr">
        <is>
          <t>SÄTER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46083</v>
      </c>
      <c r="E151" s="1" t="n">
        <v>46242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46242</v>
      </c>
      <c r="F152" t="inlineStr">
        <is>
          <t>DALARNAS LÄN</t>
        </is>
      </c>
      <c r="G152" t="inlineStr">
        <is>
          <t>SÄTER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44572</v>
      </c>
      <c r="E153" s="1" t="n">
        <v>46242</v>
      </c>
      <c r="F153" t="inlineStr">
        <is>
          <t>DALARNAS LÄN</t>
        </is>
      </c>
      <c r="G153" t="inlineStr">
        <is>
          <t>SÄTER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46242</v>
      </c>
      <c r="F154" t="inlineStr">
        <is>
          <t>DALARNAS LÄN</t>
        </is>
      </c>
      <c r="G154" t="inlineStr">
        <is>
          <t>SÄTER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46242</v>
      </c>
      <c r="F155" t="inlineStr">
        <is>
          <t>DALARNAS LÄN</t>
        </is>
      </c>
      <c r="G155" t="inlineStr">
        <is>
          <t>SÄTER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45599</v>
      </c>
      <c r="E156" s="1" t="n">
        <v>46242</v>
      </c>
      <c r="F156" t="inlineStr">
        <is>
          <t>DALARNAS LÄN</t>
        </is>
      </c>
      <c r="G156" t="inlineStr">
        <is>
          <t>SÄTER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12322-2026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46087</v>
      </c>
      <c r="E157" s="1" t="n">
        <v>46242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46242</v>
      </c>
      <c r="F158" t="inlineStr">
        <is>
          <t>DALARNAS LÄN</t>
        </is>
      </c>
      <c r="G158" t="inlineStr">
        <is>
          <t>SÄTER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46242</v>
      </c>
      <c r="F159" t="inlineStr">
        <is>
          <t>DALARNAS LÄN</t>
        </is>
      </c>
      <c r="G159" t="inlineStr">
        <is>
          <t>SÄTER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46242</v>
      </c>
      <c r="F160" t="inlineStr">
        <is>
          <t>DALARNAS LÄN</t>
        </is>
      </c>
      <c r="G160" t="inlineStr">
        <is>
          <t>SÄTER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46242</v>
      </c>
      <c r="F161" t="inlineStr">
        <is>
          <t>DALARNAS LÄN</t>
        </is>
      </c>
      <c r="G161" t="inlineStr">
        <is>
          <t>SÄTER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46083</v>
      </c>
      <c r="E162" s="1" t="n">
        <v>46242</v>
      </c>
      <c r="F162" t="inlineStr">
        <is>
          <t>DALARNAS LÄN</t>
        </is>
      </c>
      <c r="G162" t="inlineStr">
        <is>
          <t>SÄTER</t>
        </is>
      </c>
      <c r="H162" t="inlineStr">
        <is>
          <t>Kommuner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13265-2026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46093</v>
      </c>
      <c r="E163" s="1" t="n">
        <v>46242</v>
      </c>
      <c r="F163" t="inlineStr">
        <is>
          <t>DALARNAS LÄN</t>
        </is>
      </c>
      <c r="G163" t="inlineStr">
        <is>
          <t>SÄTER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13532-2026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46242</v>
      </c>
      <c r="F164" t="inlineStr">
        <is>
          <t>DALARNAS LÄN</t>
        </is>
      </c>
      <c r="G164" t="inlineStr">
        <is>
          <t>SÄTER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13526-2026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46094</v>
      </c>
      <c r="E165" s="1" t="n">
        <v>46242</v>
      </c>
      <c r="F165" t="inlineStr">
        <is>
          <t>DALARNAS LÄN</t>
        </is>
      </c>
      <c r="G165" t="inlineStr">
        <is>
          <t>SÄTER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46242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45604</v>
      </c>
      <c r="E167" s="1" t="n">
        <v>46242</v>
      </c>
      <c r="F167" t="inlineStr">
        <is>
          <t>DALARNAS LÄN</t>
        </is>
      </c>
      <c r="G167" t="inlineStr">
        <is>
          <t>SÄTER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46242</v>
      </c>
      <c r="F168" t="inlineStr">
        <is>
          <t>DALARNAS LÄN</t>
        </is>
      </c>
      <c r="G168" t="inlineStr">
        <is>
          <t>SÄTER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46098</v>
      </c>
      <c r="E169" s="1" t="n">
        <v>46242</v>
      </c>
      <c r="F169" t="inlineStr">
        <is>
          <t>DALARNAS LÄN</t>
        </is>
      </c>
      <c r="G169" t="inlineStr">
        <is>
          <t>SÄTER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13899-2026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46098</v>
      </c>
      <c r="E170" s="1" t="n">
        <v>46242</v>
      </c>
      <c r="F170" t="inlineStr">
        <is>
          <t>DALARNAS LÄN</t>
        </is>
      </c>
      <c r="G170" t="inlineStr">
        <is>
          <t>SÄTER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45945</v>
      </c>
      <c r="E171" s="1" t="n">
        <v>46242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46242</v>
      </c>
      <c r="F172" t="inlineStr">
        <is>
          <t>DALARNAS LÄN</t>
        </is>
      </c>
      <c r="G172" t="inlineStr">
        <is>
          <t>SÄTER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45145</v>
      </c>
      <c r="E173" s="1" t="n">
        <v>46242</v>
      </c>
      <c r="F173" t="inlineStr">
        <is>
          <t>DALARNAS LÄN</t>
        </is>
      </c>
      <c r="G173" t="inlineStr">
        <is>
          <t>SÄTER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45138</v>
      </c>
      <c r="E174" s="1" t="n">
        <v>46242</v>
      </c>
      <c r="F174" t="inlineStr">
        <is>
          <t>DALARNAS LÄN</t>
        </is>
      </c>
      <c r="G174" t="inlineStr">
        <is>
          <t>SÄTER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41564-2021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44425</v>
      </c>
      <c r="E175" s="1" t="n">
        <v>46242</v>
      </c>
      <c r="F175" t="inlineStr">
        <is>
          <t>DALARNAS LÄN</t>
        </is>
      </c>
      <c r="G175" t="inlineStr">
        <is>
          <t>SÄTER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45063</v>
      </c>
      <c r="E176" s="1" t="n">
        <v>46242</v>
      </c>
      <c r="F176" t="inlineStr">
        <is>
          <t>DALARNAS LÄN</t>
        </is>
      </c>
      <c r="G176" t="inlineStr">
        <is>
          <t>SÄTER</t>
        </is>
      </c>
      <c r="H176" t="inlineStr">
        <is>
          <t>Kommuner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46242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15.1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51824-2025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46242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46242</v>
      </c>
      <c r="F179" t="inlineStr">
        <is>
          <t>DALARNAS LÄN</t>
        </is>
      </c>
      <c r="G179" t="inlineStr">
        <is>
          <t>SÄTER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46242</v>
      </c>
      <c r="F180" t="inlineStr">
        <is>
          <t>DALARNAS LÄN</t>
        </is>
      </c>
      <c r="G180" t="inlineStr">
        <is>
          <t>SÄTER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46242</v>
      </c>
      <c r="F181" t="inlineStr">
        <is>
          <t>DALARNAS LÄN</t>
        </is>
      </c>
      <c r="G181" t="inlineStr">
        <is>
          <t>SÄTER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46242</v>
      </c>
      <c r="F182" t="inlineStr">
        <is>
          <t>DALARNAS LÄN</t>
        </is>
      </c>
      <c r="G182" t="inlineStr">
        <is>
          <t>SÄTER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46242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53878-2025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45961</v>
      </c>
      <c r="E184" s="1" t="n">
        <v>46242</v>
      </c>
      <c r="F184" t="inlineStr">
        <is>
          <t>DALARNAS LÄN</t>
        </is>
      </c>
      <c r="G184" t="inlineStr">
        <is>
          <t>SÄTER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53559-2025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45960</v>
      </c>
      <c r="E185" s="1" t="n">
        <v>46242</v>
      </c>
      <c r="F185" t="inlineStr">
        <is>
          <t>DALARNAS LÄN</t>
        </is>
      </c>
      <c r="G185" t="inlineStr">
        <is>
          <t>SÄTER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46242</v>
      </c>
      <c r="F186" t="inlineStr">
        <is>
          <t>DALARNAS LÄN</t>
        </is>
      </c>
      <c r="G186" t="inlineStr">
        <is>
          <t>SÄTER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46113</v>
      </c>
      <c r="E187" s="1" t="n">
        <v>46242</v>
      </c>
      <c r="F187" t="inlineStr">
        <is>
          <t>DALARNAS LÄN</t>
        </is>
      </c>
      <c r="G187" t="inlineStr">
        <is>
          <t>SÄTER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42806-2024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45566</v>
      </c>
      <c r="E188" s="1" t="n">
        <v>46242</v>
      </c>
      <c r="F188" t="inlineStr">
        <is>
          <t>DALARNAS LÄN</t>
        </is>
      </c>
      <c r="G188" t="inlineStr">
        <is>
          <t>SÄTER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45964</v>
      </c>
      <c r="E189" s="1" t="n">
        <v>46242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46119</v>
      </c>
      <c r="E190" s="1" t="n">
        <v>46242</v>
      </c>
      <c r="F190" t="inlineStr">
        <is>
          <t>DALARNAS LÄN</t>
        </is>
      </c>
      <c r="G190" t="inlineStr">
        <is>
          <t>SÄTER</t>
        </is>
      </c>
      <c r="H190" t="inlineStr">
        <is>
          <t>Kommuner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46242</v>
      </c>
      <c r="F191" t="inlineStr">
        <is>
          <t>DALARNAS LÄN</t>
        </is>
      </c>
      <c r="G191" t="inlineStr">
        <is>
          <t>SÄTER</t>
        </is>
      </c>
      <c r="I191" t="n">
        <v>15.2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45365</v>
      </c>
      <c r="E192" s="1" t="n">
        <v>46242</v>
      </c>
      <c r="F192" t="inlineStr">
        <is>
          <t>DALARNAS LÄN</t>
        </is>
      </c>
      <c r="G192" t="inlineStr">
        <is>
          <t>SÄTER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55621-2025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46242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12942-2026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46092</v>
      </c>
      <c r="E194" s="1" t="n">
        <v>46242</v>
      </c>
      <c r="F194" t="inlineStr">
        <is>
          <t>DALARNAS LÄN</t>
        </is>
      </c>
      <c r="G194" t="inlineStr">
        <is>
          <t>SÄTER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46242</v>
      </c>
      <c r="F195" t="inlineStr">
        <is>
          <t>DALARNAS LÄN</t>
        </is>
      </c>
      <c r="G195" t="inlineStr">
        <is>
          <t>SÄTER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45670</v>
      </c>
      <c r="E196" s="1" t="n">
        <v>46242</v>
      </c>
      <c r="F196" t="inlineStr">
        <is>
          <t>DALARNAS LÄN</t>
        </is>
      </c>
      <c r="G196" t="inlineStr">
        <is>
          <t>SÄTER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46092</v>
      </c>
      <c r="E197" s="1" t="n">
        <v>46242</v>
      </c>
      <c r="F197" t="inlineStr">
        <is>
          <t>DALARNAS LÄN</t>
        </is>
      </c>
      <c r="G197" t="inlineStr">
        <is>
          <t>SÄTER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7562-2023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44972</v>
      </c>
      <c r="E198" s="1" t="n">
        <v>46242</v>
      </c>
      <c r="F198" t="inlineStr">
        <is>
          <t>DALARNAS LÄN</t>
        </is>
      </c>
      <c r="G198" t="inlineStr">
        <is>
          <t>SÄTER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46242</v>
      </c>
      <c r="F199" t="inlineStr">
        <is>
          <t>DALARNAS LÄN</t>
        </is>
      </c>
      <c r="G199" t="inlineStr">
        <is>
          <t>SÄTER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46242</v>
      </c>
      <c r="F200" t="inlineStr">
        <is>
          <t>DALARNAS LÄN</t>
        </is>
      </c>
      <c r="G200" t="inlineStr">
        <is>
          <t>SÄTER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45569</v>
      </c>
      <c r="E201" s="1" t="n">
        <v>46242</v>
      </c>
      <c r="F201" t="inlineStr">
        <is>
          <t>DALARNAS LÄN</t>
        </is>
      </c>
      <c r="G201" t="inlineStr">
        <is>
          <t>SÄTER</t>
        </is>
      </c>
      <c r="I201" t="n">
        <v>13.2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46242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46242</v>
      </c>
      <c r="F203" t="inlineStr">
        <is>
          <t>DALARNAS LÄN</t>
        </is>
      </c>
      <c r="G203" t="inlineStr">
        <is>
          <t>SÄTER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46242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44982</v>
      </c>
      <c r="E205" s="1" t="n">
        <v>46242</v>
      </c>
      <c r="F205" t="inlineStr">
        <is>
          <t>DALARNAS LÄN</t>
        </is>
      </c>
      <c r="G205" t="inlineStr">
        <is>
          <t>SÄTER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46242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46242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46242</v>
      </c>
      <c r="F208" t="inlineStr">
        <is>
          <t>DALARNAS LÄN</t>
        </is>
      </c>
      <c r="G208" t="inlineStr">
        <is>
          <t>SÄTER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46242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46242</v>
      </c>
      <c r="F210" t="inlineStr">
        <is>
          <t>DALARNAS LÄN</t>
        </is>
      </c>
      <c r="G210" t="inlineStr">
        <is>
          <t>SÄTER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44896</v>
      </c>
      <c r="E211" s="1" t="n">
        <v>46242</v>
      </c>
      <c r="F211" t="inlineStr">
        <is>
          <t>DALARNAS LÄN</t>
        </is>
      </c>
      <c r="G211" t="inlineStr">
        <is>
          <t>SÄTER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  <c r="Z211">
        <f>HYPERLINK("https://klasma.github.io/Logging_2082/knärot/A 57416-2022 karta knärot.png", "A 57416-2022")</f>
        <v/>
      </c>
      <c r="AA211">
        <f>HYPERLINK("https://klasma.github.io/Logging_2082/klagomål/A 57416-2022 FSC-klagomål.docx", "A 57416-2022")</f>
        <v/>
      </c>
      <c r="AB211">
        <f>HYPERLINK("https://klasma.github.io/Logging_2082/klagomålsmail/A 57416-2022 FSC-klagomål mail.docx", "A 57416-2022")</f>
        <v/>
      </c>
      <c r="AC211">
        <f>HYPERLINK("https://klasma.github.io/Logging_2082/tillsyn/A 57416-2022 tillsynsbegäran.docx", "A 57416-2022")</f>
        <v/>
      </c>
      <c r="AD211">
        <f>HYPERLINK("https://klasma.github.io/Logging_2082/tillsynsmail/A 57416-2022 tillsynsbegäran mail.docx", "A 57416-2022")</f>
        <v/>
      </c>
    </row>
    <row r="212" ht="15" customHeight="1">
      <c r="A212" t="inlineStr">
        <is>
          <t>A 27018-2025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45811</v>
      </c>
      <c r="E212" s="1" t="n">
        <v>46242</v>
      </c>
      <c r="F212" t="inlineStr">
        <is>
          <t>DALARNAS LÄN</t>
        </is>
      </c>
      <c r="G212" t="inlineStr">
        <is>
          <t>SÄTER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45992</v>
      </c>
      <c r="E213" s="1" t="n">
        <v>46242</v>
      </c>
      <c r="F213" t="inlineStr">
        <is>
          <t>DALARNAS LÄN</t>
        </is>
      </c>
      <c r="G213" t="inlineStr">
        <is>
          <t>SÄTER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46242</v>
      </c>
      <c r="F214" t="inlineStr">
        <is>
          <t>DALARNAS LÄN</t>
        </is>
      </c>
      <c r="G214" t="inlineStr">
        <is>
          <t>SÄTER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46242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46242</v>
      </c>
      <c r="F216" t="inlineStr">
        <is>
          <t>DALARNAS LÄN</t>
        </is>
      </c>
      <c r="G216" t="inlineStr">
        <is>
          <t>SÄTER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46043</v>
      </c>
      <c r="E217" s="1" t="n">
        <v>46242</v>
      </c>
      <c r="F217" t="inlineStr">
        <is>
          <t>DALARNAS LÄN</t>
        </is>
      </c>
      <c r="G217" t="inlineStr">
        <is>
          <t>SÄTER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46242</v>
      </c>
      <c r="F218" t="inlineStr">
        <is>
          <t>DALARNAS LÄN</t>
        </is>
      </c>
      <c r="G218" t="inlineStr">
        <is>
          <t>SÄTER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46242</v>
      </c>
      <c r="F219" t="inlineStr">
        <is>
          <t>DALARNAS LÄN</t>
        </is>
      </c>
      <c r="G219" t="inlineStr">
        <is>
          <t>SÄTER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44711</v>
      </c>
      <c r="E220" s="1" t="n">
        <v>46242</v>
      </c>
      <c r="F220" t="inlineStr">
        <is>
          <t>DALARNAS LÄN</t>
        </is>
      </c>
      <c r="G220" t="inlineStr">
        <is>
          <t>SÄTER</t>
        </is>
      </c>
      <c r="H220" t="inlineStr">
        <is>
          <t>Bergvik skog väst AB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20056-2026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46242</v>
      </c>
      <c r="F221" t="inlineStr">
        <is>
          <t>DALARNAS LÄN</t>
        </is>
      </c>
      <c r="G221" t="inlineStr">
        <is>
          <t>SÄTER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45006</v>
      </c>
      <c r="E222" s="1" t="n">
        <v>46242</v>
      </c>
      <c r="F222" t="inlineStr">
        <is>
          <t>DALARNAS LÄN</t>
        </is>
      </c>
      <c r="G222" t="inlineStr">
        <is>
          <t>SÄTER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45561</v>
      </c>
      <c r="E223" s="1" t="n">
        <v>46242</v>
      </c>
      <c r="F223" t="inlineStr">
        <is>
          <t>DALARNAS LÄN</t>
        </is>
      </c>
      <c r="G223" t="inlineStr">
        <is>
          <t>SÄTER</t>
        </is>
      </c>
      <c r="H223" t="inlineStr">
        <is>
          <t>Bergvik skog väst AB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42225-2022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44830</v>
      </c>
      <c r="E224" s="1" t="n">
        <v>46242</v>
      </c>
      <c r="F224" t="inlineStr">
        <is>
          <t>DALARNAS LÄN</t>
        </is>
      </c>
      <c r="G224" t="inlineStr">
        <is>
          <t>SÄTER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46242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10.8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46242</v>
      </c>
      <c r="F226" t="inlineStr">
        <is>
          <t>DALARNAS LÄN</t>
        </is>
      </c>
      <c r="G226" t="inlineStr">
        <is>
          <t>SÄTER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44935</v>
      </c>
      <c r="E227" s="1" t="n">
        <v>46242</v>
      </c>
      <c r="F227" t="inlineStr">
        <is>
          <t>DALARNAS LÄN</t>
        </is>
      </c>
      <c r="G227" t="inlineStr">
        <is>
          <t>SÄTER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63350-2025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46242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9408-2026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46242</v>
      </c>
      <c r="F229" t="inlineStr">
        <is>
          <t>DALARNAS LÄN</t>
        </is>
      </c>
      <c r="G229" t="inlineStr">
        <is>
          <t>SÄTER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46140</v>
      </c>
      <c r="E230" s="1" t="n">
        <v>46242</v>
      </c>
      <c r="F230" t="inlineStr">
        <is>
          <t>DALARNAS LÄN</t>
        </is>
      </c>
      <c r="G230" t="inlineStr">
        <is>
          <t>SÄTER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46242</v>
      </c>
      <c r="F231" t="inlineStr">
        <is>
          <t>DALARNAS LÄN</t>
        </is>
      </c>
      <c r="G231" t="inlineStr">
        <is>
          <t>SÄTER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46098</v>
      </c>
      <c r="E232" s="1" t="n">
        <v>46242</v>
      </c>
      <c r="F232" t="inlineStr">
        <is>
          <t>DALARNAS LÄN</t>
        </is>
      </c>
      <c r="G232" t="inlineStr">
        <is>
          <t>SÄTER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46242</v>
      </c>
      <c r="F233" t="inlineStr">
        <is>
          <t>DALARNAS LÄN</t>
        </is>
      </c>
      <c r="G233" t="inlineStr">
        <is>
          <t>SÄTER</t>
        </is>
      </c>
      <c r="H233" t="inlineStr">
        <is>
          <t>Kommuner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12330-2026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46087</v>
      </c>
      <c r="E234" s="1" t="n">
        <v>46242</v>
      </c>
      <c r="F234" t="inlineStr">
        <is>
          <t>DALARNAS LÄN</t>
        </is>
      </c>
      <c r="G234" t="inlineStr">
        <is>
          <t>SÄTER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45939</v>
      </c>
      <c r="E235" s="1" t="n">
        <v>46242</v>
      </c>
      <c r="F235" t="inlineStr">
        <is>
          <t>DALARNAS LÄN</t>
        </is>
      </c>
      <c r="G235" t="inlineStr">
        <is>
          <t>SÄTER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46026</v>
      </c>
      <c r="E236" s="1" t="n">
        <v>46242</v>
      </c>
      <c r="F236" t="inlineStr">
        <is>
          <t>DALARNAS LÄN</t>
        </is>
      </c>
      <c r="G236" t="inlineStr">
        <is>
          <t>SÄTER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46242</v>
      </c>
      <c r="F237" t="inlineStr">
        <is>
          <t>DALARNAS LÄN</t>
        </is>
      </c>
      <c r="G237" t="inlineStr">
        <is>
          <t>SÄTER</t>
        </is>
      </c>
      <c r="I237" t="n">
        <v>8.1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46242</v>
      </c>
      <c r="F238" t="inlineStr">
        <is>
          <t>DALARNAS LÄN</t>
        </is>
      </c>
      <c r="G238" t="inlineStr">
        <is>
          <t>SÄTER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46242</v>
      </c>
      <c r="F239" t="inlineStr">
        <is>
          <t>DALARNAS LÄN</t>
        </is>
      </c>
      <c r="G239" t="inlineStr">
        <is>
          <t>SÄTER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45811</v>
      </c>
      <c r="E240" s="1" t="n">
        <v>46242</v>
      </c>
      <c r="F240" t="inlineStr">
        <is>
          <t>DALARNAS LÄN</t>
        </is>
      </c>
      <c r="G240" t="inlineStr">
        <is>
          <t>SÄTER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46242</v>
      </c>
      <c r="F241" t="inlineStr">
        <is>
          <t>DALARNAS LÄN</t>
        </is>
      </c>
      <c r="G241" t="inlineStr">
        <is>
          <t>SÄTER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46242</v>
      </c>
      <c r="F242" t="inlineStr">
        <is>
          <t>DALARNAS LÄN</t>
        </is>
      </c>
      <c r="G242" t="inlineStr">
        <is>
          <t>SÄTER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45321</v>
      </c>
      <c r="E243" s="1" t="n">
        <v>46242</v>
      </c>
      <c r="F243" t="inlineStr">
        <is>
          <t>DALARNAS LÄN</t>
        </is>
      </c>
      <c r="G243" t="inlineStr">
        <is>
          <t>SÄTER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46051</v>
      </c>
      <c r="E244" s="1" t="n">
        <v>46242</v>
      </c>
      <c r="F244" t="inlineStr">
        <is>
          <t>DALARNAS LÄN</t>
        </is>
      </c>
      <c r="G244" t="inlineStr">
        <is>
          <t>SÄTER</t>
        </is>
      </c>
      <c r="H244" t="inlineStr">
        <is>
          <t>Kommuner</t>
        </is>
      </c>
      <c r="I244" t="n">
        <v>42.6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45628</v>
      </c>
      <c r="E245" s="1" t="n">
        <v>46242</v>
      </c>
      <c r="F245" t="inlineStr">
        <is>
          <t>DALARNAS LÄN</t>
        </is>
      </c>
      <c r="G245" t="inlineStr">
        <is>
          <t>SÄTER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45175</v>
      </c>
      <c r="E246" s="1" t="n">
        <v>46242</v>
      </c>
      <c r="F246" t="inlineStr">
        <is>
          <t>DALARNAS LÄN</t>
        </is>
      </c>
      <c r="G246" t="inlineStr">
        <is>
          <t>SÄTER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51320-2024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45604</v>
      </c>
      <c r="E247" s="1" t="n">
        <v>46242</v>
      </c>
      <c r="F247" t="inlineStr">
        <is>
          <t>DALARNAS LÄN</t>
        </is>
      </c>
      <c r="G247" t="inlineStr">
        <is>
          <t>SÄTER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51324-2024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45604</v>
      </c>
      <c r="E248" s="1" t="n">
        <v>46242</v>
      </c>
      <c r="F248" t="inlineStr">
        <is>
          <t>DALARNAS LÄN</t>
        </is>
      </c>
      <c r="G248" t="inlineStr">
        <is>
          <t>SÄTER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46242</v>
      </c>
      <c r="F249" t="inlineStr">
        <is>
          <t>DALARNAS LÄN</t>
        </is>
      </c>
      <c r="G249" t="inlineStr">
        <is>
          <t>SÄTER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45484</v>
      </c>
      <c r="E250" s="1" t="n">
        <v>46242</v>
      </c>
      <c r="F250" t="inlineStr">
        <is>
          <t>DALARNAS LÄN</t>
        </is>
      </c>
      <c r="G250" t="inlineStr">
        <is>
          <t>SÄTER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46242</v>
      </c>
      <c r="F251" t="inlineStr">
        <is>
          <t>DALARNAS LÄN</t>
        </is>
      </c>
      <c r="G251" t="inlineStr">
        <is>
          <t>SÄTER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46242</v>
      </c>
      <c r="F252" t="inlineStr">
        <is>
          <t>DALARNAS LÄN</t>
        </is>
      </c>
      <c r="G252" t="inlineStr">
        <is>
          <t>SÄTER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45855</v>
      </c>
      <c r="E253" s="1" t="n">
        <v>46242</v>
      </c>
      <c r="F253" t="inlineStr">
        <is>
          <t>DALARNAS LÄN</t>
        </is>
      </c>
      <c r="G253" t="inlineStr">
        <is>
          <t>SÄTER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46242</v>
      </c>
      <c r="F254" t="inlineStr">
        <is>
          <t>DALARNAS LÄN</t>
        </is>
      </c>
      <c r="G254" t="inlineStr">
        <is>
          <t>SÄTER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51323-2024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45604</v>
      </c>
      <c r="E255" s="1" t="n">
        <v>46242</v>
      </c>
      <c r="F255" t="inlineStr">
        <is>
          <t>DALARNAS LÄN</t>
        </is>
      </c>
      <c r="G255" t="inlineStr">
        <is>
          <t>SÄTER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22148-2026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46153</v>
      </c>
      <c r="E256" s="1" t="n">
        <v>46242</v>
      </c>
      <c r="F256" t="inlineStr">
        <is>
          <t>DALARNAS LÄN</t>
        </is>
      </c>
      <c r="G256" t="inlineStr">
        <is>
          <t>SÄTER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34990-2024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45527</v>
      </c>
      <c r="E257" s="1" t="n">
        <v>46242</v>
      </c>
      <c r="F257" t="inlineStr">
        <is>
          <t>DALARNAS LÄN</t>
        </is>
      </c>
      <c r="G257" t="inlineStr">
        <is>
          <t>SÄTER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34991-2024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45527</v>
      </c>
      <c r="E258" s="1" t="n">
        <v>46242</v>
      </c>
      <c r="F258" t="inlineStr">
        <is>
          <t>DALARNAS LÄN</t>
        </is>
      </c>
      <c r="G258" t="inlineStr">
        <is>
          <t>SÄTER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46153</v>
      </c>
      <c r="E259" s="1" t="n">
        <v>46242</v>
      </c>
      <c r="F259" t="inlineStr">
        <is>
          <t>DALARNAS LÄN</t>
        </is>
      </c>
      <c r="G259" t="inlineStr">
        <is>
          <t>SÄTER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51468-2024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45604</v>
      </c>
      <c r="E260" s="1" t="n">
        <v>46242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45527</v>
      </c>
      <c r="E261" s="1" t="n">
        <v>46242</v>
      </c>
      <c r="F261" t="inlineStr">
        <is>
          <t>DALARNAS LÄN</t>
        </is>
      </c>
      <c r="G261" t="inlineStr">
        <is>
          <t>SÄTER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45342</v>
      </c>
      <c r="E262" s="1" t="n">
        <v>46242</v>
      </c>
      <c r="F262" t="inlineStr">
        <is>
          <t>DALARNAS LÄN</t>
        </is>
      </c>
      <c r="G262" t="inlineStr">
        <is>
          <t>SÄTER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46154</v>
      </c>
      <c r="E263" s="1" t="n">
        <v>46242</v>
      </c>
      <c r="F263" t="inlineStr">
        <is>
          <t>DALARNAS LÄN</t>
        </is>
      </c>
      <c r="G263" t="inlineStr">
        <is>
          <t>SÄTER</t>
        </is>
      </c>
      <c r="I263" t="n">
        <v>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44729-2024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46242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46155</v>
      </c>
      <c r="E265" s="1" t="n">
        <v>46242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46242</v>
      </c>
      <c r="F266" t="inlineStr">
        <is>
          <t>DALARNAS LÄN</t>
        </is>
      </c>
      <c r="G266" t="inlineStr">
        <is>
          <t>SÄTER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36847-2023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46242</v>
      </c>
      <c r="F267" t="inlineStr">
        <is>
          <t>DALARNAS LÄN</t>
        </is>
      </c>
      <c r="G267" t="inlineStr">
        <is>
          <t>SÄTER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62533-2023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45268</v>
      </c>
      <c r="E268" s="1" t="n">
        <v>46242</v>
      </c>
      <c r="F268" t="inlineStr">
        <is>
          <t>DALARNAS LÄN</t>
        </is>
      </c>
      <c r="G268" t="inlineStr">
        <is>
          <t>SÄTER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45330</v>
      </c>
      <c r="E269" s="1" t="n">
        <v>46242</v>
      </c>
      <c r="F269" t="inlineStr">
        <is>
          <t>DALARNAS LÄN</t>
        </is>
      </c>
      <c r="G269" t="inlineStr">
        <is>
          <t>SÄTER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45411</v>
      </c>
      <c r="E270" s="1" t="n">
        <v>46242</v>
      </c>
      <c r="F270" t="inlineStr">
        <is>
          <t>DALARNAS LÄN</t>
        </is>
      </c>
      <c r="G270" t="inlineStr">
        <is>
          <t>SÄTER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45411</v>
      </c>
      <c r="E271" s="1" t="n">
        <v>46242</v>
      </c>
      <c r="F271" t="inlineStr">
        <is>
          <t>DALARNAS LÄN</t>
        </is>
      </c>
      <c r="G271" t="inlineStr">
        <is>
          <t>SÄTER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36549-2025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45870</v>
      </c>
      <c r="E272" s="1" t="n">
        <v>46242</v>
      </c>
      <c r="F272" t="inlineStr">
        <is>
          <t>DALARNAS LÄN</t>
        </is>
      </c>
      <c r="G272" t="inlineStr">
        <is>
          <t>SÄTER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46087</v>
      </c>
      <c r="E273" s="1" t="n">
        <v>46242</v>
      </c>
      <c r="F273" t="inlineStr">
        <is>
          <t>DALARNAS LÄN</t>
        </is>
      </c>
      <c r="G273" t="inlineStr">
        <is>
          <t>SÄTER</t>
        </is>
      </c>
      <c r="H273" t="inlineStr">
        <is>
          <t>Kommuner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46242</v>
      </c>
      <c r="F274" t="inlineStr">
        <is>
          <t>DALARNAS LÄN</t>
        </is>
      </c>
      <c r="G274" t="inlineStr">
        <is>
          <t>SÄTER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23735-2026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46242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23736-2026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46242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46242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45476-2024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45576</v>
      </c>
      <c r="E278" s="1" t="n">
        <v>46242</v>
      </c>
      <c r="F278" t="inlineStr">
        <is>
          <t>DALARNAS LÄN</t>
        </is>
      </c>
      <c r="G278" t="inlineStr">
        <is>
          <t>SÄTER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16832-2024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45411</v>
      </c>
      <c r="E279" s="1" t="n">
        <v>46242</v>
      </c>
      <c r="F279" t="inlineStr">
        <is>
          <t>DALARNAS LÄN</t>
        </is>
      </c>
      <c r="G279" t="inlineStr">
        <is>
          <t>SÄTER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45411</v>
      </c>
      <c r="E280" s="1" t="n">
        <v>46242</v>
      </c>
      <c r="F280" t="inlineStr">
        <is>
          <t>DALARNAS LÄN</t>
        </is>
      </c>
      <c r="G280" t="inlineStr">
        <is>
          <t>SÄTER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46163</v>
      </c>
      <c r="E281" s="1" t="n">
        <v>46242</v>
      </c>
      <c r="F281" t="inlineStr">
        <is>
          <t>DALARNAS LÄN</t>
        </is>
      </c>
      <c r="G281" t="inlineStr">
        <is>
          <t>SÄTER</t>
        </is>
      </c>
      <c r="H281" t="inlineStr">
        <is>
          <t>Bergvik skog väst AB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45398</v>
      </c>
      <c r="E282" s="1" t="n">
        <v>46242</v>
      </c>
      <c r="F282" t="inlineStr">
        <is>
          <t>DALARNAS LÄN</t>
        </is>
      </c>
      <c r="G282" t="inlineStr">
        <is>
          <t>SÄTER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44965</v>
      </c>
      <c r="E283" s="1" t="n">
        <v>46242</v>
      </c>
      <c r="F283" t="inlineStr">
        <is>
          <t>DALARNAS LÄN</t>
        </is>
      </c>
      <c r="G283" t="inlineStr">
        <is>
          <t>SÄTER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23679-2026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46164</v>
      </c>
      <c r="E284" s="1" t="n">
        <v>46242</v>
      </c>
      <c r="F284" t="inlineStr">
        <is>
          <t>DALARNAS LÄN</t>
        </is>
      </c>
      <c r="G284" t="inlineStr">
        <is>
          <t>SÄTER</t>
        </is>
      </c>
      <c r="I284" t="n">
        <v>10.1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45628</v>
      </c>
      <c r="E285" s="1" t="n">
        <v>46242</v>
      </c>
      <c r="F285" t="inlineStr">
        <is>
          <t>DALARNAS LÄN</t>
        </is>
      </c>
      <c r="G285" t="inlineStr">
        <is>
          <t>SÄTER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34652-2024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45526</v>
      </c>
      <c r="E286" s="1" t="n">
        <v>46242</v>
      </c>
      <c r="F286" t="inlineStr">
        <is>
          <t>DALARNAS LÄN</t>
        </is>
      </c>
      <c r="G286" t="inlineStr">
        <is>
          <t>SÄTER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46242</v>
      </c>
      <c r="F287" t="inlineStr">
        <is>
          <t>DALARNAS LÄN</t>
        </is>
      </c>
      <c r="G287" t="inlineStr">
        <is>
          <t>SÄTER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45427</v>
      </c>
      <c r="E288" s="1" t="n">
        <v>46242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21697-2023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46242</v>
      </c>
      <c r="F289" t="inlineStr">
        <is>
          <t>DALARNAS LÄN</t>
        </is>
      </c>
      <c r="G289" t="inlineStr">
        <is>
          <t>SÄTER</t>
        </is>
      </c>
      <c r="H289" t="inlineStr">
        <is>
          <t>Kommuner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45875</v>
      </c>
      <c r="E290" s="1" t="n">
        <v>46242</v>
      </c>
      <c r="F290" t="inlineStr">
        <is>
          <t>DALARNAS LÄN</t>
        </is>
      </c>
      <c r="G290" t="inlineStr">
        <is>
          <t>SÄTER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30706-2026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46211</v>
      </c>
      <c r="E291" s="1" t="n">
        <v>46242</v>
      </c>
      <c r="F291" t="inlineStr">
        <is>
          <t>DALARNAS LÄN</t>
        </is>
      </c>
      <c r="G291" t="inlineStr">
        <is>
          <t>SÄTER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46242</v>
      </c>
      <c r="F292" t="inlineStr">
        <is>
          <t>DALARNAS LÄN</t>
        </is>
      </c>
      <c r="G292" t="inlineStr">
        <is>
          <t>SÄTER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44992</v>
      </c>
      <c r="E293" s="1" t="n">
        <v>46242</v>
      </c>
      <c r="F293" t="inlineStr">
        <is>
          <t>DALARNAS LÄN</t>
        </is>
      </c>
      <c r="G293" t="inlineStr">
        <is>
          <t>SÄTER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30515-2026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46204</v>
      </c>
      <c r="E294" s="1" t="n">
        <v>46242</v>
      </c>
      <c r="F294" t="inlineStr">
        <is>
          <t>DALARNAS LÄN</t>
        </is>
      </c>
      <c r="G294" t="inlineStr">
        <is>
          <t>SÄTER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46242</v>
      </c>
      <c r="F295" t="inlineStr">
        <is>
          <t>DALARNAS LÄN</t>
        </is>
      </c>
      <c r="G295" t="inlineStr">
        <is>
          <t>SÄTER</t>
        </is>
      </c>
      <c r="H295" t="inlineStr">
        <is>
          <t>Bergvik skog väst AB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46242</v>
      </c>
      <c r="F296" t="inlineStr">
        <is>
          <t>DALARNAS LÄN</t>
        </is>
      </c>
      <c r="G296" t="inlineStr">
        <is>
          <t>SÄTER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30256-2023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45110</v>
      </c>
      <c r="E297" s="1" t="n">
        <v>46242</v>
      </c>
      <c r="F297" t="inlineStr">
        <is>
          <t>DALARNAS LÄN</t>
        </is>
      </c>
      <c r="G297" t="inlineStr">
        <is>
          <t>SÄTER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52193-2021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44463</v>
      </c>
      <c r="E298" s="1" t="n">
        <v>46242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45455</v>
      </c>
      <c r="E299" s="1" t="n">
        <v>46242</v>
      </c>
      <c r="F299" t="inlineStr">
        <is>
          <t>DALARNAS LÄN</t>
        </is>
      </c>
      <c r="G299" t="inlineStr">
        <is>
          <t>SÄTER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45225-2022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44840</v>
      </c>
      <c r="E300" s="1" t="n">
        <v>46242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10.2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52220-2021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44462</v>
      </c>
      <c r="E301" s="1" t="n">
        <v>46242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46242</v>
      </c>
      <c r="F302" t="inlineStr">
        <is>
          <t>DALARNAS LÄN</t>
        </is>
      </c>
      <c r="G302" t="inlineStr">
        <is>
          <t>SÄTER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45432</v>
      </c>
      <c r="E303" s="1" t="n">
        <v>46242</v>
      </c>
      <c r="F303" t="inlineStr">
        <is>
          <t>DALARNAS LÄN</t>
        </is>
      </c>
      <c r="G303" t="inlineStr">
        <is>
          <t>SÄTER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46242</v>
      </c>
      <c r="F304" t="inlineStr">
        <is>
          <t>DALARNAS LÄN</t>
        </is>
      </c>
      <c r="G304" t="inlineStr">
        <is>
          <t>SÄTER</t>
        </is>
      </c>
      <c r="H304" t="inlineStr">
        <is>
          <t>Övriga statliga verk och myndigheter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45366</v>
      </c>
      <c r="E305" s="1" t="n">
        <v>46242</v>
      </c>
      <c r="F305" t="inlineStr">
        <is>
          <t>DALARNAS LÄN</t>
        </is>
      </c>
      <c r="G305" t="inlineStr">
        <is>
          <t>SÄTER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10285-2026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46242</v>
      </c>
      <c r="F306" t="inlineStr">
        <is>
          <t>DALARNAS LÄN</t>
        </is>
      </c>
      <c r="G306" t="inlineStr">
        <is>
          <t>SÄTER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44812</v>
      </c>
      <c r="E307" s="1" t="n">
        <v>46242</v>
      </c>
      <c r="F307" t="inlineStr">
        <is>
          <t>DALARNAS LÄN</t>
        </is>
      </c>
      <c r="G307" t="inlineStr">
        <is>
          <t>SÄTER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19162-2022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44691</v>
      </c>
      <c r="E308" s="1" t="n">
        <v>46242</v>
      </c>
      <c r="F308" t="inlineStr">
        <is>
          <t>DALARNAS LÄN</t>
        </is>
      </c>
      <c r="G308" t="inlineStr">
        <is>
          <t>SÄTER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59707-2022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44908</v>
      </c>
      <c r="E309" s="1" t="n">
        <v>46242</v>
      </c>
      <c r="F309" t="inlineStr">
        <is>
          <t>DALARNAS LÄN</t>
        </is>
      </c>
      <c r="G309" t="inlineStr">
        <is>
          <t>SÄTER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13339-2023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45005</v>
      </c>
      <c r="E310" s="1" t="n">
        <v>46242</v>
      </c>
      <c r="F310" t="inlineStr">
        <is>
          <t>DALARNAS LÄN</t>
        </is>
      </c>
      <c r="G310" t="inlineStr">
        <is>
          <t>SÄTER</t>
        </is>
      </c>
      <c r="I310" t="n">
        <v>8.6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69744-2021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44532</v>
      </c>
      <c r="E311" s="1" t="n">
        <v>46242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45469</v>
      </c>
      <c r="E312" s="1" t="n">
        <v>46242</v>
      </c>
      <c r="F312" t="inlineStr">
        <is>
          <t>DALARNAS LÄN</t>
        </is>
      </c>
      <c r="G312" t="inlineStr">
        <is>
          <t>SÄTER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45665</v>
      </c>
      <c r="E313" s="1" t="n">
        <v>46242</v>
      </c>
      <c r="F313" t="inlineStr">
        <is>
          <t>DALARNAS LÄN</t>
        </is>
      </c>
      <c r="G313" t="inlineStr">
        <is>
          <t>SÄTER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44595</v>
      </c>
      <c r="E314" s="1" t="n">
        <v>46242</v>
      </c>
      <c r="F314" t="inlineStr">
        <is>
          <t>DALARNAS LÄN</t>
        </is>
      </c>
      <c r="G314" t="inlineStr">
        <is>
          <t>SÄTER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60655-2024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45644</v>
      </c>
      <c r="E315" s="1" t="n">
        <v>46242</v>
      </c>
      <c r="F315" t="inlineStr">
        <is>
          <t>DALARNAS LÄN</t>
        </is>
      </c>
      <c r="G315" t="inlineStr">
        <is>
          <t>SÄTER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59445-2024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46242</v>
      </c>
      <c r="F316" t="inlineStr">
        <is>
          <t>DALARNAS LÄN</t>
        </is>
      </c>
      <c r="G316" t="inlineStr">
        <is>
          <t>SÄTER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28613-2026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46242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45719</v>
      </c>
      <c r="E318" s="1" t="n">
        <v>46242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45163</v>
      </c>
      <c r="E319" s="1" t="n">
        <v>46242</v>
      </c>
      <c r="F319" t="inlineStr">
        <is>
          <t>DALARNAS LÄN</t>
        </is>
      </c>
      <c r="G319" t="inlineStr">
        <is>
          <t>SÄTER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46242</v>
      </c>
      <c r="F320" t="inlineStr">
        <is>
          <t>DALARNAS LÄN</t>
        </is>
      </c>
      <c r="G320" t="inlineStr">
        <is>
          <t>SÄTER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46092</v>
      </c>
      <c r="E321" s="1" t="n">
        <v>46242</v>
      </c>
      <c r="F321" t="inlineStr">
        <is>
          <t>DALARNAS LÄN</t>
        </is>
      </c>
      <c r="G321" t="inlineStr">
        <is>
          <t>SÄTER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32122-2026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46234</v>
      </c>
      <c r="E322" s="1" t="n">
        <v>46242</v>
      </c>
      <c r="F322" t="inlineStr">
        <is>
          <t>DALARNAS LÄN</t>
        </is>
      </c>
      <c r="G322" t="inlineStr">
        <is>
          <t>SÄTER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39487-2022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46242</v>
      </c>
      <c r="F323" t="inlineStr">
        <is>
          <t>DALARNAS LÄN</t>
        </is>
      </c>
      <c r="G323" t="inlineStr">
        <is>
          <t>SÄTER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5698-2024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45334</v>
      </c>
      <c r="E324" s="1" t="n">
        <v>46242</v>
      </c>
      <c r="F324" t="inlineStr">
        <is>
          <t>DALARNAS LÄN</t>
        </is>
      </c>
      <c r="G324" t="inlineStr">
        <is>
          <t>SÄTER</t>
        </is>
      </c>
      <c r="H324" t="inlineStr">
        <is>
          <t>Kommuner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41556-2021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44425</v>
      </c>
      <c r="E325" s="1" t="n">
        <v>46242</v>
      </c>
      <c r="F325" t="inlineStr">
        <is>
          <t>DALARNAS LÄN</t>
        </is>
      </c>
      <c r="G325" t="inlineStr">
        <is>
          <t>SÄTER</t>
        </is>
      </c>
      <c r="I325" t="n">
        <v>10.8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46242</v>
      </c>
      <c r="F326" t="inlineStr">
        <is>
          <t>DALARNAS LÄN</t>
        </is>
      </c>
      <c r="G326" t="inlineStr">
        <is>
          <t>SÄTER</t>
        </is>
      </c>
      <c r="H326" t="inlineStr">
        <is>
          <t>Sveaskog</t>
        </is>
      </c>
      <c r="I326" t="n">
        <v>19.8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46242</v>
      </c>
      <c r="F327" t="inlineStr">
        <is>
          <t>DALARNAS LÄN</t>
        </is>
      </c>
      <c r="G327" t="inlineStr">
        <is>
          <t>SÄTER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45622</v>
      </c>
      <c r="E328" s="1" t="n">
        <v>46242</v>
      </c>
      <c r="F328" t="inlineStr">
        <is>
          <t>DALARNAS LÄN</t>
        </is>
      </c>
      <c r="G328" t="inlineStr">
        <is>
          <t>SÄTER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32904-2022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44784</v>
      </c>
      <c r="E329" s="1" t="n">
        <v>46242</v>
      </c>
      <c r="F329" t="inlineStr">
        <is>
          <t>DALARNAS LÄN</t>
        </is>
      </c>
      <c r="G329" t="inlineStr">
        <is>
          <t>SÄTER</t>
        </is>
      </c>
      <c r="H329" t="inlineStr">
        <is>
          <t>Bergvik skog väst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45247</v>
      </c>
      <c r="E330" s="1" t="n">
        <v>46242</v>
      </c>
      <c r="F330" t="inlineStr">
        <is>
          <t>DALARNAS LÄN</t>
        </is>
      </c>
      <c r="G330" t="inlineStr">
        <is>
          <t>SÄTER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47044-2023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45201</v>
      </c>
      <c r="E331" s="1" t="n">
        <v>46242</v>
      </c>
      <c r="F331" t="inlineStr">
        <is>
          <t>DALARNAS LÄN</t>
        </is>
      </c>
      <c r="G331" t="inlineStr">
        <is>
          <t>SÄTER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51333-2024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45604</v>
      </c>
      <c r="E332" s="1" t="n">
        <v>46242</v>
      </c>
      <c r="F332" t="inlineStr">
        <is>
          <t>DALARNAS LÄN</t>
        </is>
      </c>
      <c r="G332" t="inlineStr">
        <is>
          <t>SÄTER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19979-2025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46242</v>
      </c>
      <c r="F333" t="inlineStr">
        <is>
          <t>DALARNAS LÄN</t>
        </is>
      </c>
      <c r="G333" t="inlineStr">
        <is>
          <t>SÄTER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44784</v>
      </c>
      <c r="E334" s="1" t="n">
        <v>46242</v>
      </c>
      <c r="F334" t="inlineStr">
        <is>
          <t>DALARNAS LÄN</t>
        </is>
      </c>
      <c r="G334" t="inlineStr">
        <is>
          <t>SÄTER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45140</v>
      </c>
      <c r="E335" s="1" t="n">
        <v>46242</v>
      </c>
      <c r="F335" t="inlineStr">
        <is>
          <t>DALARNAS LÄN</t>
        </is>
      </c>
      <c r="G335" t="inlineStr">
        <is>
          <t>SÄTER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23262-2024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45453</v>
      </c>
      <c r="E336" s="1" t="n">
        <v>46242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44811</v>
      </c>
      <c r="E337" s="1" t="n">
        <v>46242</v>
      </c>
      <c r="F337" t="inlineStr">
        <is>
          <t>DALARNAS LÄN</t>
        </is>
      </c>
      <c r="G337" t="inlineStr">
        <is>
          <t>SÄTER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45411</v>
      </c>
      <c r="E338" s="1" t="n">
        <v>46242</v>
      </c>
      <c r="F338" t="inlineStr">
        <is>
          <t>DALARNAS LÄN</t>
        </is>
      </c>
      <c r="G338" t="inlineStr">
        <is>
          <t>SÄTER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34993-2024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46242</v>
      </c>
      <c r="F339" t="inlineStr">
        <is>
          <t>DALARNAS LÄN</t>
        </is>
      </c>
      <c r="G339" t="inlineStr">
        <is>
          <t>SÄTER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21766-2024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45442</v>
      </c>
      <c r="E340" s="1" t="n">
        <v>46242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12957-2022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44643</v>
      </c>
      <c r="E341" s="1" t="n">
        <v>46242</v>
      </c>
      <c r="F341" t="inlineStr">
        <is>
          <t>DALARNAS LÄN</t>
        </is>
      </c>
      <c r="G341" t="inlineStr">
        <is>
          <t>SÄTER</t>
        </is>
      </c>
      <c r="I341" t="n">
        <v>8.1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56827-2024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46242</v>
      </c>
      <c r="F342" t="inlineStr">
        <is>
          <t>DALARNAS LÄN</t>
        </is>
      </c>
      <c r="G342" t="inlineStr">
        <is>
          <t>SÄTER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46242</v>
      </c>
      <c r="F343" t="inlineStr">
        <is>
          <t>DALARNAS LÄN</t>
        </is>
      </c>
      <c r="G343" t="inlineStr">
        <is>
          <t>SÄTER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44953</v>
      </c>
      <c r="E344" s="1" t="n">
        <v>46242</v>
      </c>
      <c r="F344" t="inlineStr">
        <is>
          <t>DALARNAS LÄN</t>
        </is>
      </c>
      <c r="G344" t="inlineStr">
        <is>
          <t>SÄTER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44964</v>
      </c>
      <c r="E345" s="1" t="n">
        <v>46242</v>
      </c>
      <c r="F345" t="inlineStr">
        <is>
          <t>DALARNAS LÄN</t>
        </is>
      </c>
      <c r="G345" t="inlineStr">
        <is>
          <t>SÄTER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45520</v>
      </c>
      <c r="E346" s="1" t="n">
        <v>46242</v>
      </c>
      <c r="F346" t="inlineStr">
        <is>
          <t>DALARNAS LÄN</t>
        </is>
      </c>
      <c r="G346" t="inlineStr">
        <is>
          <t>SÄTER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42998-2023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45182</v>
      </c>
      <c r="E347" s="1" t="n">
        <v>46242</v>
      </c>
      <c r="F347" t="inlineStr">
        <is>
          <t>DALARNAS LÄN</t>
        </is>
      </c>
      <c r="G347" t="inlineStr">
        <is>
          <t>SÄTER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45604</v>
      </c>
      <c r="E348" s="1" t="n">
        <v>46242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45232</v>
      </c>
      <c r="E349" s="1" t="n">
        <v>46242</v>
      </c>
      <c r="F349" t="inlineStr">
        <is>
          <t>DALARNAS LÄN</t>
        </is>
      </c>
      <c r="G349" t="inlineStr">
        <is>
          <t>SÄTER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37440-2022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44809</v>
      </c>
      <c r="E350" s="1" t="n">
        <v>46242</v>
      </c>
      <c r="F350" t="inlineStr">
        <is>
          <t>DALARNAS LÄN</t>
        </is>
      </c>
      <c r="G350" t="inlineStr">
        <is>
          <t>SÄTER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44788</v>
      </c>
      <c r="E351" s="1" t="n">
        <v>46242</v>
      </c>
      <c r="F351" t="inlineStr">
        <is>
          <t>DALARNAS LÄN</t>
        </is>
      </c>
      <c r="G351" t="inlineStr">
        <is>
          <t>SÄTER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28549-2022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44748</v>
      </c>
      <c r="E352" s="1" t="n">
        <v>46242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46559-2021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44445</v>
      </c>
      <c r="E353" s="1" t="n">
        <v>46242</v>
      </c>
      <c r="F353" t="inlineStr">
        <is>
          <t>DALARNAS LÄN</t>
        </is>
      </c>
      <c r="G353" t="inlineStr">
        <is>
          <t>SÄTER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41471-2023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45171</v>
      </c>
      <c r="E354" s="1" t="n">
        <v>46242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21583-2025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45783</v>
      </c>
      <c r="E355" s="1" t="n">
        <v>46242</v>
      </c>
      <c r="F355" t="inlineStr">
        <is>
          <t>DALARNAS LÄN</t>
        </is>
      </c>
      <c r="G355" t="inlineStr">
        <is>
          <t>SÄTER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49684-2024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45596</v>
      </c>
      <c r="E356" s="1" t="n">
        <v>46242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19322-2024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45428</v>
      </c>
      <c r="E357" s="1" t="n">
        <v>46242</v>
      </c>
      <c r="F357" t="inlineStr">
        <is>
          <t>DALARNAS LÄN</t>
        </is>
      </c>
      <c r="G357" t="inlineStr">
        <is>
          <t>SÄTER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45432</v>
      </c>
      <c r="E358" s="1" t="n">
        <v>46242</v>
      </c>
      <c r="F358" t="inlineStr">
        <is>
          <t>DALARNAS LÄN</t>
        </is>
      </c>
      <c r="G358" t="inlineStr">
        <is>
          <t>SÄTER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6640-2025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45700</v>
      </c>
      <c r="E359" s="1" t="n">
        <v>46242</v>
      </c>
      <c r="F359" t="inlineStr">
        <is>
          <t>DALARNAS LÄN</t>
        </is>
      </c>
      <c r="G359" t="inlineStr">
        <is>
          <t>SÄTER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46242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45365</v>
      </c>
      <c r="E361" s="1" t="n">
        <v>46242</v>
      </c>
      <c r="F361" t="inlineStr">
        <is>
          <t>DALARNAS LÄN</t>
        </is>
      </c>
      <c r="G361" t="inlineStr">
        <is>
          <t>SÄTER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45666</v>
      </c>
      <c r="E362" s="1" t="n">
        <v>46242</v>
      </c>
      <c r="F362" t="inlineStr">
        <is>
          <t>DALARNAS LÄN</t>
        </is>
      </c>
      <c r="G362" t="inlineStr">
        <is>
          <t>SÄTER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45118</v>
      </c>
      <c r="E363" s="1" t="n">
        <v>46242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45443</v>
      </c>
      <c r="E364" s="1" t="n">
        <v>46242</v>
      </c>
      <c r="F364" t="inlineStr">
        <is>
          <t>DALARNAS LÄN</t>
        </is>
      </c>
      <c r="G364" t="inlineStr">
        <is>
          <t>SÄTER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45462</v>
      </c>
      <c r="E365" s="1" t="n">
        <v>46242</v>
      </c>
      <c r="F365" t="inlineStr">
        <is>
          <t>DALARNAS LÄN</t>
        </is>
      </c>
      <c r="G365" t="inlineStr">
        <is>
          <t>SÄTER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46242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46242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46242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405-2022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44585</v>
      </c>
      <c r="E369" s="1" t="n">
        <v>46242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79.09999999999999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46242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46242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46242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2964-2025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45952</v>
      </c>
      <c r="E373" s="1" t="n">
        <v>46242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46242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2026-08-08T01:54:41Z</dcterms:created>
  <dcterms:modified xmlns:dcterms="http://purl.org/dc/terms/" xmlns:xsi="http://www.w3.org/2001/XMLSchema-instance" xsi:type="dcterms:W3CDTF">2026-08-08T01:54:42Z</dcterms:modified>
</cp:coreProperties>
</file>