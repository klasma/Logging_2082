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45584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16845-2024</t>
        </is>
      </c>
      <c r="B13" s="1" t="n">
        <v>45411</v>
      </c>
      <c r="C13" s="1" t="n">
        <v>45584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21903-2024</t>
        </is>
      </c>
      <c r="B14" s="1" t="n">
        <v>45443</v>
      </c>
      <c r="C14" s="1" t="n">
        <v>45584</v>
      </c>
      <c r="D14" t="inlineStr">
        <is>
          <t>DALARNAS LÄN</t>
        </is>
      </c>
      <c r="E14" t="inlineStr">
        <is>
          <t>SÄTER</t>
        </is>
      </c>
      <c r="G14" t="n">
        <v>21.2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Granspira
Majviva</t>
        </is>
      </c>
      <c r="S14">
        <f>HYPERLINK("https://klasma.github.io/Logging_2082/artfynd/A 21903-2024 artfynd.xlsx", "A 21903-2024")</f>
        <v/>
      </c>
      <c r="T14">
        <f>HYPERLINK("https://klasma.github.io/Logging_2082/kartor/A 21903-2024 karta.png", "A 21903-2024")</f>
        <v/>
      </c>
      <c r="V14">
        <f>HYPERLINK("https://klasma.github.io/Logging_2082/klagomål/A 21903-2024 FSC-klagomål.docx", "A 21903-2024")</f>
        <v/>
      </c>
      <c r="W14">
        <f>HYPERLINK("https://klasma.github.io/Logging_2082/klagomålsmail/A 21903-2024 FSC-klagomål mail.docx", "A 21903-2024")</f>
        <v/>
      </c>
      <c r="X14">
        <f>HYPERLINK("https://klasma.github.io/Logging_2082/tillsyn/A 21903-2024 tillsynsbegäran.docx", "A 21903-2024")</f>
        <v/>
      </c>
      <c r="Y14">
        <f>HYPERLINK("https://klasma.github.io/Logging_2082/tillsynsmail/A 21903-2024 tillsynsbegäran mail.docx", "A 21903-2024")</f>
        <v/>
      </c>
    </row>
    <row r="15" ht="15" customHeight="1">
      <c r="A15" t="inlineStr">
        <is>
          <t>A 34337-2020</t>
        </is>
      </c>
      <c r="B15" s="1" t="n">
        <v>44032</v>
      </c>
      <c r="C15" s="1" t="n">
        <v>45584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20.3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HYPERLINK("https://klasma.github.io/Logging_2082/artfynd/A 34337-2020 artfynd.xlsx", "A 34337-2020")</f>
        <v/>
      </c>
      <c r="T15">
        <f>HYPERLINK("https://klasma.github.io/Logging_2082/kartor/A 34337-2020 karta.png", "A 34337-2020")</f>
        <v/>
      </c>
      <c r="V15">
        <f>HYPERLINK("https://klasma.github.io/Logging_2082/klagomål/A 34337-2020 FSC-klagomål.docx", "A 34337-2020")</f>
        <v/>
      </c>
      <c r="W15">
        <f>HYPERLINK("https://klasma.github.io/Logging_2082/klagomålsmail/A 34337-2020 FSC-klagomål mail.docx", "A 34337-2020")</f>
        <v/>
      </c>
      <c r="X15">
        <f>HYPERLINK("https://klasma.github.io/Logging_2082/tillsyn/A 34337-2020 tillsynsbegäran.docx", "A 34337-2020")</f>
        <v/>
      </c>
      <c r="Y15">
        <f>HYPERLINK("https://klasma.github.io/Logging_2082/tillsynsmail/A 34337-2020 tillsynsbegäran mail.docx", "A 34337-2020")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45584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52205-2021</t>
        </is>
      </c>
      <c r="B17" s="1" t="n">
        <v>44462</v>
      </c>
      <c r="C17" s="1" t="n">
        <v>45584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HYPERLINK("https://klasma.github.io/Logging_2082/artfynd/A 52205-2021 artfynd.xlsx", "A 52205-2021")</f>
        <v/>
      </c>
      <c r="T17">
        <f>HYPERLINK("https://klasma.github.io/Logging_2082/kartor/A 52205-2021 karta.png", "A 52205-2021")</f>
        <v/>
      </c>
      <c r="V17">
        <f>HYPERLINK("https://klasma.github.io/Logging_2082/klagomål/A 52205-2021 FSC-klagomål.docx", "A 52205-2021")</f>
        <v/>
      </c>
      <c r="W17">
        <f>HYPERLINK("https://klasma.github.io/Logging_2082/klagomålsmail/A 52205-2021 FSC-klagomål mail.docx", "A 52205-2021")</f>
        <v/>
      </c>
      <c r="X17">
        <f>HYPERLINK("https://klasma.github.io/Logging_2082/tillsyn/A 52205-2021 tillsynsbegäran.docx", "A 52205-2021")</f>
        <v/>
      </c>
      <c r="Y17">
        <f>HYPERLINK("https://klasma.github.io/Logging_2082/tillsynsmail/A 52205-2021 tillsynsbegäran mail.docx", "A 52205-2021")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45584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25675-2022</t>
        </is>
      </c>
      <c r="B19" s="1" t="n">
        <v>44732</v>
      </c>
      <c r="C19" s="1" t="n">
        <v>45584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HYPERLINK("https://klasma.github.io/Logging_2082/artfynd/A 25675-2022 artfynd.xlsx", "A 25675-2022")</f>
        <v/>
      </c>
      <c r="T19">
        <f>HYPERLINK("https://klasma.github.io/Logging_2082/kartor/A 25675-2022 karta.png", "A 25675-2022")</f>
        <v/>
      </c>
      <c r="V19">
        <f>HYPERLINK("https://klasma.github.io/Logging_2082/klagomål/A 25675-2022 FSC-klagomål.docx", "A 25675-2022")</f>
        <v/>
      </c>
      <c r="W19">
        <f>HYPERLINK("https://klasma.github.io/Logging_2082/klagomålsmail/A 25675-2022 FSC-klagomål mail.docx", "A 25675-2022")</f>
        <v/>
      </c>
      <c r="X19">
        <f>HYPERLINK("https://klasma.github.io/Logging_2082/tillsyn/A 25675-2022 tillsynsbegäran.docx", "A 25675-2022")</f>
        <v/>
      </c>
      <c r="Y19">
        <f>HYPERLINK("https://klasma.github.io/Logging_2082/tillsynsmail/A 25675-2022 tillsynsbegäran mail.docx", "A 25675-2022")</f>
        <v/>
      </c>
    </row>
    <row r="20" ht="15" customHeight="1">
      <c r="A20" t="inlineStr">
        <is>
          <t>A 35910-2022</t>
        </is>
      </c>
      <c r="B20" s="1" t="n">
        <v>44802</v>
      </c>
      <c r="C20" s="1" t="n">
        <v>45584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HYPERLINK("https://klasma.github.io/Logging_2082/artfynd/A 35910-2022 artfynd.xlsx", "A 35910-2022")</f>
        <v/>
      </c>
      <c r="T20">
        <f>HYPERLINK("https://klasma.github.io/Logging_2082/kartor/A 35910-2022 karta.png", "A 35910-2022")</f>
        <v/>
      </c>
      <c r="V20">
        <f>HYPERLINK("https://klasma.github.io/Logging_2082/klagomål/A 35910-2022 FSC-klagomål.docx", "A 35910-2022")</f>
        <v/>
      </c>
      <c r="W20">
        <f>HYPERLINK("https://klasma.github.io/Logging_2082/klagomålsmail/A 35910-2022 FSC-klagomål mail.docx", "A 35910-2022")</f>
        <v/>
      </c>
      <c r="X20">
        <f>HYPERLINK("https://klasma.github.io/Logging_2082/tillsyn/A 35910-2022 tillsynsbegäran.docx", "A 35910-2022")</f>
        <v/>
      </c>
      <c r="Y20">
        <f>HYPERLINK("https://klasma.github.io/Logging_2082/tillsynsmail/A 35910-2022 tillsynsbegäran mail.docx", "A 35910-2022")</f>
        <v/>
      </c>
    </row>
    <row r="21" ht="15" customHeight="1">
      <c r="A21" t="inlineStr">
        <is>
          <t>A 60954-2022</t>
        </is>
      </c>
      <c r="B21" s="1" t="n">
        <v>44914</v>
      </c>
      <c r="C21" s="1" t="n">
        <v>45584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60954-2022 artfynd.xlsx", "A 60954-2022")</f>
        <v/>
      </c>
      <c r="T21">
        <f>HYPERLINK("https://klasma.github.io/Logging_2082/kartor/A 60954-2022 karta.png", "A 60954-2022")</f>
        <v/>
      </c>
      <c r="V21">
        <f>HYPERLINK("https://klasma.github.io/Logging_2082/klagomål/A 60954-2022 FSC-klagomål.docx", "A 60954-2022")</f>
        <v/>
      </c>
      <c r="W21">
        <f>HYPERLINK("https://klasma.github.io/Logging_2082/klagomålsmail/A 60954-2022 FSC-klagomål mail.docx", "A 60954-2022")</f>
        <v/>
      </c>
      <c r="X21">
        <f>HYPERLINK("https://klasma.github.io/Logging_2082/tillsyn/A 60954-2022 tillsynsbegäran.docx", "A 60954-2022")</f>
        <v/>
      </c>
      <c r="Y21">
        <f>HYPERLINK("https://klasma.github.io/Logging_2082/tillsynsmail/A 60954-2022 tillsynsbegäran mail.docx", "A 60954-2022")</f>
        <v/>
      </c>
    </row>
    <row r="22" ht="15" customHeight="1">
      <c r="A22" t="inlineStr">
        <is>
          <t>A 3528-2023</t>
        </is>
      </c>
      <c r="B22" s="1" t="n">
        <v>44950</v>
      </c>
      <c r="C22" s="1" t="n">
        <v>45584</v>
      </c>
      <c r="D22" t="inlineStr">
        <is>
          <t>DALARNAS LÄN</t>
        </is>
      </c>
      <c r="E22" t="inlineStr">
        <is>
          <t>SÄTER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3528-2023 artfynd.xlsx", "A 3528-2023")</f>
        <v/>
      </c>
      <c r="T22">
        <f>HYPERLINK("https://klasma.github.io/Logging_2082/kartor/A 3528-2023 karta.png", "A 3528-2023")</f>
        <v/>
      </c>
      <c r="U22">
        <f>HYPERLINK("https://klasma.github.io/Logging_2082/knärot/A 3528-2023 karta knärot.png", "A 3528-2023")</f>
        <v/>
      </c>
      <c r="V22">
        <f>HYPERLINK("https://klasma.github.io/Logging_2082/klagomål/A 3528-2023 FSC-klagomål.docx", "A 3528-2023")</f>
        <v/>
      </c>
      <c r="W22">
        <f>HYPERLINK("https://klasma.github.io/Logging_2082/klagomålsmail/A 3528-2023 FSC-klagomål mail.docx", "A 3528-2023")</f>
        <v/>
      </c>
      <c r="X22">
        <f>HYPERLINK("https://klasma.github.io/Logging_2082/tillsyn/A 3528-2023 tillsynsbegäran.docx", "A 3528-2023")</f>
        <v/>
      </c>
      <c r="Y22">
        <f>HYPERLINK("https://klasma.github.io/Logging_2082/tillsynsmail/A 3528-2023 tillsynsbegäran mail.docx", "A 3528-2023")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45584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45584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45584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16838-2024</t>
        </is>
      </c>
      <c r="B26" s="1" t="n">
        <v>45411</v>
      </c>
      <c r="C26" s="1" t="n">
        <v>45584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16838-2024 artfynd.xlsx", "A 16838-2024")</f>
        <v/>
      </c>
      <c r="T26">
        <f>HYPERLINK("https://klasma.github.io/Logging_2082/kartor/A 16838-2024 karta.png", "A 16838-2024")</f>
        <v/>
      </c>
      <c r="V26">
        <f>HYPERLINK("https://klasma.github.io/Logging_2082/klagomål/A 16838-2024 FSC-klagomål.docx", "A 16838-2024")</f>
        <v/>
      </c>
      <c r="W26">
        <f>HYPERLINK("https://klasma.github.io/Logging_2082/klagomålsmail/A 16838-2024 FSC-klagomål mail.docx", "A 16838-2024")</f>
        <v/>
      </c>
      <c r="X26">
        <f>HYPERLINK("https://klasma.github.io/Logging_2082/tillsyn/A 16838-2024 tillsynsbegäran.docx", "A 16838-2024")</f>
        <v/>
      </c>
      <c r="Y26">
        <f>HYPERLINK("https://klasma.github.io/Logging_2082/tillsynsmail/A 16838-2024 tillsynsbegäran mail.docx", "A 16838-2024")</f>
        <v/>
      </c>
    </row>
    <row r="27" ht="15" customHeight="1">
      <c r="A27" t="inlineStr">
        <is>
          <t>A 27834-2024</t>
        </is>
      </c>
      <c r="B27" s="1" t="n">
        <v>45475</v>
      </c>
      <c r="C27" s="1" t="n">
        <v>45584</v>
      </c>
      <c r="D27" t="inlineStr">
        <is>
          <t>DALARNAS LÄN</t>
        </is>
      </c>
      <c r="E27" t="inlineStr">
        <is>
          <t>SÄTER</t>
        </is>
      </c>
      <c r="G27" t="n">
        <v>7.7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Sexfläckig bastardsvärmare</t>
        </is>
      </c>
      <c r="S27">
        <f>HYPERLINK("https://klasma.github.io/Logging_2082/artfynd/A 27834-2024 artfynd.xlsx", "A 27834-2024")</f>
        <v/>
      </c>
      <c r="T27">
        <f>HYPERLINK("https://klasma.github.io/Logging_2082/kartor/A 27834-2024 karta.png", "A 27834-2024")</f>
        <v/>
      </c>
      <c r="V27">
        <f>HYPERLINK("https://klasma.github.io/Logging_2082/klagomål/A 27834-2024 FSC-klagomål.docx", "A 27834-2024")</f>
        <v/>
      </c>
      <c r="W27">
        <f>HYPERLINK("https://klasma.github.io/Logging_2082/klagomålsmail/A 27834-2024 FSC-klagomål mail.docx", "A 27834-2024")</f>
        <v/>
      </c>
      <c r="X27">
        <f>HYPERLINK("https://klasma.github.io/Logging_2082/tillsyn/A 27834-2024 tillsynsbegäran.docx", "A 27834-2024")</f>
        <v/>
      </c>
      <c r="Y27">
        <f>HYPERLINK("https://klasma.github.io/Logging_2082/tillsynsmail/A 27834-2024 tillsynsbegäran mail.docx", "A 27834-2024")</f>
        <v/>
      </c>
    </row>
    <row r="28" ht="15" customHeight="1">
      <c r="A28" t="inlineStr">
        <is>
          <t>A 19853-2019</t>
        </is>
      </c>
      <c r="B28" s="1" t="n">
        <v>43567</v>
      </c>
      <c r="C28" s="1" t="n">
        <v>45584</v>
      </c>
      <c r="D28" t="inlineStr">
        <is>
          <t>DALARNAS LÄN</t>
        </is>
      </c>
      <c r="E28" t="inlineStr">
        <is>
          <t>SÄTER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21282-2019</t>
        </is>
      </c>
      <c r="B29" s="1" t="n">
        <v>43579</v>
      </c>
      <c r="C29" s="1" t="n">
        <v>45584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23779-2019</t>
        </is>
      </c>
      <c r="B30" s="1" t="n">
        <v>43595</v>
      </c>
      <c r="C30" s="1" t="n">
        <v>45584</v>
      </c>
      <c r="D30" t="inlineStr">
        <is>
          <t>DALARNAS LÄN</t>
        </is>
      </c>
      <c r="E30" t="inlineStr">
        <is>
          <t>SÄTER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27207-2019</t>
        </is>
      </c>
      <c r="B31" s="1" t="n">
        <v>43614</v>
      </c>
      <c r="C31" s="1" t="n">
        <v>45584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27376-2019</t>
        </is>
      </c>
      <c r="B32" s="1" t="n">
        <v>43616</v>
      </c>
      <c r="C32" s="1" t="n">
        <v>45584</v>
      </c>
      <c r="D32" t="inlineStr">
        <is>
          <t>DALARNAS LÄN</t>
        </is>
      </c>
      <c r="E32" t="inlineStr">
        <is>
          <t>SÄTER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30302-2019</t>
        </is>
      </c>
      <c r="B33" s="1" t="n">
        <v>43633</v>
      </c>
      <c r="C33" s="1" t="n">
        <v>45584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30307-2019</t>
        </is>
      </c>
      <c r="B34" s="1" t="n">
        <v>43633</v>
      </c>
      <c r="C34" s="1" t="n">
        <v>45584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30171-2019</t>
        </is>
      </c>
      <c r="B35" s="1" t="n">
        <v>43634</v>
      </c>
      <c r="C35" s="1" t="n">
        <v>45584</v>
      </c>
      <c r="D35" t="inlineStr">
        <is>
          <t>DALARNAS LÄN</t>
        </is>
      </c>
      <c r="E35" t="inlineStr">
        <is>
          <t>SÄTER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30144-2019</t>
        </is>
      </c>
      <c r="B36" s="1" t="n">
        <v>43634</v>
      </c>
      <c r="C36" s="1" t="n">
        <v>45584</v>
      </c>
      <c r="D36" t="inlineStr">
        <is>
          <t>DALARNAS LÄN</t>
        </is>
      </c>
      <c r="E36" t="inlineStr">
        <is>
          <t>SÄTER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30747-2019</t>
        </is>
      </c>
      <c r="B37" s="1" t="n">
        <v>43636</v>
      </c>
      <c r="C37" s="1" t="n">
        <v>45584</v>
      </c>
      <c r="D37" t="inlineStr">
        <is>
          <t>DALARNAS LÄN</t>
        </is>
      </c>
      <c r="E37" t="inlineStr">
        <is>
          <t>SÄTER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34198-2019</t>
        </is>
      </c>
      <c r="B38" s="1" t="n">
        <v>43655</v>
      </c>
      <c r="C38" s="1" t="n">
        <v>45584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34238-2019</t>
        </is>
      </c>
      <c r="B39" s="1" t="n">
        <v>43655</v>
      </c>
      <c r="C39" s="1" t="n">
        <v>45584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38157-2019</t>
        </is>
      </c>
      <c r="B40" s="1" t="n">
        <v>43684</v>
      </c>
      <c r="C40" s="1" t="n">
        <v>45584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40937-2019</t>
        </is>
      </c>
      <c r="B41" s="1" t="n">
        <v>43693</v>
      </c>
      <c r="C41" s="1" t="n">
        <v>45584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41087-2019</t>
        </is>
      </c>
      <c r="B42" s="1" t="n">
        <v>43693</v>
      </c>
      <c r="C42" s="1" t="n">
        <v>45584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40920-2019</t>
        </is>
      </c>
      <c r="B43" s="1" t="n">
        <v>43693</v>
      </c>
      <c r="C43" s="1" t="n">
        <v>45584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40568-2019</t>
        </is>
      </c>
      <c r="B44" s="1" t="n">
        <v>43696</v>
      </c>
      <c r="C44" s="1" t="n">
        <v>45584</v>
      </c>
      <c r="D44" t="inlineStr">
        <is>
          <t>DALARNAS LÄN</t>
        </is>
      </c>
      <c r="E44" t="inlineStr">
        <is>
          <t>SÄTER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41472-2019</t>
        </is>
      </c>
      <c r="B45" s="1" t="n">
        <v>43699</v>
      </c>
      <c r="C45" s="1" t="n">
        <v>45584</v>
      </c>
      <c r="D45" t="inlineStr">
        <is>
          <t>DALARNAS LÄN</t>
        </is>
      </c>
      <c r="E45" t="inlineStr">
        <is>
          <t>SÄTER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44601-2019</t>
        </is>
      </c>
      <c r="B46" s="1" t="n">
        <v>43711</v>
      </c>
      <c r="C46" s="1" t="n">
        <v>45584</v>
      </c>
      <c r="D46" t="inlineStr">
        <is>
          <t>DALARNAS LÄN</t>
        </is>
      </c>
      <c r="E46" t="inlineStr">
        <is>
          <t>SÄTER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46637-2019</t>
        </is>
      </c>
      <c r="B47" s="1" t="n">
        <v>43719</v>
      </c>
      <c r="C47" s="1" t="n">
        <v>45584</v>
      </c>
      <c r="D47" t="inlineStr">
        <is>
          <t>DALARNAS LÄN</t>
        </is>
      </c>
      <c r="E47" t="inlineStr">
        <is>
          <t>SÄTER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47831-2019</t>
        </is>
      </c>
      <c r="B48" s="1" t="n">
        <v>43725</v>
      </c>
      <c r="C48" s="1" t="n">
        <v>45584</v>
      </c>
      <c r="D48" t="inlineStr">
        <is>
          <t>DALARNAS LÄN</t>
        </is>
      </c>
      <c r="E48" t="inlineStr">
        <is>
          <t>SÄTER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49345-2019</t>
        </is>
      </c>
      <c r="B49" s="1" t="n">
        <v>43731</v>
      </c>
      <c r="C49" s="1" t="n">
        <v>45584</v>
      </c>
      <c r="D49" t="inlineStr">
        <is>
          <t>DALARNAS LÄN</t>
        </is>
      </c>
      <c r="E49" t="inlineStr">
        <is>
          <t>SÄTER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52431-2019</t>
        </is>
      </c>
      <c r="B50" s="1" t="n">
        <v>43735</v>
      </c>
      <c r="C50" s="1" t="n">
        <v>45584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52398-2019</t>
        </is>
      </c>
      <c r="B51" s="1" t="n">
        <v>43735</v>
      </c>
      <c r="C51" s="1" t="n">
        <v>45584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52423-2019</t>
        </is>
      </c>
      <c r="B52" s="1" t="n">
        <v>43735</v>
      </c>
      <c r="C52" s="1" t="n">
        <v>45584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51589-2019</t>
        </is>
      </c>
      <c r="B53" s="1" t="n">
        <v>43740</v>
      </c>
      <c r="C53" s="1" t="n">
        <v>45584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51740-2019</t>
        </is>
      </c>
      <c r="B54" s="1" t="n">
        <v>43741</v>
      </c>
      <c r="C54" s="1" t="n">
        <v>45584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52444-2019</t>
        </is>
      </c>
      <c r="B55" s="1" t="n">
        <v>43745</v>
      </c>
      <c r="C55" s="1" t="n">
        <v>45584</v>
      </c>
      <c r="D55" t="inlineStr">
        <is>
          <t>DALARNAS LÄN</t>
        </is>
      </c>
      <c r="E55" t="inlineStr">
        <is>
          <t>SÄTER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53404-2019</t>
        </is>
      </c>
      <c r="B56" s="1" t="n">
        <v>43748</v>
      </c>
      <c r="C56" s="1" t="n">
        <v>45584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54296-2019</t>
        </is>
      </c>
      <c r="B57" s="1" t="n">
        <v>43753</v>
      </c>
      <c r="C57" s="1" t="n">
        <v>45584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54304-2019</t>
        </is>
      </c>
      <c r="B58" s="1" t="n">
        <v>43753</v>
      </c>
      <c r="C58" s="1" t="n">
        <v>45584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56135-2019</t>
        </is>
      </c>
      <c r="B59" s="1" t="n">
        <v>43761</v>
      </c>
      <c r="C59" s="1" t="n">
        <v>45584</v>
      </c>
      <c r="D59" t="inlineStr">
        <is>
          <t>DALARNAS LÄN</t>
        </is>
      </c>
      <c r="E59" t="inlineStr">
        <is>
          <t>SÄTER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56456-2019</t>
        </is>
      </c>
      <c r="B60" s="1" t="n">
        <v>43762</v>
      </c>
      <c r="C60" s="1" t="n">
        <v>45584</v>
      </c>
      <c r="D60" t="inlineStr">
        <is>
          <t>DALARNAS LÄN</t>
        </is>
      </c>
      <c r="E60" t="inlineStr">
        <is>
          <t>SÄTER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58419-2019</t>
        </is>
      </c>
      <c r="B61" s="1" t="n">
        <v>43773</v>
      </c>
      <c r="C61" s="1" t="n">
        <v>45584</v>
      </c>
      <c r="D61" t="inlineStr">
        <is>
          <t>DALARNAS LÄN</t>
        </is>
      </c>
      <c r="E61" t="inlineStr">
        <is>
          <t>SÄTER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59180-2019</t>
        </is>
      </c>
      <c r="B62" s="1" t="n">
        <v>43775</v>
      </c>
      <c r="C62" s="1" t="n">
        <v>45584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59199-2019</t>
        </is>
      </c>
      <c r="B63" s="1" t="n">
        <v>43775</v>
      </c>
      <c r="C63" s="1" t="n">
        <v>45584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59241-2019</t>
        </is>
      </c>
      <c r="B64" s="1" t="n">
        <v>43775</v>
      </c>
      <c r="C64" s="1" t="n">
        <v>45584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59240-2019</t>
        </is>
      </c>
      <c r="B65" s="1" t="n">
        <v>43775</v>
      </c>
      <c r="C65" s="1" t="n">
        <v>45584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59189-2019</t>
        </is>
      </c>
      <c r="B66" s="1" t="n">
        <v>43775</v>
      </c>
      <c r="C66" s="1" t="n">
        <v>45584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60937-2019</t>
        </is>
      </c>
      <c r="B67" s="1" t="n">
        <v>43780</v>
      </c>
      <c r="C67" s="1" t="n">
        <v>45584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60810-2019</t>
        </is>
      </c>
      <c r="B68" s="1" t="n">
        <v>43781</v>
      </c>
      <c r="C68" s="1" t="n">
        <v>45584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60804-2019</t>
        </is>
      </c>
      <c r="B69" s="1" t="n">
        <v>43781</v>
      </c>
      <c r="C69" s="1" t="n">
        <v>45584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64757-2019</t>
        </is>
      </c>
      <c r="B70" s="1" t="n">
        <v>43801</v>
      </c>
      <c r="C70" s="1" t="n">
        <v>45584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66137-2019</t>
        </is>
      </c>
      <c r="B71" s="1" t="n">
        <v>43801</v>
      </c>
      <c r="C71" s="1" t="n">
        <v>45584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67625-2019</t>
        </is>
      </c>
      <c r="B72" s="1" t="n">
        <v>43815</v>
      </c>
      <c r="C72" s="1" t="n">
        <v>45584</v>
      </c>
      <c r="D72" t="inlineStr">
        <is>
          <t>DALARNAS LÄN</t>
        </is>
      </c>
      <c r="E72" t="inlineStr">
        <is>
          <t>SÄTER</t>
        </is>
      </c>
      <c r="F72" t="inlineStr">
        <is>
          <t>Kommuner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68894-2019</t>
        </is>
      </c>
      <c r="B73" s="1" t="n">
        <v>43822</v>
      </c>
      <c r="C73" s="1" t="n">
        <v>45584</v>
      </c>
      <c r="D73" t="inlineStr">
        <is>
          <t>DALARNAS LÄN</t>
        </is>
      </c>
      <c r="E73" t="inlineStr">
        <is>
          <t>SÄTER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10994-2020</t>
        </is>
      </c>
      <c r="B74" s="1" t="n">
        <v>43889</v>
      </c>
      <c r="C74" s="1" t="n">
        <v>45584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14447-2020</t>
        </is>
      </c>
      <c r="B75" s="1" t="n">
        <v>43900</v>
      </c>
      <c r="C75" s="1" t="n">
        <v>45584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13204-2020</t>
        </is>
      </c>
      <c r="B76" s="1" t="n">
        <v>43901</v>
      </c>
      <c r="C76" s="1" t="n">
        <v>45584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14119-2020</t>
        </is>
      </c>
      <c r="B77" s="1" t="n">
        <v>43907</v>
      </c>
      <c r="C77" s="1" t="n">
        <v>45584</v>
      </c>
      <c r="D77" t="inlineStr">
        <is>
          <t>DALARNAS LÄN</t>
        </is>
      </c>
      <c r="E77" t="inlineStr">
        <is>
          <t>SÄTER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14129-2020</t>
        </is>
      </c>
      <c r="B78" s="1" t="n">
        <v>43907</v>
      </c>
      <c r="C78" s="1" t="n">
        <v>45584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14188-2020</t>
        </is>
      </c>
      <c r="B79" s="1" t="n">
        <v>43907</v>
      </c>
      <c r="C79" s="1" t="n">
        <v>45584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14311-2020</t>
        </is>
      </c>
      <c r="B80" s="1" t="n">
        <v>43907</v>
      </c>
      <c r="C80" s="1" t="n">
        <v>45584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14146-2020</t>
        </is>
      </c>
      <c r="B81" s="1" t="n">
        <v>43907</v>
      </c>
      <c r="C81" s="1" t="n">
        <v>45584</v>
      </c>
      <c r="D81" t="inlineStr">
        <is>
          <t>DALARNAS LÄN</t>
        </is>
      </c>
      <c r="E81" t="inlineStr">
        <is>
          <t>SÄTER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14987-2020</t>
        </is>
      </c>
      <c r="B82" s="1" t="n">
        <v>43910</v>
      </c>
      <c r="C82" s="1" t="n">
        <v>45584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15779-2020</t>
        </is>
      </c>
      <c r="B83" s="1" t="n">
        <v>43915</v>
      </c>
      <c r="C83" s="1" t="n">
        <v>45584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17865-2020</t>
        </is>
      </c>
      <c r="B84" s="1" t="n">
        <v>43924</v>
      </c>
      <c r="C84" s="1" t="n">
        <v>45584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17708-2020</t>
        </is>
      </c>
      <c r="B85" s="1" t="n">
        <v>43924</v>
      </c>
      <c r="C85" s="1" t="n">
        <v>45584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17939-2020</t>
        </is>
      </c>
      <c r="B86" s="1" t="n">
        <v>43924</v>
      </c>
      <c r="C86" s="1" t="n">
        <v>45584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19695-2020</t>
        </is>
      </c>
      <c r="B87" s="1" t="n">
        <v>43941</v>
      </c>
      <c r="C87" s="1" t="n">
        <v>45584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20491-2020</t>
        </is>
      </c>
      <c r="B88" s="1" t="n">
        <v>43948</v>
      </c>
      <c r="C88" s="1" t="n">
        <v>45584</v>
      </c>
      <c r="D88" t="inlineStr">
        <is>
          <t>DALARNAS LÄN</t>
        </is>
      </c>
      <c r="E88" t="inlineStr">
        <is>
          <t>SÄTER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21630-2020</t>
        </is>
      </c>
      <c r="B89" s="1" t="n">
        <v>43957</v>
      </c>
      <c r="C89" s="1" t="n">
        <v>45584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24252-2020</t>
        </is>
      </c>
      <c r="B90" s="1" t="n">
        <v>43976</v>
      </c>
      <c r="C90" s="1" t="n">
        <v>45584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26952-2020</t>
        </is>
      </c>
      <c r="B91" s="1" t="n">
        <v>43990</v>
      </c>
      <c r="C91" s="1" t="n">
        <v>45584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29233-2020</t>
        </is>
      </c>
      <c r="B92" s="1" t="n">
        <v>44004</v>
      </c>
      <c r="C92" s="1" t="n">
        <v>45584</v>
      </c>
      <c r="D92" t="inlineStr">
        <is>
          <t>DALARNAS LÄN</t>
        </is>
      </c>
      <c r="E92" t="inlineStr">
        <is>
          <t>SÄTER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29639-2020</t>
        </is>
      </c>
      <c r="B93" s="1" t="n">
        <v>44005</v>
      </c>
      <c r="C93" s="1" t="n">
        <v>45584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30294-2020</t>
        </is>
      </c>
      <c r="B94" s="1" t="n">
        <v>44007</v>
      </c>
      <c r="C94" s="1" t="n">
        <v>45584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30906-2020</t>
        </is>
      </c>
      <c r="B95" s="1" t="n">
        <v>44011</v>
      </c>
      <c r="C95" s="1" t="n">
        <v>45584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30846-2020</t>
        </is>
      </c>
      <c r="B96" s="1" t="n">
        <v>44011</v>
      </c>
      <c r="C96" s="1" t="n">
        <v>45584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31553-2020</t>
        </is>
      </c>
      <c r="B97" s="1" t="n">
        <v>44013</v>
      </c>
      <c r="C97" s="1" t="n">
        <v>45584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32648-2020</t>
        </is>
      </c>
      <c r="B98" s="1" t="n">
        <v>44019</v>
      </c>
      <c r="C98" s="1" t="n">
        <v>45584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33252-2020</t>
        </is>
      </c>
      <c r="B99" s="1" t="n">
        <v>44022</v>
      </c>
      <c r="C99" s="1" t="n">
        <v>45584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33831-2020</t>
        </is>
      </c>
      <c r="B100" s="1" t="n">
        <v>44027</v>
      </c>
      <c r="C100" s="1" t="n">
        <v>45584</v>
      </c>
      <c r="D100" t="inlineStr">
        <is>
          <t>DALARNAS LÄN</t>
        </is>
      </c>
      <c r="E100" t="inlineStr">
        <is>
          <t>SÄTER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34042-2020</t>
        </is>
      </c>
      <c r="B101" s="1" t="n">
        <v>44028</v>
      </c>
      <c r="C101" s="1" t="n">
        <v>45584</v>
      </c>
      <c r="D101" t="inlineStr">
        <is>
          <t>DALARNAS LÄN</t>
        </is>
      </c>
      <c r="E101" t="inlineStr">
        <is>
          <t>SÄTER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37280-2020</t>
        </is>
      </c>
      <c r="B102" s="1" t="n">
        <v>44055</v>
      </c>
      <c r="C102" s="1" t="n">
        <v>45584</v>
      </c>
      <c r="D102" t="inlineStr">
        <is>
          <t>DALARNAS LÄN</t>
        </is>
      </c>
      <c r="E102" t="inlineStr">
        <is>
          <t>SÄTER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38961-2020</t>
        </is>
      </c>
      <c r="B103" s="1" t="n">
        <v>44062</v>
      </c>
      <c r="C103" s="1" t="n">
        <v>45584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40091-2020</t>
        </is>
      </c>
      <c r="B104" s="1" t="n">
        <v>44068</v>
      </c>
      <c r="C104" s="1" t="n">
        <v>45584</v>
      </c>
      <c r="D104" t="inlineStr">
        <is>
          <t>DALARNAS LÄN</t>
        </is>
      </c>
      <c r="E104" t="inlineStr">
        <is>
          <t>SÄTER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40844-2020</t>
        </is>
      </c>
      <c r="B105" s="1" t="n">
        <v>44070</v>
      </c>
      <c r="C105" s="1" t="n">
        <v>45584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40898-2020</t>
        </is>
      </c>
      <c r="B106" s="1" t="n">
        <v>44070</v>
      </c>
      <c r="C106" s="1" t="n">
        <v>45584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40974-2020</t>
        </is>
      </c>
      <c r="B107" s="1" t="n">
        <v>44070</v>
      </c>
      <c r="C107" s="1" t="n">
        <v>45584</v>
      </c>
      <c r="D107" t="inlineStr">
        <is>
          <t>DALARNAS LÄN</t>
        </is>
      </c>
      <c r="E107" t="inlineStr">
        <is>
          <t>SÄTER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40977-2020</t>
        </is>
      </c>
      <c r="B108" s="1" t="n">
        <v>44070</v>
      </c>
      <c r="C108" s="1" t="n">
        <v>45584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41567-2020</t>
        </is>
      </c>
      <c r="B109" s="1" t="n">
        <v>44074</v>
      </c>
      <c r="C109" s="1" t="n">
        <v>45584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42482-2020</t>
        </is>
      </c>
      <c r="B110" s="1" t="n">
        <v>44077</v>
      </c>
      <c r="C110" s="1" t="n">
        <v>45584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43234-2020</t>
        </is>
      </c>
      <c r="B111" s="1" t="n">
        <v>44081</v>
      </c>
      <c r="C111" s="1" t="n">
        <v>45584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44265-2020</t>
        </is>
      </c>
      <c r="B112" s="1" t="n">
        <v>44084</v>
      </c>
      <c r="C112" s="1" t="n">
        <v>45584</v>
      </c>
      <c r="D112" t="inlineStr">
        <is>
          <t>DALARNAS LÄN</t>
        </is>
      </c>
      <c r="E112" t="inlineStr">
        <is>
          <t>SÄTER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45728-2020</t>
        </is>
      </c>
      <c r="B113" s="1" t="n">
        <v>44090</v>
      </c>
      <c r="C113" s="1" t="n">
        <v>45584</v>
      </c>
      <c r="D113" t="inlineStr">
        <is>
          <t>DALARNAS LÄN</t>
        </is>
      </c>
      <c r="E113" t="inlineStr">
        <is>
          <t>SÄTER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46687-2020</t>
        </is>
      </c>
      <c r="B114" s="1" t="n">
        <v>44095</v>
      </c>
      <c r="C114" s="1" t="n">
        <v>45584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48500-2020</t>
        </is>
      </c>
      <c r="B115" s="1" t="n">
        <v>44102</v>
      </c>
      <c r="C115" s="1" t="n">
        <v>45584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48519-2020</t>
        </is>
      </c>
      <c r="B116" s="1" t="n">
        <v>44103</v>
      </c>
      <c r="C116" s="1" t="n">
        <v>45584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53518-2020</t>
        </is>
      </c>
      <c r="B117" s="1" t="n">
        <v>44124</v>
      </c>
      <c r="C117" s="1" t="n">
        <v>45584</v>
      </c>
      <c r="D117" t="inlineStr">
        <is>
          <t>DALARNAS LÄN</t>
        </is>
      </c>
      <c r="E117" t="inlineStr">
        <is>
          <t>SÄTER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54317-2020</t>
        </is>
      </c>
      <c r="B118" s="1" t="n">
        <v>44126</v>
      </c>
      <c r="C118" s="1" t="n">
        <v>45584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55911-2020</t>
        </is>
      </c>
      <c r="B119" s="1" t="n">
        <v>44132</v>
      </c>
      <c r="C119" s="1" t="n">
        <v>45584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56379-2020</t>
        </is>
      </c>
      <c r="B120" s="1" t="n">
        <v>44136</v>
      </c>
      <c r="C120" s="1" t="n">
        <v>45584</v>
      </c>
      <c r="D120" t="inlineStr">
        <is>
          <t>DALARNAS LÄN</t>
        </is>
      </c>
      <c r="E120" t="inlineStr">
        <is>
          <t>SÄTER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58309-2020</t>
        </is>
      </c>
      <c r="B121" s="1" t="n">
        <v>44141</v>
      </c>
      <c r="C121" s="1" t="n">
        <v>45584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59195-2020</t>
        </is>
      </c>
      <c r="B122" s="1" t="n">
        <v>44147</v>
      </c>
      <c r="C122" s="1" t="n">
        <v>45584</v>
      </c>
      <c r="D122" t="inlineStr">
        <is>
          <t>DALARNAS LÄN</t>
        </is>
      </c>
      <c r="E122" t="inlineStr">
        <is>
          <t>SÄTER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60639-2020</t>
        </is>
      </c>
      <c r="B123" s="1" t="n">
        <v>44153</v>
      </c>
      <c r="C123" s="1" t="n">
        <v>45584</v>
      </c>
      <c r="D123" t="inlineStr">
        <is>
          <t>DALARNAS LÄN</t>
        </is>
      </c>
      <c r="E123" t="inlineStr">
        <is>
          <t>SÄTER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60628-2020</t>
        </is>
      </c>
      <c r="B124" s="1" t="n">
        <v>44153</v>
      </c>
      <c r="C124" s="1" t="n">
        <v>45584</v>
      </c>
      <c r="D124" t="inlineStr">
        <is>
          <t>DALARNAS LÄN</t>
        </is>
      </c>
      <c r="E124" t="inlineStr">
        <is>
          <t>SÄTER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60882-2020</t>
        </is>
      </c>
      <c r="B125" s="1" t="n">
        <v>44154</v>
      </c>
      <c r="C125" s="1" t="n">
        <v>45584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64466-2020</t>
        </is>
      </c>
      <c r="B126" s="1" t="n">
        <v>44168</v>
      </c>
      <c r="C126" s="1" t="n">
        <v>45584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64469-2020</t>
        </is>
      </c>
      <c r="B127" s="1" t="n">
        <v>44168</v>
      </c>
      <c r="C127" s="1" t="n">
        <v>45584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64467-2020</t>
        </is>
      </c>
      <c r="B128" s="1" t="n">
        <v>44168</v>
      </c>
      <c r="C128" s="1" t="n">
        <v>45584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65949-2020</t>
        </is>
      </c>
      <c r="B129" s="1" t="n">
        <v>44175</v>
      </c>
      <c r="C129" s="1" t="n">
        <v>45584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1915-2021</t>
        </is>
      </c>
      <c r="B130" s="1" t="n">
        <v>44210</v>
      </c>
      <c r="C130" s="1" t="n">
        <v>45584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1912-2021</t>
        </is>
      </c>
      <c r="B131" s="1" t="n">
        <v>44210</v>
      </c>
      <c r="C131" s="1" t="n">
        <v>45584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1918-2021</t>
        </is>
      </c>
      <c r="B132" s="1" t="n">
        <v>44210</v>
      </c>
      <c r="C132" s="1" t="n">
        <v>45584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2606-2021</t>
        </is>
      </c>
      <c r="B133" s="1" t="n">
        <v>44215</v>
      </c>
      <c r="C133" s="1" t="n">
        <v>45584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6772-2021</t>
        </is>
      </c>
      <c r="B134" s="1" t="n">
        <v>44236</v>
      </c>
      <c r="C134" s="1" t="n">
        <v>45584</v>
      </c>
      <c r="D134" t="inlineStr">
        <is>
          <t>DALARNAS LÄN</t>
        </is>
      </c>
      <c r="E134" t="inlineStr">
        <is>
          <t>SÄTER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9716-2021</t>
        </is>
      </c>
      <c r="B135" s="1" t="n">
        <v>44252</v>
      </c>
      <c r="C135" s="1" t="n">
        <v>45584</v>
      </c>
      <c r="D135" t="inlineStr">
        <is>
          <t>DALARNAS LÄN</t>
        </is>
      </c>
      <c r="E135" t="inlineStr">
        <is>
          <t>SÄTER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13363-2021</t>
        </is>
      </c>
      <c r="B136" s="1" t="n">
        <v>44273</v>
      </c>
      <c r="C136" s="1" t="n">
        <v>45584</v>
      </c>
      <c r="D136" t="inlineStr">
        <is>
          <t>DALARNAS LÄN</t>
        </is>
      </c>
      <c r="E136" t="inlineStr">
        <is>
          <t>SÄTER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15922-2021</t>
        </is>
      </c>
      <c r="B137" s="1" t="n">
        <v>44287</v>
      </c>
      <c r="C137" s="1" t="n">
        <v>45584</v>
      </c>
      <c r="D137" t="inlineStr">
        <is>
          <t>DALARNAS LÄN</t>
        </is>
      </c>
      <c r="E137" t="inlineStr">
        <is>
          <t>SÄTER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16519-2021</t>
        </is>
      </c>
      <c r="B138" s="1" t="n">
        <v>44293</v>
      </c>
      <c r="C138" s="1" t="n">
        <v>45584</v>
      </c>
      <c r="D138" t="inlineStr">
        <is>
          <t>DALARNAS LÄN</t>
        </is>
      </c>
      <c r="E138" t="inlineStr">
        <is>
          <t>SÄTER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17303-2021</t>
        </is>
      </c>
      <c r="B139" s="1" t="n">
        <v>44298</v>
      </c>
      <c r="C139" s="1" t="n">
        <v>45584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19125-2021</t>
        </is>
      </c>
      <c r="B140" s="1" t="n">
        <v>44308</v>
      </c>
      <c r="C140" s="1" t="n">
        <v>45584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19745-2021</t>
        </is>
      </c>
      <c r="B141" s="1" t="n">
        <v>44313</v>
      </c>
      <c r="C141" s="1" t="n">
        <v>45584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20956-2021</t>
        </is>
      </c>
      <c r="B142" s="1" t="n">
        <v>44319</v>
      </c>
      <c r="C142" s="1" t="n">
        <v>45584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22604-2021</t>
        </is>
      </c>
      <c r="B143" s="1" t="n">
        <v>44327</v>
      </c>
      <c r="C143" s="1" t="n">
        <v>45584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30047-2021</t>
        </is>
      </c>
      <c r="B144" s="1" t="n">
        <v>44363</v>
      </c>
      <c r="C144" s="1" t="n">
        <v>45584</v>
      </c>
      <c r="D144" t="inlineStr">
        <is>
          <t>DALARNAS LÄN</t>
        </is>
      </c>
      <c r="E144" t="inlineStr">
        <is>
          <t>SÄTER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31574-2021</t>
        </is>
      </c>
      <c r="B145" s="1" t="n">
        <v>44369</v>
      </c>
      <c r="C145" s="1" t="n">
        <v>45584</v>
      </c>
      <c r="D145" t="inlineStr">
        <is>
          <t>DALARNAS LÄN</t>
        </is>
      </c>
      <c r="E145" t="inlineStr">
        <is>
          <t>SÄTER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31610-2021</t>
        </is>
      </c>
      <c r="B146" s="1" t="n">
        <v>44369</v>
      </c>
      <c r="C146" s="1" t="n">
        <v>45584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45584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39775-2021</t>
        </is>
      </c>
      <c r="B148" s="1" t="n">
        <v>44417</v>
      </c>
      <c r="C148" s="1" t="n">
        <v>45584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41573-2021</t>
        </is>
      </c>
      <c r="B149" s="1" t="n">
        <v>44425</v>
      </c>
      <c r="C149" s="1" t="n">
        <v>45584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41556-2021</t>
        </is>
      </c>
      <c r="B150" s="1" t="n">
        <v>44425</v>
      </c>
      <c r="C150" s="1" t="n">
        <v>45584</v>
      </c>
      <c r="D150" t="inlineStr">
        <is>
          <t>DALARNAS LÄN</t>
        </is>
      </c>
      <c r="E150" t="inlineStr">
        <is>
          <t>SÄTER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</v>
      </c>
      <c r="C151" s="1" t="n">
        <v>45584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43725-2021</t>
        </is>
      </c>
      <c r="B152" s="1" t="n">
        <v>44433</v>
      </c>
      <c r="C152" s="1" t="n">
        <v>45584</v>
      </c>
      <c r="D152" t="inlineStr">
        <is>
          <t>DALARNAS LÄN</t>
        </is>
      </c>
      <c r="E152" t="inlineStr">
        <is>
          <t>SÄTER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45161-2021</t>
        </is>
      </c>
      <c r="B153" s="1" t="n">
        <v>44439</v>
      </c>
      <c r="C153" s="1" t="n">
        <v>45584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46494-2021</t>
        </is>
      </c>
      <c r="B154" s="1" t="n">
        <v>44445</v>
      </c>
      <c r="C154" s="1" t="n">
        <v>45584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46559-2021</t>
        </is>
      </c>
      <c r="B155" s="1" t="n">
        <v>44445</v>
      </c>
      <c r="C155" s="1" t="n">
        <v>45584</v>
      </c>
      <c r="D155" t="inlineStr">
        <is>
          <t>DALARNAS LÄN</t>
        </is>
      </c>
      <c r="E155" t="inlineStr">
        <is>
          <t>SÄTER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47086-2021</t>
        </is>
      </c>
      <c r="B156" s="1" t="n">
        <v>44446</v>
      </c>
      <c r="C156" s="1" t="n">
        <v>45584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47064-2021</t>
        </is>
      </c>
      <c r="B157" s="1" t="n">
        <v>44446</v>
      </c>
      <c r="C157" s="1" t="n">
        <v>45584</v>
      </c>
      <c r="D157" t="inlineStr">
        <is>
          <t>DALARNAS LÄN</t>
        </is>
      </c>
      <c r="E157" t="inlineStr">
        <is>
          <t>SÄTER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47854-2021</t>
        </is>
      </c>
      <c r="B158" s="1" t="n">
        <v>44448</v>
      </c>
      <c r="C158" s="1" t="n">
        <v>45584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49756-2021</t>
        </is>
      </c>
      <c r="B159" s="1" t="n">
        <v>44455</v>
      </c>
      <c r="C159" s="1" t="n">
        <v>45584</v>
      </c>
      <c r="D159" t="inlineStr">
        <is>
          <t>DALARNAS LÄN</t>
        </is>
      </c>
      <c r="E159" t="inlineStr">
        <is>
          <t>SÄTER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49563-2021</t>
        </is>
      </c>
      <c r="B160" s="1" t="n">
        <v>44455</v>
      </c>
      <c r="C160" s="1" t="n">
        <v>45584</v>
      </c>
      <c r="D160" t="inlineStr">
        <is>
          <t>DALARNAS LÄN</t>
        </is>
      </c>
      <c r="E160" t="inlineStr">
        <is>
          <t>SÄTER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49661-2021</t>
        </is>
      </c>
      <c r="B161" s="1" t="n">
        <v>44455</v>
      </c>
      <c r="C161" s="1" t="n">
        <v>45584</v>
      </c>
      <c r="D161" t="inlineStr">
        <is>
          <t>DALARNAS LÄN</t>
        </is>
      </c>
      <c r="E161" t="inlineStr">
        <is>
          <t>SÄTER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50443-2021</t>
        </is>
      </c>
      <c r="B162" s="1" t="n">
        <v>44456</v>
      </c>
      <c r="C162" s="1" t="n">
        <v>45584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52190-2021</t>
        </is>
      </c>
      <c r="B163" s="1" t="n">
        <v>44462</v>
      </c>
      <c r="C163" s="1" t="n">
        <v>45584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52220-2021</t>
        </is>
      </c>
      <c r="B164" s="1" t="n">
        <v>44462</v>
      </c>
      <c r="C164" s="1" t="n">
        <v>45584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52262-2021</t>
        </is>
      </c>
      <c r="B165" s="1" t="n">
        <v>44463</v>
      </c>
      <c r="C165" s="1" t="n">
        <v>45584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52193-2021</t>
        </is>
      </c>
      <c r="B166" s="1" t="n">
        <v>44463</v>
      </c>
      <c r="C166" s="1" t="n">
        <v>45584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53852-2021</t>
        </is>
      </c>
      <c r="B167" s="1" t="n">
        <v>44469</v>
      </c>
      <c r="C167" s="1" t="n">
        <v>45584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55328-2021</t>
        </is>
      </c>
      <c r="B168" s="1" t="n">
        <v>44475</v>
      </c>
      <c r="C168" s="1" t="n">
        <v>45584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59393-2021</t>
        </is>
      </c>
      <c r="B169" s="1" t="n">
        <v>44491</v>
      </c>
      <c r="C169" s="1" t="n">
        <v>45584</v>
      </c>
      <c r="D169" t="inlineStr">
        <is>
          <t>DALARNAS LÄN</t>
        </is>
      </c>
      <c r="E169" t="inlineStr">
        <is>
          <t>SÄTER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61400-2021</t>
        </is>
      </c>
      <c r="B170" s="1" t="n">
        <v>44500</v>
      </c>
      <c r="C170" s="1" t="n">
        <v>45584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61934-2021</t>
        </is>
      </c>
      <c r="B171" s="1" t="n">
        <v>44502</v>
      </c>
      <c r="C171" s="1" t="n">
        <v>45584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62389-2021</t>
        </is>
      </c>
      <c r="B172" s="1" t="n">
        <v>44503</v>
      </c>
      <c r="C172" s="1" t="n">
        <v>45584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64615-2021</t>
        </is>
      </c>
      <c r="B173" s="1" t="n">
        <v>44511</v>
      </c>
      <c r="C173" s="1" t="n">
        <v>45584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65388-2021</t>
        </is>
      </c>
      <c r="B174" s="1" t="n">
        <v>44515</v>
      </c>
      <c r="C174" s="1" t="n">
        <v>45584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68419-2021</t>
        </is>
      </c>
      <c r="B175" s="1" t="n">
        <v>44529</v>
      </c>
      <c r="C175" s="1" t="n">
        <v>45584</v>
      </c>
      <c r="D175" t="inlineStr">
        <is>
          <t>DALARNAS LÄN</t>
        </is>
      </c>
      <c r="E175" t="inlineStr">
        <is>
          <t>SÄTER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69192-2021</t>
        </is>
      </c>
      <c r="B176" s="1" t="n">
        <v>44531</v>
      </c>
      <c r="C176" s="1" t="n">
        <v>45584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69619-2021</t>
        </is>
      </c>
      <c r="B177" s="1" t="n">
        <v>44532</v>
      </c>
      <c r="C177" s="1" t="n">
        <v>45584</v>
      </c>
      <c r="D177" t="inlineStr">
        <is>
          <t>DALARNAS LÄN</t>
        </is>
      </c>
      <c r="E177" t="inlineStr">
        <is>
          <t>SÄTER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69744-2021</t>
        </is>
      </c>
      <c r="B178" s="1" t="n">
        <v>44532</v>
      </c>
      <c r="C178" s="1" t="n">
        <v>45584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72128-2021</t>
        </is>
      </c>
      <c r="B179" s="1" t="n">
        <v>44544</v>
      </c>
      <c r="C179" s="1" t="n">
        <v>45584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72518-2021</t>
        </is>
      </c>
      <c r="B180" s="1" t="n">
        <v>44546</v>
      </c>
      <c r="C180" s="1" t="n">
        <v>45584</v>
      </c>
      <c r="D180" t="inlineStr">
        <is>
          <t>DALARNAS LÄN</t>
        </is>
      </c>
      <c r="E180" t="inlineStr">
        <is>
          <t>SÄTER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72987-2021</t>
        </is>
      </c>
      <c r="B181" s="1" t="n">
        <v>44549</v>
      </c>
      <c r="C181" s="1" t="n">
        <v>45584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1276-2022</t>
        </is>
      </c>
      <c r="B182" s="1" t="n">
        <v>44572</v>
      </c>
      <c r="C182" s="1" t="n">
        <v>45584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45584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2623-2022</t>
        </is>
      </c>
      <c r="B184" s="1" t="n">
        <v>44580</v>
      </c>
      <c r="C184" s="1" t="n">
        <v>45584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2929-2022</t>
        </is>
      </c>
      <c r="B185" s="1" t="n">
        <v>44581</v>
      </c>
      <c r="C185" s="1" t="n">
        <v>45584</v>
      </c>
      <c r="D185" t="inlineStr">
        <is>
          <t>DALARNAS LÄN</t>
        </is>
      </c>
      <c r="E185" t="inlineStr">
        <is>
          <t>SÄTER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3342-2022</t>
        </is>
      </c>
      <c r="B186" s="1" t="n">
        <v>44585</v>
      </c>
      <c r="C186" s="1" t="n">
        <v>45584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5232-2022</t>
        </is>
      </c>
      <c r="B187" s="1" t="n">
        <v>44594</v>
      </c>
      <c r="C187" s="1" t="n">
        <v>45584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6466-2022</t>
        </is>
      </c>
      <c r="B188" s="1" t="n">
        <v>44601</v>
      </c>
      <c r="C188" s="1" t="n">
        <v>45584</v>
      </c>
      <c r="D188" t="inlineStr">
        <is>
          <t>DALARNAS LÄN</t>
        </is>
      </c>
      <c r="E188" t="inlineStr">
        <is>
          <t>SÄTER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6888-2022</t>
        </is>
      </c>
      <c r="B189" s="1" t="n">
        <v>44602</v>
      </c>
      <c r="C189" s="1" t="n">
        <v>45584</v>
      </c>
      <c r="D189" t="inlineStr">
        <is>
          <t>DALARNAS LÄN</t>
        </is>
      </c>
      <c r="E189" t="inlineStr">
        <is>
          <t>SÄTER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6887-2022</t>
        </is>
      </c>
      <c r="B190" s="1" t="n">
        <v>44602</v>
      </c>
      <c r="C190" s="1" t="n">
        <v>45584</v>
      </c>
      <c r="D190" t="inlineStr">
        <is>
          <t>DALARNAS LÄN</t>
        </is>
      </c>
      <c r="E190" t="inlineStr">
        <is>
          <t>SÄTER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</v>
      </c>
      <c r="C191" s="1" t="n">
        <v>45584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9991-2022</t>
        </is>
      </c>
      <c r="B192" s="1" t="n">
        <v>44621</v>
      </c>
      <c r="C192" s="1" t="n">
        <v>45584</v>
      </c>
      <c r="D192" t="inlineStr">
        <is>
          <t>DALARNAS LÄN</t>
        </is>
      </c>
      <c r="E192" t="inlineStr">
        <is>
          <t>SÄTER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11416-2022</t>
        </is>
      </c>
      <c r="B193" s="1" t="n">
        <v>44630</v>
      </c>
      <c r="C193" s="1" t="n">
        <v>45584</v>
      </c>
      <c r="D193" t="inlineStr">
        <is>
          <t>DALARNAS LÄN</t>
        </is>
      </c>
      <c r="E193" t="inlineStr">
        <is>
          <t>SÄTER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12957-2022</t>
        </is>
      </c>
      <c r="B194" s="1" t="n">
        <v>44643</v>
      </c>
      <c r="C194" s="1" t="n">
        <v>45584</v>
      </c>
      <c r="D194" t="inlineStr">
        <is>
          <t>DALARNAS LÄN</t>
        </is>
      </c>
      <c r="E194" t="inlineStr">
        <is>
          <t>SÄTER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13900-2022</t>
        </is>
      </c>
      <c r="B195" s="1" t="n">
        <v>44650</v>
      </c>
      <c r="C195" s="1" t="n">
        <v>45584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13897-2022</t>
        </is>
      </c>
      <c r="B196" s="1" t="n">
        <v>44650</v>
      </c>
      <c r="C196" s="1" t="n">
        <v>45584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14989-2022</t>
        </is>
      </c>
      <c r="B197" s="1" t="n">
        <v>44657</v>
      </c>
      <c r="C197" s="1" t="n">
        <v>45584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18757-2022</t>
        </is>
      </c>
      <c r="B198" s="1" t="n">
        <v>44688</v>
      </c>
      <c r="C198" s="1" t="n">
        <v>45584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18758-2022</t>
        </is>
      </c>
      <c r="B199" s="1" t="n">
        <v>44688</v>
      </c>
      <c r="C199" s="1" t="n">
        <v>45584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19162-2022</t>
        </is>
      </c>
      <c r="B200" s="1" t="n">
        <v>44691</v>
      </c>
      <c r="C200" s="1" t="n">
        <v>45584</v>
      </c>
      <c r="D200" t="inlineStr">
        <is>
          <t>DALARNAS LÄN</t>
        </is>
      </c>
      <c r="E200" t="inlineStr">
        <is>
          <t>SÄTER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19151-2022</t>
        </is>
      </c>
      <c r="B201" s="1" t="n">
        <v>44691</v>
      </c>
      <c r="C201" s="1" t="n">
        <v>45584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21859-2022</t>
        </is>
      </c>
      <c r="B202" s="1" t="n">
        <v>44711</v>
      </c>
      <c r="C202" s="1" t="n">
        <v>45584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22905-2022</t>
        </is>
      </c>
      <c r="B203" s="1" t="n">
        <v>44715</v>
      </c>
      <c r="C203" s="1" t="n">
        <v>45584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24253-2022</t>
        </is>
      </c>
      <c r="B204" s="1" t="n">
        <v>44725</v>
      </c>
      <c r="C204" s="1" t="n">
        <v>45584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24223-2022</t>
        </is>
      </c>
      <c r="B205" s="1" t="n">
        <v>44725</v>
      </c>
      <c r="C205" s="1" t="n">
        <v>45584</v>
      </c>
      <c r="D205" t="inlineStr">
        <is>
          <t>DALARNAS LÄN</t>
        </is>
      </c>
      <c r="E205" t="inlineStr">
        <is>
          <t>SÄTER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24204-2022</t>
        </is>
      </c>
      <c r="B206" s="1" t="n">
        <v>44725</v>
      </c>
      <c r="C206" s="1" t="n">
        <v>45584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24617-2022</t>
        </is>
      </c>
      <c r="B207" s="1" t="n">
        <v>44727</v>
      </c>
      <c r="C207" s="1" t="n">
        <v>45584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25124-2022</t>
        </is>
      </c>
      <c r="B208" s="1" t="n">
        <v>44729</v>
      </c>
      <c r="C208" s="1" t="n">
        <v>45584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25690-2022</t>
        </is>
      </c>
      <c r="B209" s="1" t="n">
        <v>44732</v>
      </c>
      <c r="C209" s="1" t="n">
        <v>45584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26172-2022</t>
        </is>
      </c>
      <c r="B210" s="1" t="n">
        <v>44735</v>
      </c>
      <c r="C210" s="1" t="n">
        <v>45584</v>
      </c>
      <c r="D210" t="inlineStr">
        <is>
          <t>DALARNAS LÄN</t>
        </is>
      </c>
      <c r="E210" t="inlineStr">
        <is>
          <t>SÄTER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26503-2022</t>
        </is>
      </c>
      <c r="B211" s="1" t="n">
        <v>44739</v>
      </c>
      <c r="C211" s="1" t="n">
        <v>45584</v>
      </c>
      <c r="D211" t="inlineStr">
        <is>
          <t>DALARNAS LÄN</t>
        </is>
      </c>
      <c r="E211" t="inlineStr">
        <is>
          <t>SÄTER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28549-2022</t>
        </is>
      </c>
      <c r="B212" s="1" t="n">
        <v>44748</v>
      </c>
      <c r="C212" s="1" t="n">
        <v>45584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28427-2022</t>
        </is>
      </c>
      <c r="B213" s="1" t="n">
        <v>44748</v>
      </c>
      <c r="C213" s="1" t="n">
        <v>45584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30948-2022</t>
        </is>
      </c>
      <c r="B214" s="1" t="n">
        <v>44768</v>
      </c>
      <c r="C214" s="1" t="n">
        <v>45584</v>
      </c>
      <c r="D214" t="inlineStr">
        <is>
          <t>DALARNAS LÄN</t>
        </is>
      </c>
      <c r="E214" t="inlineStr">
        <is>
          <t>SÄTER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30944-2022</t>
        </is>
      </c>
      <c r="B215" s="1" t="n">
        <v>44768</v>
      </c>
      <c r="C215" s="1" t="n">
        <v>45584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32061-2022</t>
        </is>
      </c>
      <c r="B216" s="1" t="n">
        <v>44778</v>
      </c>
      <c r="C216" s="1" t="n">
        <v>45584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32383-2022</t>
        </is>
      </c>
      <c r="B217" s="1" t="n">
        <v>44781</v>
      </c>
      <c r="C217" s="1" t="n">
        <v>45584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32636-2022</t>
        </is>
      </c>
      <c r="B218" s="1" t="n">
        <v>44783</v>
      </c>
      <c r="C218" s="1" t="n">
        <v>45584</v>
      </c>
      <c r="D218" t="inlineStr">
        <is>
          <t>DALARNAS LÄN</t>
        </is>
      </c>
      <c r="E218" t="inlineStr">
        <is>
          <t>SÄTER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32633-2022</t>
        </is>
      </c>
      <c r="B219" s="1" t="n">
        <v>44783</v>
      </c>
      <c r="C219" s="1" t="n">
        <v>45584</v>
      </c>
      <c r="D219" t="inlineStr">
        <is>
          <t>DALARNAS LÄN</t>
        </is>
      </c>
      <c r="E219" t="inlineStr">
        <is>
          <t>SÄTER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32886-2022</t>
        </is>
      </c>
      <c r="B220" s="1" t="n">
        <v>44784</v>
      </c>
      <c r="C220" s="1" t="n">
        <v>45584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32892-2022</t>
        </is>
      </c>
      <c r="B221" s="1" t="n">
        <v>44784</v>
      </c>
      <c r="C221" s="1" t="n">
        <v>45584</v>
      </c>
      <c r="D221" t="inlineStr">
        <is>
          <t>DALARNAS LÄN</t>
        </is>
      </c>
      <c r="E221" t="inlineStr">
        <is>
          <t>SÄTER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32904-2022</t>
        </is>
      </c>
      <c r="B222" s="1" t="n">
        <v>44784</v>
      </c>
      <c r="C222" s="1" t="n">
        <v>45584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33473-2022</t>
        </is>
      </c>
      <c r="B223" s="1" t="n">
        <v>44788</v>
      </c>
      <c r="C223" s="1" t="n">
        <v>45584</v>
      </c>
      <c r="D223" t="inlineStr">
        <is>
          <t>DALARNAS LÄN</t>
        </is>
      </c>
      <c r="E223" t="inlineStr">
        <is>
          <t>SÄTER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33605-2022</t>
        </is>
      </c>
      <c r="B224" s="1" t="n">
        <v>44789</v>
      </c>
      <c r="C224" s="1" t="n">
        <v>45584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36776-2022</t>
        </is>
      </c>
      <c r="B225" s="1" t="n">
        <v>44805</v>
      </c>
      <c r="C225" s="1" t="n">
        <v>45584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36907-2022</t>
        </is>
      </c>
      <c r="B226" s="1" t="n">
        <v>44805</v>
      </c>
      <c r="C226" s="1" t="n">
        <v>45584</v>
      </c>
      <c r="D226" t="inlineStr">
        <is>
          <t>DALARNAS LÄN</t>
        </is>
      </c>
      <c r="E226" t="inlineStr">
        <is>
          <t>SÄTER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37440-2022</t>
        </is>
      </c>
      <c r="B227" s="1" t="n">
        <v>44809</v>
      </c>
      <c r="C227" s="1" t="n">
        <v>45584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37923-2022</t>
        </is>
      </c>
      <c r="B228" s="1" t="n">
        <v>44811</v>
      </c>
      <c r="C228" s="1" t="n">
        <v>45584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38055-2022</t>
        </is>
      </c>
      <c r="B229" s="1" t="n">
        <v>44811</v>
      </c>
      <c r="C229" s="1" t="n">
        <v>45584</v>
      </c>
      <c r="D229" t="inlineStr">
        <is>
          <t>DALARNAS LÄN</t>
        </is>
      </c>
      <c r="E229" t="inlineStr">
        <is>
          <t>SÄTER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38243-2022</t>
        </is>
      </c>
      <c r="B230" s="1" t="n">
        <v>44812</v>
      </c>
      <c r="C230" s="1" t="n">
        <v>45584</v>
      </c>
      <c r="D230" t="inlineStr">
        <is>
          <t>DALARNAS LÄN</t>
        </is>
      </c>
      <c r="E230" t="inlineStr">
        <is>
          <t>SÄTER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38240-2022</t>
        </is>
      </c>
      <c r="B231" s="1" t="n">
        <v>44812</v>
      </c>
      <c r="C231" s="1" t="n">
        <v>45584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39460-2022</t>
        </is>
      </c>
      <c r="B232" s="1" t="n">
        <v>44817</v>
      </c>
      <c r="C232" s="1" t="n">
        <v>45584</v>
      </c>
      <c r="D232" t="inlineStr">
        <is>
          <t>DALARNAS LÄN</t>
        </is>
      </c>
      <c r="E232" t="inlineStr">
        <is>
          <t>SÄTER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39487-2022</t>
        </is>
      </c>
      <c r="B233" s="1" t="n">
        <v>44817</v>
      </c>
      <c r="C233" s="1" t="n">
        <v>45584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39742-2022</t>
        </is>
      </c>
      <c r="B234" s="1" t="n">
        <v>44819</v>
      </c>
      <c r="C234" s="1" t="n">
        <v>45584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42225-2022</t>
        </is>
      </c>
      <c r="B235" s="1" t="n">
        <v>44830</v>
      </c>
      <c r="C235" s="1" t="n">
        <v>45584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43596-2022</t>
        </is>
      </c>
      <c r="B236" s="1" t="n">
        <v>44837</v>
      </c>
      <c r="C236" s="1" t="n">
        <v>45584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45225-2022</t>
        </is>
      </c>
      <c r="B237" s="1" t="n">
        <v>44840</v>
      </c>
      <c r="C237" s="1" t="n">
        <v>45584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45935-2022</t>
        </is>
      </c>
      <c r="B238" s="1" t="n">
        <v>44846</v>
      </c>
      <c r="C238" s="1" t="n">
        <v>45584</v>
      </c>
      <c r="D238" t="inlineStr">
        <is>
          <t>DALARNAS LÄN</t>
        </is>
      </c>
      <c r="E238" t="inlineStr">
        <is>
          <t>SÄTER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47675-2022</t>
        </is>
      </c>
      <c r="B239" s="1" t="n">
        <v>44854</v>
      </c>
      <c r="C239" s="1" t="n">
        <v>45584</v>
      </c>
      <c r="D239" t="inlineStr">
        <is>
          <t>DALARNAS LÄN</t>
        </is>
      </c>
      <c r="E239" t="inlineStr">
        <is>
          <t>SÄTER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48830-2022</t>
        </is>
      </c>
      <c r="B240" s="1" t="n">
        <v>44859</v>
      </c>
      <c r="C240" s="1" t="n">
        <v>45584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49321-2022</t>
        </is>
      </c>
      <c r="B241" s="1" t="n">
        <v>44861</v>
      </c>
      <c r="C241" s="1" t="n">
        <v>45584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49883-2022</t>
        </is>
      </c>
      <c r="B242" s="1" t="n">
        <v>44864</v>
      </c>
      <c r="C242" s="1" t="n">
        <v>45584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50249-2022</t>
        </is>
      </c>
      <c r="B243" s="1" t="n">
        <v>44865</v>
      </c>
      <c r="C243" s="1" t="n">
        <v>45584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50391-2022</t>
        </is>
      </c>
      <c r="B244" s="1" t="n">
        <v>44866</v>
      </c>
      <c r="C244" s="1" t="n">
        <v>45584</v>
      </c>
      <c r="D244" t="inlineStr">
        <is>
          <t>DALARNAS LÄN</t>
        </is>
      </c>
      <c r="E244" t="inlineStr">
        <is>
          <t>SÄTER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50501-2022</t>
        </is>
      </c>
      <c r="B245" s="1" t="n">
        <v>44866</v>
      </c>
      <c r="C245" s="1" t="n">
        <v>45584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50564-2022</t>
        </is>
      </c>
      <c r="B246" s="1" t="n">
        <v>44866</v>
      </c>
      <c r="C246" s="1" t="n">
        <v>45584</v>
      </c>
      <c r="D246" t="inlineStr">
        <is>
          <t>DALARNAS LÄN</t>
        </is>
      </c>
      <c r="E246" t="inlineStr">
        <is>
          <t>SÄTER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51424-2022</t>
        </is>
      </c>
      <c r="B247" s="1" t="n">
        <v>44869</v>
      </c>
      <c r="C247" s="1" t="n">
        <v>45584</v>
      </c>
      <c r="D247" t="inlineStr">
        <is>
          <t>DALARNAS LÄN</t>
        </is>
      </c>
      <c r="E247" t="inlineStr">
        <is>
          <t>SÄTER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45584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51452-2022</t>
        </is>
      </c>
      <c r="B249" s="1" t="n">
        <v>44869</v>
      </c>
      <c r="C249" s="1" t="n">
        <v>45584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53127-2022</t>
        </is>
      </c>
      <c r="B250" s="1" t="n">
        <v>44876</v>
      </c>
      <c r="C250" s="1" t="n">
        <v>45584</v>
      </c>
      <c r="D250" t="inlineStr">
        <is>
          <t>DALARNAS LÄN</t>
        </is>
      </c>
      <c r="E250" t="inlineStr">
        <is>
          <t>SÄTER</t>
        </is>
      </c>
      <c r="F250" t="inlineStr">
        <is>
          <t>Kyrkan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45584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45584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45584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45584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45584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45584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45584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45584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45584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45584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45584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45584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45584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45584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45584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45584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45584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45584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45584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45584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45584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45584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45584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45584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45584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45584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45584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45584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45584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45584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45584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45584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45584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45584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45584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45584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45584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45584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45584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45584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45584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45584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45584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45584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45584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45584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45584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45584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45584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45584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45584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45584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45584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45584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45584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45584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45584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45584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45584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45584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45584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45584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45584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45584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45584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45584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45584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45584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45584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45584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45584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45584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45584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45584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45584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45584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45584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45584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45584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45584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45584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45584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45584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45584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45584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45584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45584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45584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45584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45584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45584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45584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45584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45584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45584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45584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45584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45584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45584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45584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45584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45584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45584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45584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45584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45584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45584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45584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45584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45584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45584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45584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45584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45584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45584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45584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45584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45584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45584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45584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45584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45584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45584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45584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45584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45584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45584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45584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45584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45584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45584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45584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45479-2024</t>
        </is>
      </c>
      <c r="B507" s="1" t="n">
        <v>45576</v>
      </c>
      <c r="C507" s="1" t="n">
        <v>45584</v>
      </c>
      <c r="D507" t="inlineStr">
        <is>
          <t>DALARNAS LÄN</t>
        </is>
      </c>
      <c r="E507" t="inlineStr">
        <is>
          <t>SÄTER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45584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45584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2024-10-19T12:18:52Z</dcterms:created>
  <dcterms:modified xmlns:dcterms="http://purl.org/dc/terms/" xmlns:xsi="http://www.w3.org/2001/XMLSchema-instance" xsi:type="dcterms:W3CDTF">2024-10-19T12:18:52Z</dcterms:modified>
</cp:coreProperties>
</file>