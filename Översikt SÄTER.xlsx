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46301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46301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46301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46301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46301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46301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46301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46301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46301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46301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46301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S 2072-2022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44672</v>
      </c>
      <c r="E15" s="1" t="n">
        <v>46301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125.6</v>
      </c>
      <c r="J15" t="n">
        <v>2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5</v>
      </c>
      <c r="U15" t="n">
        <v>5</v>
      </c>
      <c r="V15" s="2" t="inlineStr">
        <is>
          <t>Knärot
Säfferot
Grovticka
Fläcknycklar</t>
        </is>
      </c>
      <c r="W15">
        <f>HYPERLINK("https://klasma.github.io/Logging_2082/artfynd/S 2072-2022 artfynd.xlsx", "S 2072-2022")</f>
        <v/>
      </c>
      <c r="X15">
        <f>HYPERLINK("https://klasma.github.io/Logging_2082/kartor/S 2072-2022 karta.png", "S 2072-2022")</f>
        <v/>
      </c>
      <c r="Y15">
        <f>HYPERLINK("https://klasma.github.io/Logging_2082/kartor_geotiff/S 2072-2022 georefererad karta.tif", "S 2072-2022")</f>
        <v/>
      </c>
      <c r="Z15">
        <f>HYPERLINK("https://klasma.github.io/Logging_2082/knärot/S 2072-2022 karta knärot.png", "S 2072-2022")</f>
        <v/>
      </c>
      <c r="AA15">
        <f>HYPERLINK("https://klasma.github.io/Logging_2082/klagomål/S 2072-2022 FSC-klagomål.docx", "S 2072-2022")</f>
        <v/>
      </c>
      <c r="AB15">
        <f>HYPERLINK("https://klasma.github.io/Logging_2082/klagomålsmail/S 2072-2022 FSC-klagomål mail.docx", "S 2072-2022")</f>
        <v/>
      </c>
      <c r="AC15">
        <f>HYPERLINK("https://klasma.github.io/Logging_2082/tillsyn/S 2072-2022 tillsynsbegäran.docx", "S 2072-2022")</f>
        <v/>
      </c>
      <c r="AD15">
        <f>HYPERLINK("https://klasma.github.io/Logging_2082/tillsynsmail/S 2072-2022 tillsynsbegäran mail.docx", "S 2072-2022")</f>
        <v/>
      </c>
    </row>
    <row r="16" ht="15" customHeight="1">
      <c r="A16" t="inlineStr">
        <is>
          <t>A 64610-2023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45281</v>
      </c>
      <c r="E16" s="1" t="n">
        <v>46301</v>
      </c>
      <c r="F16" t="inlineStr">
        <is>
          <t>DALARNAS LÄN</t>
        </is>
      </c>
      <c r="G16" t="inlineStr">
        <is>
          <t>SÄTER</t>
        </is>
      </c>
      <c r="I16" t="n">
        <v>0.9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13</v>
      </c>
      <c r="U16" t="n">
        <v>13</v>
      </c>
      <c r="V16" s="2" t="inlineStr">
        <is>
          <t>Tvåblad
Brudborste
Fläcknycklar</t>
        </is>
      </c>
      <c r="W16">
        <f>HYPERLINK("https://klasma.github.io/Logging_2082/artfynd/A 64610-2023 artfynd.xlsx", "A 64610-2023")</f>
        <v/>
      </c>
      <c r="X16">
        <f>HYPERLINK("https://klasma.github.io/Logging_2082/kartor/A 64610-2023 karta.png", "A 64610-2023")</f>
        <v/>
      </c>
      <c r="Y16">
        <f>HYPERLINK("https://klasma.github.io/Logging_2082/kartor_geotiff/A 64610-2023 georefererad karta.tif", "A 64610-2023")</f>
        <v/>
      </c>
      <c r="AA16">
        <f>HYPERLINK("https://klasma.github.io/Logging_2082/klagomål/A 64610-2023 FSC-klagomål.docx", "A 64610-2023")</f>
        <v/>
      </c>
      <c r="AB16">
        <f>HYPERLINK("https://klasma.github.io/Logging_2082/klagomålsmail/A 64610-2023 FSC-klagomål mail.docx", "A 64610-2023")</f>
        <v/>
      </c>
      <c r="AC16">
        <f>HYPERLINK("https://klasma.github.io/Logging_2082/tillsyn/A 64610-2023 tillsynsbegäran.docx", "A 64610-2023")</f>
        <v/>
      </c>
      <c r="AD16">
        <f>HYPERLINK("https://klasma.github.io/Logging_2082/tillsynsmail/A 64610-2023 tillsynsbegäran mail.docx", "A 64610-2023")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46301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46301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35916-2022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46301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2.6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7</v>
      </c>
      <c r="U19" t="n">
        <v>1</v>
      </c>
      <c r="V19" s="2" t="inlineStr">
        <is>
          <t>Slåttergubbe
Slåtterfibbla
Huggorm</t>
        </is>
      </c>
      <c r="W19">
        <f>HYPERLINK("https://klasma.github.io/Logging_2082/artfynd/A 35916-2022 artfynd.xlsx", "A 35916-2022")</f>
        <v/>
      </c>
      <c r="X19">
        <f>HYPERLINK("https://klasma.github.io/Logging_2082/kartor/A 35916-2022 karta.png", "A 35916-2022")</f>
        <v/>
      </c>
      <c r="Y19">
        <f>HYPERLINK("https://klasma.github.io/Logging_2082/kartor_geotiff/A 35916-2022 georefererad karta.tif", "A 35916-2022")</f>
        <v/>
      </c>
      <c r="AA19">
        <f>HYPERLINK("https://klasma.github.io/Logging_2082/klagomål/A 35916-2022 FSC-klagomål.docx", "A 35916-2022")</f>
        <v/>
      </c>
      <c r="AB19">
        <f>HYPERLINK("https://klasma.github.io/Logging_2082/klagomålsmail/A 35916-2022 FSC-klagomål mail.docx", "A 35916-2022")</f>
        <v/>
      </c>
      <c r="AC19">
        <f>HYPERLINK("https://klasma.github.io/Logging_2082/tillsyn/A 35916-2022 tillsynsbegäran.docx", "A 35916-2022")</f>
        <v/>
      </c>
      <c r="AD19">
        <f>HYPERLINK("https://klasma.github.io/Logging_2082/tillsynsmail/A 35916-2022 tillsynsbegäran mail.docx", "A 35916-2022")</f>
        <v/>
      </c>
    </row>
    <row r="20" ht="15" customHeight="1">
      <c r="A20" t="inlineStr">
        <is>
          <t>A 38692-2026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46281</v>
      </c>
      <c r="E20" s="1" t="n">
        <v>46301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15.5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7</v>
      </c>
      <c r="U20" t="n">
        <v>6</v>
      </c>
      <c r="V20" s="2" t="inlineStr">
        <is>
          <t>Knärot
Blåmossa
Blåsippa</t>
        </is>
      </c>
      <c r="W20">
        <f>HYPERLINK("https://klasma.github.io/Logging_2082/artfynd/A 38692-2026 artfynd.xlsx", "A 38692-2026")</f>
        <v/>
      </c>
      <c r="X20">
        <f>HYPERLINK("https://klasma.github.io/Logging_2082/kartor/A 38692-2026 karta.png", "A 38692-2026")</f>
        <v/>
      </c>
      <c r="Y20">
        <f>HYPERLINK("https://klasma.github.io/Logging_2082/kartor_geotiff/A 38692-2026 georefererad karta.tif", "A 38692-2026")</f>
        <v/>
      </c>
      <c r="Z20">
        <f>HYPERLINK("https://klasma.github.io/Logging_2082/knärot/A 38692-2026 karta knärot.png", "A 38692-2026")</f>
        <v/>
      </c>
      <c r="AA20">
        <f>HYPERLINK("https://klasma.github.io/Logging_2082/klagomål/A 38692-2026 FSC-klagomål.docx", "A 38692-2026")</f>
        <v/>
      </c>
      <c r="AB20">
        <f>HYPERLINK("https://klasma.github.io/Logging_2082/klagomålsmail/A 38692-2026 FSC-klagomål mail.docx", "A 38692-2026")</f>
        <v/>
      </c>
      <c r="AC20">
        <f>HYPERLINK("https://klasma.github.io/Logging_2082/tillsyn/A 38692-2026 tillsynsbegäran.docx", "A 38692-2026")</f>
        <v/>
      </c>
      <c r="AD20">
        <f>HYPERLINK("https://klasma.github.io/Logging_2082/tillsynsmail/A 38692-2026 tillsynsbegäran mail.docx", "A 38692-2026")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46301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46301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46301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46301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46301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46301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46301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46301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46301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5232-2022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46301</v>
      </c>
      <c r="F30" t="inlineStr">
        <is>
          <t>DALARNAS LÄN</t>
        </is>
      </c>
      <c r="G30" t="inlineStr">
        <is>
          <t>SÄTER</t>
        </is>
      </c>
      <c r="I30" t="n">
        <v>2.5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Tvåblad</t>
        </is>
      </c>
      <c r="W30">
        <f>HYPERLINK("https://klasma.github.io/Logging_2082/artfynd/A 5232-2022 artfynd.xlsx", "A 5232-2022")</f>
        <v/>
      </c>
      <c r="X30">
        <f>HYPERLINK("https://klasma.github.io/Logging_2082/kartor/A 5232-2022 karta.png", "A 5232-2022")</f>
        <v/>
      </c>
      <c r="Y30">
        <f>HYPERLINK("https://klasma.github.io/Logging_2082/kartor_geotiff/A 5232-2022 georefererad karta.tif", "A 5232-2022")</f>
        <v/>
      </c>
      <c r="AA30">
        <f>HYPERLINK("https://klasma.github.io/Logging_2082/klagomål/A 5232-2022 FSC-klagomål.docx", "A 5232-2022")</f>
        <v/>
      </c>
      <c r="AB30">
        <f>HYPERLINK("https://klasma.github.io/Logging_2082/klagomålsmail/A 5232-2022 FSC-klagomål mail.docx", "A 5232-2022")</f>
        <v/>
      </c>
      <c r="AC30">
        <f>HYPERLINK("https://klasma.github.io/Logging_2082/tillsyn/A 5232-2022 tillsynsbegäran.docx", "A 5232-2022")</f>
        <v/>
      </c>
      <c r="AD30">
        <f>HYPERLINK("https://klasma.github.io/Logging_2082/tillsynsmail/A 5232-2022 tillsynsbegäran mail.docx", "A 5232-2022")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46301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46301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32383-2022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44781</v>
      </c>
      <c r="E33" s="1" t="n">
        <v>46301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4.1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HYPERLINK("https://klasma.github.io/Logging_2082/artfynd/A 32383-2022 artfynd.xlsx", "A 32383-2022")</f>
        <v/>
      </c>
      <c r="X33">
        <f>HYPERLINK("https://klasma.github.io/Logging_2082/kartor/A 32383-2022 karta.png", "A 32383-2022")</f>
        <v/>
      </c>
      <c r="Y33">
        <f>HYPERLINK("https://klasma.github.io/Logging_2082/kartor_geotiff/A 32383-2022 georefererad karta.tif", "A 32383-2022")</f>
        <v/>
      </c>
      <c r="Z33">
        <f>HYPERLINK("https://klasma.github.io/Logging_2082/knärot/A 32383-2022 karta knärot.png", "A 32383-2022")</f>
        <v/>
      </c>
      <c r="AA33">
        <f>HYPERLINK("https://klasma.github.io/Logging_2082/klagomål/A 32383-2022 FSC-klagomål.docx", "A 32383-2022")</f>
        <v/>
      </c>
      <c r="AB33">
        <f>HYPERLINK("https://klasma.github.io/Logging_2082/klagomålsmail/A 32383-2022 FSC-klagomål mail.docx", "A 32383-2022")</f>
        <v/>
      </c>
      <c r="AC33">
        <f>HYPERLINK("https://klasma.github.io/Logging_2082/tillsyn/A 32383-2022 tillsynsbegäran.docx", "A 32383-2022")</f>
        <v/>
      </c>
      <c r="AD33">
        <f>HYPERLINK("https://klasma.github.io/Logging_2082/tillsynsmail/A 32383-2022 tillsynsbegäran mail.docx", "A 32383-2022")</f>
        <v/>
      </c>
    </row>
    <row r="34" ht="15" customHeight="1">
      <c r="A34" t="inlineStr">
        <is>
          <t>A 47661-2025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46301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13.8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Järnsparv</t>
        </is>
      </c>
      <c r="W34">
        <f>HYPERLINK("https://klasma.github.io/Logging_2082/artfynd/A 47661-2025 artfynd.xlsx", "A 47661-2025")</f>
        <v/>
      </c>
      <c r="X34">
        <f>HYPERLINK("https://klasma.github.io/Logging_2082/kartor/A 47661-2025 karta.png", "A 47661-2025")</f>
        <v/>
      </c>
      <c r="Y34">
        <f>HYPERLINK("https://klasma.github.io/Logging_2082/kartor_geotiff/A 47661-2025 georefererad karta.tif", "A 47661-2025")</f>
        <v/>
      </c>
      <c r="AA34">
        <f>HYPERLINK("https://klasma.github.io/Logging_2082/klagomål/A 47661-2025 FSC-klagomål.docx", "A 47661-2025")</f>
        <v/>
      </c>
      <c r="AB34">
        <f>HYPERLINK("https://klasma.github.io/Logging_2082/klagomålsmail/A 47661-2025 FSC-klagomål mail.docx", "A 47661-2025")</f>
        <v/>
      </c>
      <c r="AC34">
        <f>HYPERLINK("https://klasma.github.io/Logging_2082/tillsyn/A 47661-2025 tillsynsbegäran.docx", "A 47661-2025")</f>
        <v/>
      </c>
      <c r="AD34">
        <f>HYPERLINK("https://klasma.github.io/Logging_2082/tillsynsmail/A 47661-2025 tillsynsbegäran mail.docx", "A 47661-2025")</f>
        <v/>
      </c>
      <c r="AE34">
        <f>HYPERLINK("https://klasma.github.io/Logging_2082/fåglar/A 47661-2025 prioriterade fågelarter.docx", "A 47661-2025")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46301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46301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11533-2026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46083</v>
      </c>
      <c r="E37" s="1" t="n">
        <v>46301</v>
      </c>
      <c r="F37" t="inlineStr">
        <is>
          <t>DALARNAS LÄN</t>
        </is>
      </c>
      <c r="G37" t="inlineStr">
        <is>
          <t>SÄTER</t>
        </is>
      </c>
      <c r="H37" t="inlineStr">
        <is>
          <t>Kommuner</t>
        </is>
      </c>
      <c r="I37" t="n">
        <v>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Fläcknycklar</t>
        </is>
      </c>
      <c r="W37">
        <f>HYPERLINK("https://klasma.github.io/Logging_2082/artfynd/A 11533-2026 artfynd.xlsx", "A 11533-2026")</f>
        <v/>
      </c>
      <c r="X37">
        <f>HYPERLINK("https://klasma.github.io/Logging_2082/kartor/A 11533-2026 karta.png", "A 11533-2026")</f>
        <v/>
      </c>
      <c r="Y37">
        <f>HYPERLINK("https://klasma.github.io/Logging_2082/kartor_geotiff/A 11533-2026 georefererad karta.tif", "A 11533-2026")</f>
        <v/>
      </c>
      <c r="AA37">
        <f>HYPERLINK("https://klasma.github.io/Logging_2082/klagomål/A 11533-2026 FSC-klagomål.docx", "A 11533-2026")</f>
        <v/>
      </c>
      <c r="AB37">
        <f>HYPERLINK("https://klasma.github.io/Logging_2082/klagomålsmail/A 11533-2026 FSC-klagomål mail.docx", "A 11533-2026")</f>
        <v/>
      </c>
      <c r="AC37">
        <f>HYPERLINK("https://klasma.github.io/Logging_2082/tillsyn/A 11533-2026 tillsynsbegäran.docx", "A 11533-2026")</f>
        <v/>
      </c>
      <c r="AD37">
        <f>HYPERLINK("https://klasma.github.io/Logging_2082/tillsynsmail/A 11533-2026 tillsynsbegäran mail.docx", "A 11533-2026")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46301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46301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39406-2024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45551</v>
      </c>
      <c r="E40" s="1" t="n">
        <v>46301</v>
      </c>
      <c r="F40" t="inlineStr">
        <is>
          <t>DALARNAS LÄN</t>
        </is>
      </c>
      <c r="G40" t="inlineStr">
        <is>
          <t>SÄTER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Sotriska</t>
        </is>
      </c>
      <c r="W40">
        <f>HYPERLINK("https://klasma.github.io/Logging_2082/artfynd/A 39406-2024 artfynd.xlsx", "A 39406-2024")</f>
        <v/>
      </c>
      <c r="X40">
        <f>HYPERLINK("https://klasma.github.io/Logging_2082/kartor/A 39406-2024 karta.png", "A 39406-2024")</f>
        <v/>
      </c>
      <c r="Y40">
        <f>HYPERLINK("https://klasma.github.io/Logging_2082/kartor_geotiff/A 39406-2024 georefererad karta.tif", "A 39406-2024")</f>
        <v/>
      </c>
      <c r="AA40">
        <f>HYPERLINK("https://klasma.github.io/Logging_2082/klagomål/A 39406-2024 FSC-klagomål.docx", "A 39406-2024")</f>
        <v/>
      </c>
      <c r="AB40">
        <f>HYPERLINK("https://klasma.github.io/Logging_2082/klagomålsmail/A 39406-2024 FSC-klagomål mail.docx", "A 39406-2024")</f>
        <v/>
      </c>
      <c r="AC40">
        <f>HYPERLINK("https://klasma.github.io/Logging_2082/tillsyn/A 39406-2024 tillsynsbegäran.docx", "A 39406-2024")</f>
        <v/>
      </c>
      <c r="AD40">
        <f>HYPERLINK("https://klasma.github.io/Logging_2082/tillsynsmail/A 39406-2024 tillsynsbegäran mail.docx", "A 39406-2024")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46301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46301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46301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21111-2026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46301</v>
      </c>
      <c r="F44" t="inlineStr">
        <is>
          <t>DALARNAS LÄN</t>
        </is>
      </c>
      <c r="G44" t="inlineStr">
        <is>
          <t>SÄTER</t>
        </is>
      </c>
      <c r="I44" t="n">
        <v>4.6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Fjällig taggsvamp s.str.</t>
        </is>
      </c>
      <c r="W44">
        <f>HYPERLINK("https://klasma.github.io/Logging_2082/artfynd/A 21111-2026 artfynd.xlsx", "A 21111-2026")</f>
        <v/>
      </c>
      <c r="X44">
        <f>HYPERLINK("https://klasma.github.io/Logging_2082/kartor/A 21111-2026 karta.png", "A 21111-2026")</f>
        <v/>
      </c>
      <c r="Y44">
        <f>HYPERLINK("https://klasma.github.io/Logging_2082/kartor_geotiff/A 21111-2026 georefererad karta.tif", "A 21111-2026")</f>
        <v/>
      </c>
      <c r="AA44">
        <f>HYPERLINK("https://klasma.github.io/Logging_2082/klagomål/A 21111-2026 FSC-klagomål.docx", "A 21111-2026")</f>
        <v/>
      </c>
      <c r="AB44">
        <f>HYPERLINK("https://klasma.github.io/Logging_2082/klagomålsmail/A 21111-2026 FSC-klagomål mail.docx", "A 21111-2026")</f>
        <v/>
      </c>
      <c r="AC44">
        <f>HYPERLINK("https://klasma.github.io/Logging_2082/tillsyn/A 21111-2026 tillsynsbegäran.docx", "A 21111-2026")</f>
        <v/>
      </c>
      <c r="AD44">
        <f>HYPERLINK("https://klasma.github.io/Logging_2082/tillsynsmail/A 21111-2026 tillsynsbegäran mail.docx", "A 21111-2026")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46301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27715-2023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46301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HYPERLINK("https://klasma.github.io/Logging_2082/artfynd/A 27715-2023 artfynd.xlsx", "A 27715-2023")</f>
        <v/>
      </c>
      <c r="X46">
        <f>HYPERLINK("https://klasma.github.io/Logging_2082/kartor/A 27715-2023 karta.png", "A 27715-2023")</f>
        <v/>
      </c>
      <c r="Y46">
        <f>HYPERLINK("https://klasma.github.io/Logging_2082/kartor_geotiff/A 27715-2023 georefererad karta.tif", "A 27715-2023")</f>
        <v/>
      </c>
      <c r="AA46">
        <f>HYPERLINK("https://klasma.github.io/Logging_2082/klagomål/A 27715-2023 FSC-klagomål.docx", "A 27715-2023")</f>
        <v/>
      </c>
      <c r="AB46">
        <f>HYPERLINK("https://klasma.github.io/Logging_2082/klagomålsmail/A 27715-2023 FSC-klagomål mail.docx", "A 27715-2023")</f>
        <v/>
      </c>
      <c r="AC46">
        <f>HYPERLINK("https://klasma.github.io/Logging_2082/tillsyn/A 27715-2023 tillsynsbegäran.docx", "A 27715-2023")</f>
        <v/>
      </c>
      <c r="AD46">
        <f>HYPERLINK("https://klasma.github.io/Logging_2082/tillsynsmail/A 27715-2023 tillsynsbegäran mail.docx", "A 27715-2023")</f>
        <v/>
      </c>
    </row>
    <row r="47" ht="15" customHeight="1">
      <c r="A47" t="inlineStr">
        <is>
          <t>A 37896-2026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46301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Gräddticka</t>
        </is>
      </c>
      <c r="W47">
        <f>HYPERLINK("https://klasma.github.io/Logging_2082/artfynd/A 37896-2026 artfynd.xlsx", "A 37896-2026")</f>
        <v/>
      </c>
      <c r="X47">
        <f>HYPERLINK("https://klasma.github.io/Logging_2082/kartor/A 37896-2026 karta.png", "A 37896-2026")</f>
        <v/>
      </c>
      <c r="Y47">
        <f>HYPERLINK("https://klasma.github.io/Logging_2082/kartor_geotiff/A 37896-2026 georefererad karta.tif", "A 37896-2026")</f>
        <v/>
      </c>
      <c r="AA47">
        <f>HYPERLINK("https://klasma.github.io/Logging_2082/klagomål/A 37896-2026 FSC-klagomål.docx", "A 37896-2026")</f>
        <v/>
      </c>
      <c r="AB47">
        <f>HYPERLINK("https://klasma.github.io/Logging_2082/klagomålsmail/A 37896-2026 FSC-klagomål mail.docx", "A 37896-2026")</f>
        <v/>
      </c>
      <c r="AC47">
        <f>HYPERLINK("https://klasma.github.io/Logging_2082/tillsyn/A 37896-2026 tillsynsbegäran.docx", "A 37896-2026")</f>
        <v/>
      </c>
      <c r="AD47">
        <f>HYPERLINK("https://klasma.github.io/Logging_2082/tillsynsmail/A 37896-2026 tillsynsbegäran mail.docx", "A 37896-2026")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46301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46301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46301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46301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46301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46301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46301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46301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46301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46301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46301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46301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46301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46301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46301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46301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46301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46301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46301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46301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46301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46301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46301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46301</v>
      </c>
      <c r="F71" t="inlineStr">
        <is>
          <t>DALARNAS LÄN</t>
        </is>
      </c>
      <c r="G71" t="inlineStr">
        <is>
          <t>SÄTER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16901-2024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45411</v>
      </c>
      <c r="E72" s="1" t="n">
        <v>46301</v>
      </c>
      <c r="F72" t="inlineStr">
        <is>
          <t>DALARNAS LÄN</t>
        </is>
      </c>
      <c r="G72" t="inlineStr">
        <is>
          <t>SÄTER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46301</v>
      </c>
      <c r="F73" t="inlineStr">
        <is>
          <t>DALARNAS LÄN</t>
        </is>
      </c>
      <c r="G73" t="inlineStr">
        <is>
          <t>SÄTER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45719</v>
      </c>
      <c r="E74" s="1" t="n">
        <v>46301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45435</v>
      </c>
      <c r="E75" s="1" t="n">
        <v>46301</v>
      </c>
      <c r="F75" t="inlineStr">
        <is>
          <t>DALARNAS LÄN</t>
        </is>
      </c>
      <c r="G75" t="inlineStr">
        <is>
          <t>SÄTER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46301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46301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46301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16832-2024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46301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46301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46301</v>
      </c>
      <c r="F81" t="inlineStr">
        <is>
          <t>DALARNAS LÄN</t>
        </is>
      </c>
      <c r="G81" t="inlineStr">
        <is>
          <t>SÄTER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46301</v>
      </c>
      <c r="F82" t="inlineStr">
        <is>
          <t>DALARNAS LÄN</t>
        </is>
      </c>
      <c r="G82" t="inlineStr">
        <is>
          <t>SÄTER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46301</v>
      </c>
      <c r="F83" t="inlineStr">
        <is>
          <t>DALARNAS LÄN</t>
        </is>
      </c>
      <c r="G83" t="inlineStr">
        <is>
          <t>SÄTER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44956</v>
      </c>
      <c r="E84" s="1" t="n">
        <v>46301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46301</v>
      </c>
      <c r="F85" t="inlineStr">
        <is>
          <t>DALARNAS LÄN</t>
        </is>
      </c>
      <c r="G85" t="inlineStr">
        <is>
          <t>SÄTER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64788-2023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45282</v>
      </c>
      <c r="E86" s="1" t="n">
        <v>46301</v>
      </c>
      <c r="F86" t="inlineStr">
        <is>
          <t>DALARNAS LÄN</t>
        </is>
      </c>
      <c r="G86" t="inlineStr">
        <is>
          <t>SÄTER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46301</v>
      </c>
      <c r="F87" t="inlineStr">
        <is>
          <t>DALARNAS LÄN</t>
        </is>
      </c>
      <c r="G87" t="inlineStr">
        <is>
          <t>SÄTER</t>
        </is>
      </c>
      <c r="H87" t="inlineStr">
        <is>
          <t>Kommuner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46301</v>
      </c>
      <c r="F88" t="inlineStr">
        <is>
          <t>DALARNAS LÄN</t>
        </is>
      </c>
      <c r="G88" t="inlineStr">
        <is>
          <t>SÄTER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51323-2024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45604</v>
      </c>
      <c r="E89" s="1" t="n">
        <v>46301</v>
      </c>
      <c r="F89" t="inlineStr">
        <is>
          <t>DALARNAS LÄN</t>
        </is>
      </c>
      <c r="G89" t="inlineStr">
        <is>
          <t>SÄTER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44972</v>
      </c>
      <c r="E90" s="1" t="n">
        <v>46301</v>
      </c>
      <c r="F90" t="inlineStr">
        <is>
          <t>DALARNAS LÄN</t>
        </is>
      </c>
      <c r="G90" t="inlineStr">
        <is>
          <t>SÄTER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44595</v>
      </c>
      <c r="E91" s="1" t="n">
        <v>46301</v>
      </c>
      <c r="F91" t="inlineStr">
        <is>
          <t>DALARNAS LÄN</t>
        </is>
      </c>
      <c r="G91" t="inlineStr">
        <is>
          <t>SÄTER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46301</v>
      </c>
      <c r="F92" t="inlineStr">
        <is>
          <t>DALARNAS LÄN</t>
        </is>
      </c>
      <c r="G92" t="inlineStr">
        <is>
          <t>SÄTER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44866</v>
      </c>
      <c r="E93" s="1" t="n">
        <v>46301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45883</v>
      </c>
      <c r="E94" s="1" t="n">
        <v>46301</v>
      </c>
      <c r="F94" t="inlineStr">
        <is>
          <t>DALARNAS LÄN</t>
        </is>
      </c>
      <c r="G94" t="inlineStr">
        <is>
          <t>SÄTER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46301</v>
      </c>
      <c r="F95" t="inlineStr">
        <is>
          <t>DALARNAS LÄN</t>
        </is>
      </c>
      <c r="G95" t="inlineStr">
        <is>
          <t>SÄTER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46301</v>
      </c>
      <c r="F96" t="inlineStr">
        <is>
          <t>DALARNAS LÄN</t>
        </is>
      </c>
      <c r="G96" t="inlineStr">
        <is>
          <t>SÄTER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32886-2022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46301</v>
      </c>
      <c r="F97" t="inlineStr">
        <is>
          <t>DALARNAS LÄN</t>
        </is>
      </c>
      <c r="G97" t="inlineStr">
        <is>
          <t>SÄTER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46301</v>
      </c>
      <c r="F98" t="inlineStr">
        <is>
          <t>DALARNAS LÄN</t>
        </is>
      </c>
      <c r="G98" t="inlineStr">
        <is>
          <t>SÄTER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45552</v>
      </c>
      <c r="E99" s="1" t="n">
        <v>46301</v>
      </c>
      <c r="F99" t="inlineStr">
        <is>
          <t>DALARNAS LÄN</t>
        </is>
      </c>
      <c r="G99" t="inlineStr">
        <is>
          <t>SÄTER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46301</v>
      </c>
      <c r="F100" t="inlineStr">
        <is>
          <t>DALARNAS LÄN</t>
        </is>
      </c>
      <c r="G100" t="inlineStr">
        <is>
          <t>SÄTER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46301</v>
      </c>
      <c r="F101" t="inlineStr">
        <is>
          <t>DALARNAS LÄN</t>
        </is>
      </c>
      <c r="G101" t="inlineStr">
        <is>
          <t>SÄTER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46042</v>
      </c>
      <c r="E102" s="1" t="n">
        <v>46301</v>
      </c>
      <c r="F102" t="inlineStr">
        <is>
          <t>DALARNAS LÄN</t>
        </is>
      </c>
      <c r="G102" t="inlineStr">
        <is>
          <t>SÄTER</t>
        </is>
      </c>
      <c r="I102" t="n">
        <v>10.6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46301</v>
      </c>
      <c r="F103" t="inlineStr">
        <is>
          <t>DALARNAS LÄN</t>
        </is>
      </c>
      <c r="G103" t="inlineStr">
        <is>
          <t>SÄTER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45820</v>
      </c>
      <c r="E104" s="1" t="n">
        <v>46301</v>
      </c>
      <c r="F104" t="inlineStr">
        <is>
          <t>DALARNAS LÄN</t>
        </is>
      </c>
      <c r="G104" t="inlineStr">
        <is>
          <t>SÄTER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46301</v>
      </c>
      <c r="F105" t="inlineStr">
        <is>
          <t>DALARNAS LÄN</t>
        </is>
      </c>
      <c r="G105" t="inlineStr">
        <is>
          <t>SÄTER</t>
        </is>
      </c>
      <c r="H105" t="inlineStr">
        <is>
          <t>Bergvik skog väst AB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46045</v>
      </c>
      <c r="E106" s="1" t="n">
        <v>46301</v>
      </c>
      <c r="F106" t="inlineStr">
        <is>
          <t>DALARNAS LÄN</t>
        </is>
      </c>
      <c r="G106" t="inlineStr">
        <is>
          <t>SÄTER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46045</v>
      </c>
      <c r="E107" s="1" t="n">
        <v>46301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46301</v>
      </c>
      <c r="F108" t="inlineStr">
        <is>
          <t>DALARNAS LÄN</t>
        </is>
      </c>
      <c r="G108" t="inlineStr">
        <is>
          <t>SÄTER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46301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46301</v>
      </c>
      <c r="F110" t="inlineStr">
        <is>
          <t>DALARNAS LÄN</t>
        </is>
      </c>
      <c r="G110" t="inlineStr">
        <is>
          <t>SÄTER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46301</v>
      </c>
      <c r="F111" t="inlineStr">
        <is>
          <t>DALARNAS LÄN</t>
        </is>
      </c>
      <c r="G111" t="inlineStr">
        <is>
          <t>SÄTER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45566</v>
      </c>
      <c r="E112" s="1" t="n">
        <v>46301</v>
      </c>
      <c r="F112" t="inlineStr">
        <is>
          <t>DALARNAS LÄN</t>
        </is>
      </c>
      <c r="G112" t="inlineStr">
        <is>
          <t>SÄTER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45145</v>
      </c>
      <c r="E113" s="1" t="n">
        <v>46301</v>
      </c>
      <c r="F113" t="inlineStr">
        <is>
          <t>DALARNAS LÄN</t>
        </is>
      </c>
      <c r="G113" t="inlineStr">
        <is>
          <t>SÄTER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45569</v>
      </c>
      <c r="E114" s="1" t="n">
        <v>46301</v>
      </c>
      <c r="F114" t="inlineStr">
        <is>
          <t>DALARNAS LÄN</t>
        </is>
      </c>
      <c r="G114" t="inlineStr">
        <is>
          <t>SÄTER</t>
        </is>
      </c>
      <c r="I114" t="n">
        <v>13.2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46301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46301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46301</v>
      </c>
      <c r="F117" t="inlineStr">
        <is>
          <t>DALARNAS LÄN</t>
        </is>
      </c>
      <c r="G117" t="inlineStr">
        <is>
          <t>SÄTER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45855</v>
      </c>
      <c r="E118" s="1" t="n">
        <v>46301</v>
      </c>
      <c r="F118" t="inlineStr">
        <is>
          <t>DALARNAS LÄN</t>
        </is>
      </c>
      <c r="G118" t="inlineStr">
        <is>
          <t>SÄTER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46057</v>
      </c>
      <c r="E119" s="1" t="n">
        <v>46301</v>
      </c>
      <c r="F119" t="inlineStr">
        <is>
          <t>DALARNAS LÄN</t>
        </is>
      </c>
      <c r="G119" t="inlineStr">
        <is>
          <t>SÄTER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46301</v>
      </c>
      <c r="F120" t="inlineStr">
        <is>
          <t>DALARNAS LÄN</t>
        </is>
      </c>
      <c r="G120" t="inlineStr">
        <is>
          <t>SÄTER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46301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45398</v>
      </c>
      <c r="E122" s="1" t="n">
        <v>46301</v>
      </c>
      <c r="F122" t="inlineStr">
        <is>
          <t>DALARNAS LÄN</t>
        </is>
      </c>
      <c r="G122" t="inlineStr">
        <is>
          <t>SÄTER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45476-2024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45576</v>
      </c>
      <c r="E123" s="1" t="n">
        <v>46301</v>
      </c>
      <c r="F123" t="inlineStr">
        <is>
          <t>DALARNAS LÄN</t>
        </is>
      </c>
      <c r="G123" t="inlineStr">
        <is>
          <t>SÄTER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45870</v>
      </c>
      <c r="E124" s="1" t="n">
        <v>46301</v>
      </c>
      <c r="F124" t="inlineStr">
        <is>
          <t>DALARNAS LÄN</t>
        </is>
      </c>
      <c r="G124" t="inlineStr">
        <is>
          <t>SÄTER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46301</v>
      </c>
      <c r="F125" t="inlineStr">
        <is>
          <t>DALARNAS LÄN</t>
        </is>
      </c>
      <c r="G125" t="inlineStr">
        <is>
          <t>SÄTER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42998-2023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45182</v>
      </c>
      <c r="E126" s="1" t="n">
        <v>46301</v>
      </c>
      <c r="F126" t="inlineStr">
        <is>
          <t>DALARNAS LÄN</t>
        </is>
      </c>
      <c r="G126" t="inlineStr">
        <is>
          <t>SÄTER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51320-2024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45604</v>
      </c>
      <c r="E127" s="1" t="n">
        <v>46301</v>
      </c>
      <c r="F127" t="inlineStr">
        <is>
          <t>DALARNAS LÄN</t>
        </is>
      </c>
      <c r="G127" t="inlineStr">
        <is>
          <t>SÄTER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51324-2024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45604</v>
      </c>
      <c r="E128" s="1" t="n">
        <v>46301</v>
      </c>
      <c r="F128" t="inlineStr">
        <is>
          <t>DALARNAS LÄN</t>
        </is>
      </c>
      <c r="G128" t="inlineStr">
        <is>
          <t>SÄTER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45063</v>
      </c>
      <c r="E129" s="1" t="n">
        <v>46301</v>
      </c>
      <c r="F129" t="inlineStr">
        <is>
          <t>DALARNAS LÄN</t>
        </is>
      </c>
      <c r="G129" t="inlineStr">
        <is>
          <t>SÄTER</t>
        </is>
      </c>
      <c r="H129" t="inlineStr">
        <is>
          <t>Kommuner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45453</v>
      </c>
      <c r="E130" s="1" t="n">
        <v>46301</v>
      </c>
      <c r="F130" t="inlineStr">
        <is>
          <t>DALARNAS LÄN</t>
        </is>
      </c>
      <c r="G130" t="inlineStr">
        <is>
          <t>SÄTER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46301</v>
      </c>
      <c r="F131" t="inlineStr">
        <is>
          <t>DALARNAS LÄN</t>
        </is>
      </c>
      <c r="G131" t="inlineStr">
        <is>
          <t>SÄTER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46301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46301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47280-2025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46301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46301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45628</v>
      </c>
      <c r="E136" s="1" t="n">
        <v>46301</v>
      </c>
      <c r="F136" t="inlineStr">
        <is>
          <t>DALARNAS LÄN</t>
        </is>
      </c>
      <c r="G136" t="inlineStr">
        <is>
          <t>SÄTER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45628</v>
      </c>
      <c r="E137" s="1" t="n">
        <v>46301</v>
      </c>
      <c r="F137" t="inlineStr">
        <is>
          <t>DALARNAS LÄN</t>
        </is>
      </c>
      <c r="G137" t="inlineStr">
        <is>
          <t>SÄTER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46301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46301</v>
      </c>
      <c r="F139" t="inlineStr">
        <is>
          <t>DALARNAS LÄN</t>
        </is>
      </c>
      <c r="G139" t="inlineStr">
        <is>
          <t>SÄTER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45622</v>
      </c>
      <c r="E140" s="1" t="n">
        <v>46301</v>
      </c>
      <c r="F140" t="inlineStr">
        <is>
          <t>DALARNAS LÄN</t>
        </is>
      </c>
      <c r="G140" t="inlineStr">
        <is>
          <t>SÄTER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46301</v>
      </c>
      <c r="F141" t="inlineStr">
        <is>
          <t>DALARNAS LÄN</t>
        </is>
      </c>
      <c r="G141" t="inlineStr">
        <is>
          <t>SÄTER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45636</v>
      </c>
      <c r="E142" s="1" t="n">
        <v>46301</v>
      </c>
      <c r="F142" t="inlineStr">
        <is>
          <t>DALARNAS LÄN</t>
        </is>
      </c>
      <c r="G142" t="inlineStr">
        <is>
          <t>SÄTER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46301</v>
      </c>
      <c r="F143" t="inlineStr">
        <is>
          <t>DALARNAS LÄN</t>
        </is>
      </c>
      <c r="G143" t="inlineStr">
        <is>
          <t>SÄTER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45604</v>
      </c>
      <c r="E144" s="1" t="n">
        <v>46301</v>
      </c>
      <c r="F144" t="inlineStr">
        <is>
          <t>DALARNAS LÄN</t>
        </is>
      </c>
      <c r="G144" t="inlineStr">
        <is>
          <t>SÄTER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46301</v>
      </c>
      <c r="F145" t="inlineStr">
        <is>
          <t>DALARNAS LÄN</t>
        </is>
      </c>
      <c r="G145" t="inlineStr">
        <is>
          <t>SÄTER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46064</v>
      </c>
      <c r="E146" s="1" t="n">
        <v>46301</v>
      </c>
      <c r="F146" t="inlineStr">
        <is>
          <t>DALARNAS LÄN</t>
        </is>
      </c>
      <c r="G146" t="inlineStr">
        <is>
          <t>SÄTER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8435-2026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46065</v>
      </c>
      <c r="E147" s="1" t="n">
        <v>46301</v>
      </c>
      <c r="F147" t="inlineStr">
        <is>
          <t>DALARNAS LÄN</t>
        </is>
      </c>
      <c r="G147" t="inlineStr">
        <is>
          <t>SÄTER</t>
        </is>
      </c>
      <c r="I147" t="n">
        <v>9.9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46301</v>
      </c>
      <c r="F148" t="inlineStr">
        <is>
          <t>DALARNAS LÄN</t>
        </is>
      </c>
      <c r="G148" t="inlineStr">
        <is>
          <t>SÄTER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46301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45411</v>
      </c>
      <c r="E150" s="1" t="n">
        <v>46301</v>
      </c>
      <c r="F150" t="inlineStr">
        <is>
          <t>DALARNAS LÄN</t>
        </is>
      </c>
      <c r="G150" t="inlineStr">
        <is>
          <t>SÄTER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46301</v>
      </c>
      <c r="F151" t="inlineStr">
        <is>
          <t>DALARNAS LÄN</t>
        </is>
      </c>
      <c r="G151" t="inlineStr">
        <is>
          <t>SÄTER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46301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46301</v>
      </c>
      <c r="F153" t="inlineStr">
        <is>
          <t>DALARNAS LÄN</t>
        </is>
      </c>
      <c r="G153" t="inlineStr">
        <is>
          <t>SÄTER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46301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46076</v>
      </c>
      <c r="E155" s="1" t="n">
        <v>46301</v>
      </c>
      <c r="F155" t="inlineStr">
        <is>
          <t>DALARNAS LÄN</t>
        </is>
      </c>
      <c r="G155" t="inlineStr">
        <is>
          <t>SÄTER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46301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46301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46301</v>
      </c>
      <c r="F158" t="inlineStr">
        <is>
          <t>DALARNAS LÄN</t>
        </is>
      </c>
      <c r="G158" t="inlineStr">
        <is>
          <t>SÄTER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28549-2022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44748</v>
      </c>
      <c r="E159" s="1" t="n">
        <v>46301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45005</v>
      </c>
      <c r="E160" s="1" t="n">
        <v>46301</v>
      </c>
      <c r="F160" t="inlineStr">
        <is>
          <t>DALARNAS LÄN</t>
        </is>
      </c>
      <c r="G160" t="inlineStr">
        <is>
          <t>SÄTER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46083</v>
      </c>
      <c r="E161" s="1" t="n">
        <v>46301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46077</v>
      </c>
      <c r="E162" s="1" t="n">
        <v>46301</v>
      </c>
      <c r="F162" t="inlineStr">
        <is>
          <t>DALARNAS LÄN</t>
        </is>
      </c>
      <c r="G162" t="inlineStr">
        <is>
          <t>SÄTER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46087</v>
      </c>
      <c r="E163" s="1" t="n">
        <v>46301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45201</v>
      </c>
      <c r="E164" s="1" t="n">
        <v>46301</v>
      </c>
      <c r="F164" t="inlineStr">
        <is>
          <t>DALARNAS LÄN</t>
        </is>
      </c>
      <c r="G164" t="inlineStr">
        <is>
          <t>SÄTER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53559-2025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45960</v>
      </c>
      <c r="E165" s="1" t="n">
        <v>46301</v>
      </c>
      <c r="F165" t="inlineStr">
        <is>
          <t>DALARNAS LÄN</t>
        </is>
      </c>
      <c r="G165" t="inlineStr">
        <is>
          <t>SÄTER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46301</v>
      </c>
      <c r="F166" t="inlineStr">
        <is>
          <t>DALARNAS LÄN</t>
        </is>
      </c>
      <c r="G166" t="inlineStr">
        <is>
          <t>SÄTER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46301</v>
      </c>
      <c r="F167" t="inlineStr">
        <is>
          <t>DALARNAS LÄN</t>
        </is>
      </c>
      <c r="G167" t="inlineStr">
        <is>
          <t>SÄTER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  <c r="Z167">
        <f>HYPERLINK("https://klasma.github.io/Logging_2082/knärot/A 57416-2022 karta knärot.png", "A 57416-2022")</f>
        <v/>
      </c>
      <c r="AA167">
        <f>HYPERLINK("https://klasma.github.io/Logging_2082/klagomål/A 57416-2022 FSC-klagomål.docx", "A 57416-2022")</f>
        <v/>
      </c>
      <c r="AB167">
        <f>HYPERLINK("https://klasma.github.io/Logging_2082/klagomålsmail/A 57416-2022 FSC-klagomål mail.docx", "A 57416-2022")</f>
        <v/>
      </c>
      <c r="AC167">
        <f>HYPERLINK("https://klasma.github.io/Logging_2082/tillsyn/A 57416-2022 tillsynsbegäran.docx", "A 57416-2022")</f>
        <v/>
      </c>
      <c r="AD167">
        <f>HYPERLINK("https://klasma.github.io/Logging_2082/tillsynsmail/A 57416-2022 tillsynsbegäran mail.docx", "A 57416-2022")</f>
        <v/>
      </c>
    </row>
    <row r="168" ht="15" customHeight="1">
      <c r="A168" t="inlineStr">
        <is>
          <t>A 13265-2026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46301</v>
      </c>
      <c r="F168" t="inlineStr">
        <is>
          <t>DALARNAS LÄN</t>
        </is>
      </c>
      <c r="G168" t="inlineStr">
        <is>
          <t>SÄTER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46092</v>
      </c>
      <c r="E169" s="1" t="n">
        <v>46301</v>
      </c>
      <c r="F169" t="inlineStr">
        <is>
          <t>DALARNAS LÄN</t>
        </is>
      </c>
      <c r="G169" t="inlineStr">
        <is>
          <t>SÄTER</t>
        </is>
      </c>
      <c r="I169" t="n">
        <v>9.800000000000001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53878-2025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45961</v>
      </c>
      <c r="E170" s="1" t="n">
        <v>46301</v>
      </c>
      <c r="F170" t="inlineStr">
        <is>
          <t>DALARNAS LÄN</t>
        </is>
      </c>
      <c r="G170" t="inlineStr">
        <is>
          <t>SÄTER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46301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46301</v>
      </c>
      <c r="F172" t="inlineStr">
        <is>
          <t>DALARNAS LÄN</t>
        </is>
      </c>
      <c r="G172" t="inlineStr">
        <is>
          <t>SÄTER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46301</v>
      </c>
      <c r="F173" t="inlineStr">
        <is>
          <t>DALARNAS LÄN</t>
        </is>
      </c>
      <c r="G173" t="inlineStr">
        <is>
          <t>SÄTER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27910-2023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46301</v>
      </c>
      <c r="F174" t="inlineStr">
        <is>
          <t>DALARNAS LÄN</t>
        </is>
      </c>
      <c r="G174" t="inlineStr">
        <is>
          <t>SÄTER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13888-2026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46098</v>
      </c>
      <c r="E175" s="1" t="n">
        <v>46301</v>
      </c>
      <c r="F175" t="inlineStr">
        <is>
          <t>DALARNAS LÄN</t>
        </is>
      </c>
      <c r="G175" t="inlineStr">
        <is>
          <t>SÄTER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13899-2026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46098</v>
      </c>
      <c r="E176" s="1" t="n">
        <v>46301</v>
      </c>
      <c r="F176" t="inlineStr">
        <is>
          <t>DALARNAS LÄN</t>
        </is>
      </c>
      <c r="G176" t="inlineStr">
        <is>
          <t>SÄTER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46301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46301</v>
      </c>
      <c r="F178" t="inlineStr">
        <is>
          <t>DALARNAS LÄN</t>
        </is>
      </c>
      <c r="G178" t="inlineStr">
        <is>
          <t>SÄTER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46301</v>
      </c>
      <c r="F179" t="inlineStr">
        <is>
          <t>DALARNAS LÄN</t>
        </is>
      </c>
      <c r="G179" t="inlineStr">
        <is>
          <t>SÄTER</t>
        </is>
      </c>
      <c r="H179" t="inlineStr">
        <is>
          <t>Kommuner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44788</v>
      </c>
      <c r="E180" s="1" t="n">
        <v>46301</v>
      </c>
      <c r="F180" t="inlineStr">
        <is>
          <t>DALARNAS LÄN</t>
        </is>
      </c>
      <c r="G180" t="inlineStr">
        <is>
          <t>SÄTER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46301</v>
      </c>
      <c r="F181" t="inlineStr">
        <is>
          <t>DALARNAS LÄN</t>
        </is>
      </c>
      <c r="G181" t="inlineStr">
        <is>
          <t>SÄTER</t>
        </is>
      </c>
      <c r="I181" t="n">
        <v>15.2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46301</v>
      </c>
      <c r="F182" t="inlineStr">
        <is>
          <t>DALARNAS LÄN</t>
        </is>
      </c>
      <c r="G182" t="inlineStr">
        <is>
          <t>SÄTER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58325-2025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46301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46301</v>
      </c>
      <c r="F184" t="inlineStr">
        <is>
          <t>DALARNAS LÄN</t>
        </is>
      </c>
      <c r="G184" t="inlineStr">
        <is>
          <t>SÄTER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46301</v>
      </c>
      <c r="F185" t="inlineStr">
        <is>
          <t>DALARNAS LÄN</t>
        </is>
      </c>
      <c r="G185" t="inlineStr">
        <is>
          <t>SÄTER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46301</v>
      </c>
      <c r="F186" t="inlineStr">
        <is>
          <t>DALARNAS LÄN</t>
        </is>
      </c>
      <c r="G186" t="inlineStr">
        <is>
          <t>SÄTER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44532</v>
      </c>
      <c r="E187" s="1" t="n">
        <v>46301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46092</v>
      </c>
      <c r="E188" s="1" t="n">
        <v>46301</v>
      </c>
      <c r="F188" t="inlineStr">
        <is>
          <t>DALARNAS LÄN</t>
        </is>
      </c>
      <c r="G188" t="inlineStr">
        <is>
          <t>SÄTER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46301</v>
      </c>
      <c r="F189" t="inlineStr">
        <is>
          <t>DALARNAS LÄN</t>
        </is>
      </c>
      <c r="G189" t="inlineStr">
        <is>
          <t>SÄTER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46301</v>
      </c>
      <c r="F190" t="inlineStr">
        <is>
          <t>DALARNAS LÄN</t>
        </is>
      </c>
      <c r="G190" t="inlineStr">
        <is>
          <t>SÄTER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46301</v>
      </c>
      <c r="F191" t="inlineStr">
        <is>
          <t>DALARNAS LÄN</t>
        </is>
      </c>
      <c r="G191" t="inlineStr">
        <is>
          <t>SÄTER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46136</v>
      </c>
      <c r="E192" s="1" t="n">
        <v>46301</v>
      </c>
      <c r="F192" t="inlineStr">
        <is>
          <t>DALARNAS LÄN</t>
        </is>
      </c>
      <c r="G192" t="inlineStr">
        <is>
          <t>SÄTER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45342</v>
      </c>
      <c r="E193" s="1" t="n">
        <v>46301</v>
      </c>
      <c r="F193" t="inlineStr">
        <is>
          <t>DALARNAS LÄN</t>
        </is>
      </c>
      <c r="G193" t="inlineStr">
        <is>
          <t>SÄTER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46301</v>
      </c>
      <c r="F194" t="inlineStr">
        <is>
          <t>DALARNAS LÄN</t>
        </is>
      </c>
      <c r="G194" t="inlineStr">
        <is>
          <t>SÄTER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46301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46301</v>
      </c>
      <c r="F196" t="inlineStr">
        <is>
          <t>DALARNAS LÄN</t>
        </is>
      </c>
      <c r="G196" t="inlineStr">
        <is>
          <t>SÄTER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46301</v>
      </c>
      <c r="F197" t="inlineStr">
        <is>
          <t>DALARNAS LÄN</t>
        </is>
      </c>
      <c r="G197" t="inlineStr">
        <is>
          <t>SÄTER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45939</v>
      </c>
      <c r="E198" s="1" t="n">
        <v>46301</v>
      </c>
      <c r="F198" t="inlineStr">
        <is>
          <t>DALARNAS LÄN</t>
        </is>
      </c>
      <c r="G198" t="inlineStr">
        <is>
          <t>SÄTER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46301</v>
      </c>
      <c r="F199" t="inlineStr">
        <is>
          <t>DALARNAS LÄN</t>
        </is>
      </c>
      <c r="G199" t="inlineStr">
        <is>
          <t>SÄTER</t>
        </is>
      </c>
      <c r="H199" t="inlineStr">
        <is>
          <t>Kommuner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62470-2022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44924</v>
      </c>
      <c r="E200" s="1" t="n">
        <v>46301</v>
      </c>
      <c r="F200" t="inlineStr">
        <is>
          <t>DALARNAS LÄN</t>
        </is>
      </c>
      <c r="G200" t="inlineStr">
        <is>
          <t>SÄTER</t>
        </is>
      </c>
      <c r="H200" t="inlineStr">
        <is>
          <t>Kommuner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46027</v>
      </c>
      <c r="E201" s="1" t="n">
        <v>46301</v>
      </c>
      <c r="F201" t="inlineStr">
        <is>
          <t>DALARNAS LÄN</t>
        </is>
      </c>
      <c r="G201" t="inlineStr">
        <is>
          <t>SÄTER</t>
        </is>
      </c>
      <c r="I201" t="n">
        <v>12.1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46026</v>
      </c>
      <c r="E202" s="1" t="n">
        <v>46301</v>
      </c>
      <c r="F202" t="inlineStr">
        <is>
          <t>DALARNAS LÄN</t>
        </is>
      </c>
      <c r="G202" t="inlineStr">
        <is>
          <t>SÄTER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45527</v>
      </c>
      <c r="E203" s="1" t="n">
        <v>46301</v>
      </c>
      <c r="F203" t="inlineStr">
        <is>
          <t>DALARNAS LÄN</t>
        </is>
      </c>
      <c r="G203" t="inlineStr">
        <is>
          <t>SÄTER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46301</v>
      </c>
      <c r="F204" t="inlineStr">
        <is>
          <t>DALARNAS LÄN</t>
        </is>
      </c>
      <c r="G204" t="inlineStr">
        <is>
          <t>SÄTER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46301</v>
      </c>
      <c r="F205" t="inlineStr">
        <is>
          <t>DALARNAS LÄN</t>
        </is>
      </c>
      <c r="G205" t="inlineStr">
        <is>
          <t>SÄTER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45140</v>
      </c>
      <c r="E206" s="1" t="n">
        <v>46301</v>
      </c>
      <c r="F206" t="inlineStr">
        <is>
          <t>DALARNAS LÄN</t>
        </is>
      </c>
      <c r="G206" t="inlineStr">
        <is>
          <t>SÄTER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46030</v>
      </c>
      <c r="E207" s="1" t="n">
        <v>46301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46301</v>
      </c>
      <c r="F208" t="inlineStr">
        <is>
          <t>DALARNAS LÄN</t>
        </is>
      </c>
      <c r="G208" t="inlineStr">
        <is>
          <t>SÄTER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46301</v>
      </c>
      <c r="F209" t="inlineStr">
        <is>
          <t>DALARNAS LÄN</t>
        </is>
      </c>
      <c r="G209" t="inlineStr">
        <is>
          <t>SÄTER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46301</v>
      </c>
      <c r="F210" t="inlineStr">
        <is>
          <t>DALARNAS LÄN</t>
        </is>
      </c>
      <c r="G210" t="inlineStr">
        <is>
          <t>SÄTER</t>
        </is>
      </c>
      <c r="H210" t="inlineStr">
        <is>
          <t>Kommuner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46034</v>
      </c>
      <c r="E211" s="1" t="n">
        <v>46301</v>
      </c>
      <c r="F211" t="inlineStr">
        <is>
          <t>DALARNAS LÄN</t>
        </is>
      </c>
      <c r="G211" t="inlineStr">
        <is>
          <t>SÄTER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45561</v>
      </c>
      <c r="E212" s="1" t="n">
        <v>46301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10.8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46301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46301</v>
      </c>
      <c r="F214" t="inlineStr">
        <is>
          <t>DALARNAS LÄN</t>
        </is>
      </c>
      <c r="G214" t="inlineStr">
        <is>
          <t>SÄTER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46301</v>
      </c>
      <c r="F215" t="inlineStr">
        <is>
          <t>DALARNAS LÄN</t>
        </is>
      </c>
      <c r="G215" t="inlineStr">
        <is>
          <t>SÄTER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46301</v>
      </c>
      <c r="F216" t="inlineStr">
        <is>
          <t>DALARNAS LÄN</t>
        </is>
      </c>
      <c r="G216" t="inlineStr">
        <is>
          <t>SÄTER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46301</v>
      </c>
      <c r="F217" t="inlineStr">
        <is>
          <t>DALARNAS LÄN</t>
        </is>
      </c>
      <c r="G217" t="inlineStr">
        <is>
          <t>SÄTER</t>
        </is>
      </c>
      <c r="I217" t="n">
        <v>10.9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46301</v>
      </c>
      <c r="F218" t="inlineStr">
        <is>
          <t>DALARNAS LÄN</t>
        </is>
      </c>
      <c r="G218" t="inlineStr">
        <is>
          <t>SÄTER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46014</v>
      </c>
      <c r="E219" s="1" t="n">
        <v>46301</v>
      </c>
      <c r="F219" t="inlineStr">
        <is>
          <t>DALARNAS LÄN</t>
        </is>
      </c>
      <c r="G219" t="inlineStr">
        <is>
          <t>SÄTER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46301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45574</v>
      </c>
      <c r="E221" s="1" t="n">
        <v>46301</v>
      </c>
      <c r="F221" t="inlineStr">
        <is>
          <t>DALARNAS LÄN</t>
        </is>
      </c>
      <c r="G221" t="inlineStr">
        <is>
          <t>SÄTER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46301</v>
      </c>
      <c r="F222" t="inlineStr">
        <is>
          <t>DALARNAS LÄN</t>
        </is>
      </c>
      <c r="G222" t="inlineStr">
        <is>
          <t>SÄTER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46301</v>
      </c>
      <c r="F223" t="inlineStr">
        <is>
          <t>DALARNAS LÄN</t>
        </is>
      </c>
      <c r="G223" t="inlineStr">
        <is>
          <t>SÄTER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45574</v>
      </c>
      <c r="E224" s="1" t="n">
        <v>46301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10.8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45216</v>
      </c>
      <c r="E225" s="1" t="n">
        <v>46301</v>
      </c>
      <c r="F225" t="inlineStr">
        <is>
          <t>DALARNAS LÄN</t>
        </is>
      </c>
      <c r="G225" t="inlineStr">
        <is>
          <t>SÄTER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46301</v>
      </c>
      <c r="F226" t="inlineStr">
        <is>
          <t>DALARNAS LÄN</t>
        </is>
      </c>
      <c r="G226" t="inlineStr">
        <is>
          <t>SÄTER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44572</v>
      </c>
      <c r="E227" s="1" t="n">
        <v>46301</v>
      </c>
      <c r="F227" t="inlineStr">
        <is>
          <t>DALARNAS LÄN</t>
        </is>
      </c>
      <c r="G227" t="inlineStr">
        <is>
          <t>SÄTER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46301</v>
      </c>
      <c r="F228" t="inlineStr">
        <is>
          <t>DALARNAS LÄN</t>
        </is>
      </c>
      <c r="G228" t="inlineStr">
        <is>
          <t>SÄTER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46301</v>
      </c>
      <c r="F229" t="inlineStr">
        <is>
          <t>DALARNAS LÄN</t>
        </is>
      </c>
      <c r="G229" t="inlineStr">
        <is>
          <t>SÄTER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46301</v>
      </c>
      <c r="F230" t="inlineStr">
        <is>
          <t>DALARNAS LÄN</t>
        </is>
      </c>
      <c r="G230" t="inlineStr">
        <is>
          <t>SÄTER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46087</v>
      </c>
      <c r="E231" s="1" t="n">
        <v>46301</v>
      </c>
      <c r="F231" t="inlineStr">
        <is>
          <t>DALARNAS LÄN</t>
        </is>
      </c>
      <c r="G231" t="inlineStr">
        <is>
          <t>SÄTER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43610-2025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46301</v>
      </c>
      <c r="F232" t="inlineStr">
        <is>
          <t>DALARNAS LÄN</t>
        </is>
      </c>
      <c r="G232" t="inlineStr">
        <is>
          <t>SÄTER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46301</v>
      </c>
      <c r="F233" t="inlineStr">
        <is>
          <t>DALARNAS LÄN</t>
        </is>
      </c>
      <c r="G233" t="inlineStr">
        <is>
          <t>SÄTER</t>
        </is>
      </c>
      <c r="H233" t="inlineStr">
        <is>
          <t>Kommuner</t>
        </is>
      </c>
      <c r="I233" t="n">
        <v>42.6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46301</v>
      </c>
      <c r="F234" t="inlineStr">
        <is>
          <t>DALARNAS LÄN</t>
        </is>
      </c>
      <c r="G234" t="inlineStr">
        <is>
          <t>SÄTER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46098</v>
      </c>
      <c r="E235" s="1" t="n">
        <v>46301</v>
      </c>
      <c r="F235" t="inlineStr">
        <is>
          <t>DALARNAS LÄN</t>
        </is>
      </c>
      <c r="G235" t="inlineStr">
        <is>
          <t>SÄTER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45484</v>
      </c>
      <c r="E236" s="1" t="n">
        <v>46301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19979-2025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46301</v>
      </c>
      <c r="F237" t="inlineStr">
        <is>
          <t>DALARNAS LÄN</t>
        </is>
      </c>
      <c r="G237" t="inlineStr">
        <is>
          <t>SÄTER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45811</v>
      </c>
      <c r="E238" s="1" t="n">
        <v>46301</v>
      </c>
      <c r="F238" t="inlineStr">
        <is>
          <t>DALARNAS LÄN</t>
        </is>
      </c>
      <c r="G238" t="inlineStr">
        <is>
          <t>SÄTER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46091</v>
      </c>
      <c r="E239" s="1" t="n">
        <v>46301</v>
      </c>
      <c r="F239" t="inlineStr">
        <is>
          <t>DALARNAS LÄN</t>
        </is>
      </c>
      <c r="G239" t="inlineStr">
        <is>
          <t>SÄTER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44630</v>
      </c>
      <c r="E240" s="1" t="n">
        <v>46301</v>
      </c>
      <c r="F240" t="inlineStr">
        <is>
          <t>DALARNAS LÄN</t>
        </is>
      </c>
      <c r="G240" t="inlineStr">
        <is>
          <t>SÄTER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46301</v>
      </c>
      <c r="F241" t="inlineStr">
        <is>
          <t>DALARNAS LÄN</t>
        </is>
      </c>
      <c r="G241" t="inlineStr">
        <is>
          <t>SÄTER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46301</v>
      </c>
      <c r="F242" t="inlineStr">
        <is>
          <t>DALARNAS LÄN</t>
        </is>
      </c>
      <c r="G242" t="inlineStr">
        <is>
          <t>SÄTER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46301</v>
      </c>
      <c r="F243" t="inlineStr">
        <is>
          <t>DALARNAS LÄN</t>
        </is>
      </c>
      <c r="G243" t="inlineStr">
        <is>
          <t>SÄTER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22148-2026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46301</v>
      </c>
      <c r="F244" t="inlineStr">
        <is>
          <t>DALARNAS LÄN</t>
        </is>
      </c>
      <c r="G244" t="inlineStr">
        <is>
          <t>SÄTER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46301</v>
      </c>
      <c r="F245" t="inlineStr">
        <is>
          <t>DALARNAS LÄN</t>
        </is>
      </c>
      <c r="G245" t="inlineStr">
        <is>
          <t>SÄTER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46301</v>
      </c>
      <c r="F246" t="inlineStr">
        <is>
          <t>DALARNAS LÄN</t>
        </is>
      </c>
      <c r="G246" t="inlineStr">
        <is>
          <t>SÄTER</t>
        </is>
      </c>
      <c r="H246" t="inlineStr">
        <is>
          <t>Kommuner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60655-2024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45644</v>
      </c>
      <c r="E247" s="1" t="n">
        <v>46301</v>
      </c>
      <c r="F247" t="inlineStr">
        <is>
          <t>DALARNAS LÄN</t>
        </is>
      </c>
      <c r="G247" t="inlineStr">
        <is>
          <t>SÄTER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23679-2026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46301</v>
      </c>
      <c r="F248" t="inlineStr">
        <is>
          <t>DALARNAS LÄN</t>
        </is>
      </c>
      <c r="G248" t="inlineStr">
        <is>
          <t>SÄTER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23737-2026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46301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46301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46301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46301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46301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46301</v>
      </c>
      <c r="F254" t="inlineStr">
        <is>
          <t>DALARNAS LÄN</t>
        </is>
      </c>
      <c r="G254" t="inlineStr">
        <is>
          <t>SÄTER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45190</v>
      </c>
      <c r="E255" s="1" t="n">
        <v>46301</v>
      </c>
      <c r="F255" t="inlineStr">
        <is>
          <t>DALARNAS LÄN</t>
        </is>
      </c>
      <c r="G255" t="inlineStr">
        <is>
          <t>SÄTER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18974-2024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45427</v>
      </c>
      <c r="E256" s="1" t="n">
        <v>46301</v>
      </c>
      <c r="F256" t="inlineStr">
        <is>
          <t>DALARNAS LÄN</t>
        </is>
      </c>
      <c r="G256" t="inlineStr">
        <is>
          <t>SÄTER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46301</v>
      </c>
      <c r="F257" t="inlineStr">
        <is>
          <t>DALARNAS LÄN</t>
        </is>
      </c>
      <c r="G257" t="inlineStr">
        <is>
          <t>SÄTER</t>
        </is>
      </c>
      <c r="H257" t="inlineStr">
        <is>
          <t>Kommuner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46301</v>
      </c>
      <c r="F258" t="inlineStr">
        <is>
          <t>DALARNAS LÄN</t>
        </is>
      </c>
      <c r="G258" t="inlineStr">
        <is>
          <t>SÄTER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46301</v>
      </c>
      <c r="F259" t="inlineStr">
        <is>
          <t>DALARNAS LÄN</t>
        </is>
      </c>
      <c r="G259" t="inlineStr">
        <is>
          <t>SÄTER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19162-2022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44691</v>
      </c>
      <c r="E260" s="1" t="n">
        <v>46301</v>
      </c>
      <c r="F260" t="inlineStr">
        <is>
          <t>DALARNAS LÄN</t>
        </is>
      </c>
      <c r="G260" t="inlineStr">
        <is>
          <t>SÄTER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46301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46301</v>
      </c>
      <c r="F262" t="inlineStr">
        <is>
          <t>DALARNAS LÄN</t>
        </is>
      </c>
      <c r="G262" t="inlineStr">
        <is>
          <t>SÄTER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46301</v>
      </c>
      <c r="F263" t="inlineStr">
        <is>
          <t>DALARNAS LÄN</t>
        </is>
      </c>
      <c r="G263" t="inlineStr">
        <is>
          <t>SÄTER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46301</v>
      </c>
      <c r="F264" t="inlineStr">
        <is>
          <t>DALARNAS LÄN</t>
        </is>
      </c>
      <c r="G264" t="inlineStr">
        <is>
          <t>SÄTER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46301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46301</v>
      </c>
      <c r="F266" t="inlineStr">
        <is>
          <t>DALARNAS LÄN</t>
        </is>
      </c>
      <c r="G266" t="inlineStr">
        <is>
          <t>SÄTER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46301</v>
      </c>
      <c r="F267" t="inlineStr">
        <is>
          <t>DALARNAS LÄN</t>
        </is>
      </c>
      <c r="G267" t="inlineStr">
        <is>
          <t>SÄTER</t>
        </is>
      </c>
      <c r="H267" t="inlineStr">
        <is>
          <t>Övriga statliga verk och myndigheter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45670</v>
      </c>
      <c r="E268" s="1" t="n">
        <v>46301</v>
      </c>
      <c r="F268" t="inlineStr">
        <is>
          <t>DALARNAS LÄN</t>
        </is>
      </c>
      <c r="G268" t="inlineStr">
        <is>
          <t>SÄTER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46301</v>
      </c>
      <c r="F269" t="inlineStr">
        <is>
          <t>DALARNAS LÄN</t>
        </is>
      </c>
      <c r="G269" t="inlineStr">
        <is>
          <t>SÄTER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46301</v>
      </c>
      <c r="F270" t="inlineStr">
        <is>
          <t>DALARNAS LÄN</t>
        </is>
      </c>
      <c r="G270" t="inlineStr">
        <is>
          <t>SÄTER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18888-2022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44690</v>
      </c>
      <c r="E271" s="1" t="n">
        <v>46301</v>
      </c>
      <c r="F271" t="inlineStr">
        <is>
          <t>DALARNAS LÄN</t>
        </is>
      </c>
      <c r="G271" t="inlineStr">
        <is>
          <t>SÄTER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44727</v>
      </c>
      <c r="E272" s="1" t="n">
        <v>46301</v>
      </c>
      <c r="F272" t="inlineStr">
        <is>
          <t>DALARNAS LÄN</t>
        </is>
      </c>
      <c r="G272" t="inlineStr">
        <is>
          <t>SÄTER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46301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44711</v>
      </c>
      <c r="E274" s="1" t="n">
        <v>46301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46191</v>
      </c>
      <c r="E275" s="1" t="n">
        <v>46301</v>
      </c>
      <c r="F275" t="inlineStr">
        <is>
          <t>DALARNAS LÄN</t>
        </is>
      </c>
      <c r="G275" t="inlineStr">
        <is>
          <t>SÄTER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46301</v>
      </c>
      <c r="F276" t="inlineStr">
        <is>
          <t>DALARNAS LÄN</t>
        </is>
      </c>
      <c r="G276" t="inlineStr">
        <is>
          <t>SÄTER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46301</v>
      </c>
      <c r="F277" t="inlineStr">
        <is>
          <t>DALARNAS LÄN</t>
        </is>
      </c>
      <c r="G277" t="inlineStr">
        <is>
          <t>SÄTER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25690-2022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44732</v>
      </c>
      <c r="E278" s="1" t="n">
        <v>46301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45366</v>
      </c>
      <c r="E279" s="1" t="n">
        <v>46301</v>
      </c>
      <c r="F279" t="inlineStr">
        <is>
          <t>DALARNAS LÄN</t>
        </is>
      </c>
      <c r="G279" t="inlineStr">
        <is>
          <t>SÄTER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44812</v>
      </c>
      <c r="E280" s="1" t="n">
        <v>46301</v>
      </c>
      <c r="F280" t="inlineStr">
        <is>
          <t>DALARNAS LÄN</t>
        </is>
      </c>
      <c r="G280" t="inlineStr">
        <is>
          <t>SÄTER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45265</v>
      </c>
      <c r="E281" s="1" t="n">
        <v>46301</v>
      </c>
      <c r="F281" t="inlineStr">
        <is>
          <t>DALARNAS LÄN</t>
        </is>
      </c>
      <c r="G281" t="inlineStr">
        <is>
          <t>SÄTER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30515-2026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46301</v>
      </c>
      <c r="F282" t="inlineStr">
        <is>
          <t>DALARNAS LÄN</t>
        </is>
      </c>
      <c r="G282" t="inlineStr">
        <is>
          <t>SÄTER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46301</v>
      </c>
      <c r="F283" t="inlineStr">
        <is>
          <t>DALARNAS LÄN</t>
        </is>
      </c>
      <c r="G283" t="inlineStr">
        <is>
          <t>SÄTER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46301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46301</v>
      </c>
      <c r="F285" t="inlineStr">
        <is>
          <t>DALARNAS LÄN</t>
        </is>
      </c>
      <c r="G285" t="inlineStr">
        <is>
          <t>SÄTER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46301</v>
      </c>
      <c r="F286" t="inlineStr">
        <is>
          <t>DALARNAS LÄN</t>
        </is>
      </c>
      <c r="G286" t="inlineStr">
        <is>
          <t>SÄTER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46301</v>
      </c>
      <c r="F287" t="inlineStr">
        <is>
          <t>DALARNAS LÄN</t>
        </is>
      </c>
      <c r="G287" t="inlineStr">
        <is>
          <t>SÄTER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54141-2023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45232</v>
      </c>
      <c r="E288" s="1" t="n">
        <v>46301</v>
      </c>
      <c r="F288" t="inlineStr">
        <is>
          <t>DALARNAS LÄN</t>
        </is>
      </c>
      <c r="G288" t="inlineStr">
        <is>
          <t>SÄTER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46301</v>
      </c>
      <c r="F289" t="inlineStr">
        <is>
          <t>DALARNAS LÄN</t>
        </is>
      </c>
      <c r="G289" t="inlineStr">
        <is>
          <t>SÄTER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30706-2026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46211</v>
      </c>
      <c r="E290" s="1" t="n">
        <v>46301</v>
      </c>
      <c r="F290" t="inlineStr">
        <is>
          <t>DALARNAS LÄN</t>
        </is>
      </c>
      <c r="G290" t="inlineStr">
        <is>
          <t>SÄTER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44581</v>
      </c>
      <c r="E291" s="1" t="n">
        <v>46301</v>
      </c>
      <c r="F291" t="inlineStr">
        <is>
          <t>DALARNAS LÄN</t>
        </is>
      </c>
      <c r="G291" t="inlineStr">
        <is>
          <t>SÄTER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45432</v>
      </c>
      <c r="E292" s="1" t="n">
        <v>46301</v>
      </c>
      <c r="F292" t="inlineStr">
        <is>
          <t>DALARNAS LÄN</t>
        </is>
      </c>
      <c r="G292" t="inlineStr">
        <is>
          <t>SÄTER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35564-2026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46262</v>
      </c>
      <c r="E293" s="1" t="n">
        <v>46301</v>
      </c>
      <c r="F293" t="inlineStr">
        <is>
          <t>DALARNAS LÄN</t>
        </is>
      </c>
      <c r="G293" t="inlineStr">
        <is>
          <t>SÄTER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44960</v>
      </c>
      <c r="E294" s="1" t="n">
        <v>46301</v>
      </c>
      <c r="F294" t="inlineStr">
        <is>
          <t>DALARNAS LÄN</t>
        </is>
      </c>
      <c r="G294" t="inlineStr">
        <is>
          <t>SÄTER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46261</v>
      </c>
      <c r="E295" s="1" t="n">
        <v>46301</v>
      </c>
      <c r="F295" t="inlineStr">
        <is>
          <t>DALARNAS LÄN</t>
        </is>
      </c>
      <c r="G295" t="inlineStr">
        <is>
          <t>SÄTER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46301</v>
      </c>
      <c r="F296" t="inlineStr">
        <is>
          <t>DALARNAS LÄN</t>
        </is>
      </c>
      <c r="G296" t="inlineStr">
        <is>
          <t>SÄTER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46301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51328-2024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45604</v>
      </c>
      <c r="E298" s="1" t="n">
        <v>46301</v>
      </c>
      <c r="F298" t="inlineStr">
        <is>
          <t>DALARNAS LÄN</t>
        </is>
      </c>
      <c r="G298" t="inlineStr">
        <is>
          <t>SÄTER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51339-2024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45604</v>
      </c>
      <c r="E299" s="1" t="n">
        <v>46301</v>
      </c>
      <c r="F299" t="inlineStr">
        <is>
          <t>DALARNAS LÄN</t>
        </is>
      </c>
      <c r="G299" t="inlineStr">
        <is>
          <t>SÄTER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45546</v>
      </c>
      <c r="E300" s="1" t="n">
        <v>46301</v>
      </c>
      <c r="F300" t="inlineStr">
        <is>
          <t>DALARNAS LÄN</t>
        </is>
      </c>
      <c r="G300" t="inlineStr">
        <is>
          <t>SÄTER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45604</v>
      </c>
      <c r="E301" s="1" t="n">
        <v>46301</v>
      </c>
      <c r="F301" t="inlineStr">
        <is>
          <t>DALARNAS LÄN</t>
        </is>
      </c>
      <c r="G301" t="inlineStr">
        <is>
          <t>SÄTER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44643</v>
      </c>
      <c r="E302" s="1" t="n">
        <v>46301</v>
      </c>
      <c r="F302" t="inlineStr">
        <is>
          <t>DALARNAS LÄN</t>
        </is>
      </c>
      <c r="G302" t="inlineStr">
        <is>
          <t>SÄTER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57430-2022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44896</v>
      </c>
      <c r="E303" s="1" t="n">
        <v>46301</v>
      </c>
      <c r="F303" t="inlineStr">
        <is>
          <t>DALARNAS LÄN</t>
        </is>
      </c>
      <c r="G303" t="inlineStr">
        <is>
          <t>SÄTER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37429-2026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46275</v>
      </c>
      <c r="E304" s="1" t="n">
        <v>46301</v>
      </c>
      <c r="F304" t="inlineStr">
        <is>
          <t>DALARNAS LÄN</t>
        </is>
      </c>
      <c r="G304" t="inlineStr">
        <is>
          <t>SÄTER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46301</v>
      </c>
      <c r="F305" t="inlineStr">
        <is>
          <t>DALARNAS LÄN</t>
        </is>
      </c>
      <c r="G305" t="inlineStr">
        <is>
          <t>SÄTER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37502-2026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46301</v>
      </c>
      <c r="F306" t="inlineStr">
        <is>
          <t>DALARNAS LÄN</t>
        </is>
      </c>
      <c r="G306" t="inlineStr">
        <is>
          <t>SÄTER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36969-2026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46273</v>
      </c>
      <c r="E307" s="1" t="n">
        <v>46301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46234</v>
      </c>
      <c r="E308" s="1" t="n">
        <v>46301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34990-2024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46301</v>
      </c>
      <c r="F309" t="inlineStr">
        <is>
          <t>DALARNAS LÄN</t>
        </is>
      </c>
      <c r="G309" t="inlineStr">
        <is>
          <t>SÄTER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46301</v>
      </c>
      <c r="F310" t="inlineStr">
        <is>
          <t>DALARNAS LÄN</t>
        </is>
      </c>
      <c r="G310" t="inlineStr">
        <is>
          <t>SÄTER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45599</v>
      </c>
      <c r="E311" s="1" t="n">
        <v>46301</v>
      </c>
      <c r="F311" t="inlineStr">
        <is>
          <t>DALARNAS LÄN</t>
        </is>
      </c>
      <c r="G311" t="inlineStr">
        <is>
          <t>SÄTER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38684-2026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46283</v>
      </c>
      <c r="E312" s="1" t="n">
        <v>46301</v>
      </c>
      <c r="F312" t="inlineStr">
        <is>
          <t>DALARNAS LÄN</t>
        </is>
      </c>
      <c r="G312" t="inlineStr">
        <is>
          <t>SÄTER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46301</v>
      </c>
      <c r="F313" t="inlineStr">
        <is>
          <t>DALARNAS LÄN</t>
        </is>
      </c>
      <c r="G313" t="inlineStr">
        <is>
          <t>SÄTER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37440-2022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44809</v>
      </c>
      <c r="E314" s="1" t="n">
        <v>46301</v>
      </c>
      <c r="F314" t="inlineStr">
        <is>
          <t>DALARNAS LÄN</t>
        </is>
      </c>
      <c r="G314" t="inlineStr">
        <is>
          <t>SÄTER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45628</v>
      </c>
      <c r="E315" s="1" t="n">
        <v>46301</v>
      </c>
      <c r="F315" t="inlineStr">
        <is>
          <t>DALARNAS LÄN</t>
        </is>
      </c>
      <c r="G315" t="inlineStr">
        <is>
          <t>SÄTER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26503-2022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44739</v>
      </c>
      <c r="E316" s="1" t="n">
        <v>46301</v>
      </c>
      <c r="F316" t="inlineStr">
        <is>
          <t>DALARNAS LÄN</t>
        </is>
      </c>
      <c r="G316" t="inlineStr">
        <is>
          <t>SÄTER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9586-2023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44982</v>
      </c>
      <c r="E317" s="1" t="n">
        <v>46301</v>
      </c>
      <c r="F317" t="inlineStr">
        <is>
          <t>DALARNAS LÄN</t>
        </is>
      </c>
      <c r="G317" t="inlineStr">
        <is>
          <t>SÄTER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62368-2023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46301</v>
      </c>
      <c r="F318" t="inlineStr">
        <is>
          <t>DALARNAS LÄN</t>
        </is>
      </c>
      <c r="G318" t="inlineStr">
        <is>
          <t>SÄTER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39487-2022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44817</v>
      </c>
      <c r="E319" s="1" t="n">
        <v>46301</v>
      </c>
      <c r="F319" t="inlineStr">
        <is>
          <t>DALARNAS LÄN</t>
        </is>
      </c>
      <c r="G319" t="inlineStr">
        <is>
          <t>SÄTER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21766-2024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45442</v>
      </c>
      <c r="E320" s="1" t="n">
        <v>46301</v>
      </c>
      <c r="F320" t="inlineStr">
        <is>
          <t>DALARNAS LÄN</t>
        </is>
      </c>
      <c r="G320" t="inlineStr">
        <is>
          <t>SÄTER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44935</v>
      </c>
      <c r="E321" s="1" t="n">
        <v>46301</v>
      </c>
      <c r="F321" t="inlineStr">
        <is>
          <t>DALARNAS LÄN</t>
        </is>
      </c>
      <c r="G321" t="inlineStr">
        <is>
          <t>SÄTER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32892-2022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44784</v>
      </c>
      <c r="E322" s="1" t="n">
        <v>46301</v>
      </c>
      <c r="F322" t="inlineStr">
        <is>
          <t>DALARNAS LÄN</t>
        </is>
      </c>
      <c r="G322" t="inlineStr">
        <is>
          <t>SÄTER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32904-2022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46301</v>
      </c>
      <c r="F323" t="inlineStr">
        <is>
          <t>DALARNAS LÄN</t>
        </is>
      </c>
      <c r="G323" t="inlineStr">
        <is>
          <t>SÄTER</t>
        </is>
      </c>
      <c r="H323" t="inlineStr">
        <is>
          <t>Bergvik skog väst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45527</v>
      </c>
      <c r="E324" s="1" t="n">
        <v>46301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45268</v>
      </c>
      <c r="E325" s="1" t="n">
        <v>46301</v>
      </c>
      <c r="F325" t="inlineStr">
        <is>
          <t>DALARNAS LÄN</t>
        </is>
      </c>
      <c r="G325" t="inlineStr">
        <is>
          <t>SÄTER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34652-2024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45526</v>
      </c>
      <c r="E326" s="1" t="n">
        <v>46301</v>
      </c>
      <c r="F326" t="inlineStr">
        <is>
          <t>DALARNAS LÄN</t>
        </is>
      </c>
      <c r="G326" t="inlineStr">
        <is>
          <t>SÄTER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44811</v>
      </c>
      <c r="E327" s="1" t="n">
        <v>46301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39714-2026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46290</v>
      </c>
      <c r="E328" s="1" t="n">
        <v>46301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46301</v>
      </c>
      <c r="F329" t="inlineStr">
        <is>
          <t>DALARNAS LÄN</t>
        </is>
      </c>
      <c r="G329" t="inlineStr">
        <is>
          <t>SÄTER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46301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9.199999999999999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39883-2026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46301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46301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42225-2022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44830</v>
      </c>
      <c r="E333" s="1" t="n">
        <v>46301</v>
      </c>
      <c r="F333" t="inlineStr">
        <is>
          <t>DALARNAS LÄN</t>
        </is>
      </c>
      <c r="G333" t="inlineStr">
        <is>
          <t>SÄTER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46301</v>
      </c>
      <c r="F334" t="inlineStr">
        <is>
          <t>DALARNAS LÄN</t>
        </is>
      </c>
      <c r="G334" t="inlineStr">
        <is>
          <t>SÄTER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51333-2024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45604</v>
      </c>
      <c r="E335" s="1" t="n">
        <v>46301</v>
      </c>
      <c r="F335" t="inlineStr">
        <is>
          <t>DALARNAS LÄN</t>
        </is>
      </c>
      <c r="G335" t="inlineStr">
        <is>
          <t>SÄTER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45175</v>
      </c>
      <c r="E336" s="1" t="n">
        <v>46301</v>
      </c>
      <c r="F336" t="inlineStr">
        <is>
          <t>DALARNAS LÄN</t>
        </is>
      </c>
      <c r="G336" t="inlineStr">
        <is>
          <t>SÄTER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45664</v>
      </c>
      <c r="E337" s="1" t="n">
        <v>46301</v>
      </c>
      <c r="F337" t="inlineStr">
        <is>
          <t>DALARNAS LÄN</t>
        </is>
      </c>
      <c r="G337" t="inlineStr">
        <is>
          <t>SÄTER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  <c r="Z337">
        <f>HYPERLINK("https://klasma.github.io/Logging_2082/knärot/A 498-2025 karta knärot.png", "A 498-2025")</f>
        <v/>
      </c>
      <c r="AA337">
        <f>HYPERLINK("https://klasma.github.io/Logging_2082/klagomål/A 498-2025 FSC-klagomål.docx", "A 498-2025")</f>
        <v/>
      </c>
      <c r="AB337">
        <f>HYPERLINK("https://klasma.github.io/Logging_2082/klagomålsmail/A 498-2025 FSC-klagomål mail.docx", "A 498-2025")</f>
        <v/>
      </c>
      <c r="AC337">
        <f>HYPERLINK("https://klasma.github.io/Logging_2082/tillsyn/A 498-2025 tillsynsbegäran.docx", "A 498-2025")</f>
        <v/>
      </c>
      <c r="AD337">
        <f>HYPERLINK("https://klasma.github.io/Logging_2082/tillsynsmail/A 498-2025 tillsynsbegäran mail.docx", "A 498-2025")</f>
        <v/>
      </c>
    </row>
    <row r="338" ht="15" customHeight="1">
      <c r="A338" t="inlineStr">
        <is>
          <t>A 28281-2026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46301</v>
      </c>
      <c r="F338" t="inlineStr">
        <is>
          <t>DALARNAS LÄN</t>
        </is>
      </c>
      <c r="G338" t="inlineStr">
        <is>
          <t>SÄTER</t>
        </is>
      </c>
      <c r="H338" t="inlineStr">
        <is>
          <t>Sveaskog</t>
        </is>
      </c>
      <c r="I338" t="n">
        <v>19.8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46301</v>
      </c>
      <c r="F339" t="inlineStr">
        <is>
          <t>DALARNAS LÄN</t>
        </is>
      </c>
      <c r="G339" t="inlineStr">
        <is>
          <t>SÄTER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46293</v>
      </c>
      <c r="E340" s="1" t="n">
        <v>46301</v>
      </c>
      <c r="F340" t="inlineStr">
        <is>
          <t>DALARNAS LÄN</t>
        </is>
      </c>
      <c r="G340" t="inlineStr">
        <is>
          <t>SÄTER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45232</v>
      </c>
      <c r="E341" s="1" t="n">
        <v>46301</v>
      </c>
      <c r="F341" t="inlineStr">
        <is>
          <t>DALARNAS LÄN</t>
        </is>
      </c>
      <c r="G341" t="inlineStr">
        <is>
          <t>SÄTER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41471-2023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45171</v>
      </c>
      <c r="E342" s="1" t="n">
        <v>46301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46301</v>
      </c>
      <c r="F343" t="inlineStr">
        <is>
          <t>DALARNAS LÄN</t>
        </is>
      </c>
      <c r="G343" t="inlineStr">
        <is>
          <t>SÄTER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46301</v>
      </c>
      <c r="F344" t="inlineStr">
        <is>
          <t>DALARNAS LÄN</t>
        </is>
      </c>
      <c r="G344" t="inlineStr">
        <is>
          <t>SÄTER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46301</v>
      </c>
      <c r="F345" t="inlineStr">
        <is>
          <t>DALARNAS LÄN</t>
        </is>
      </c>
      <c r="G345" t="inlineStr">
        <is>
          <t>SÄTER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46300</v>
      </c>
      <c r="E346" s="1" t="n">
        <v>46301</v>
      </c>
      <c r="F346" t="inlineStr">
        <is>
          <t>DALARNAS LÄN</t>
        </is>
      </c>
      <c r="G346" t="inlineStr">
        <is>
          <t>SÄTER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45432</v>
      </c>
      <c r="E347" s="1" t="n">
        <v>46301</v>
      </c>
      <c r="F347" t="inlineStr">
        <is>
          <t>DALARNAS LÄN</t>
        </is>
      </c>
      <c r="G347" t="inlineStr">
        <is>
          <t>SÄTER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46301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34357-2026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46254</v>
      </c>
      <c r="E349" s="1" t="n">
        <v>46301</v>
      </c>
      <c r="F349" t="inlineStr">
        <is>
          <t>DALARNAS LÄN</t>
        </is>
      </c>
      <c r="G349" t="inlineStr">
        <is>
          <t>SÄTER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46301</v>
      </c>
      <c r="F350" t="inlineStr">
        <is>
          <t>DALARNAS LÄN</t>
        </is>
      </c>
      <c r="G350" t="inlineStr">
        <is>
          <t>SÄTER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45666</v>
      </c>
      <c r="E351" s="1" t="n">
        <v>46301</v>
      </c>
      <c r="F351" t="inlineStr">
        <is>
          <t>DALARNAS LÄN</t>
        </is>
      </c>
      <c r="G351" t="inlineStr">
        <is>
          <t>SÄTER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10404-2024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45365</v>
      </c>
      <c r="E352" s="1" t="n">
        <v>46301</v>
      </c>
      <c r="F352" t="inlineStr">
        <is>
          <t>DALARNAS LÄN</t>
        </is>
      </c>
      <c r="G352" t="inlineStr">
        <is>
          <t>SÄTER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45443</v>
      </c>
      <c r="E353" s="1" t="n">
        <v>46301</v>
      </c>
      <c r="F353" t="inlineStr">
        <is>
          <t>DALARNAS LÄN</t>
        </is>
      </c>
      <c r="G353" t="inlineStr">
        <is>
          <t>SÄTER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39998-2026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46293</v>
      </c>
      <c r="E354" s="1" t="n">
        <v>46301</v>
      </c>
      <c r="F354" t="inlineStr">
        <is>
          <t>DALARNAS LÄN</t>
        </is>
      </c>
      <c r="G354" t="inlineStr">
        <is>
          <t>SÄTER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45118</v>
      </c>
      <c r="E355" s="1" t="n">
        <v>46301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45462</v>
      </c>
      <c r="E356" s="1" t="n">
        <v>46301</v>
      </c>
      <c r="F356" t="inlineStr">
        <is>
          <t>DALARNAS LÄN</t>
        </is>
      </c>
      <c r="G356" t="inlineStr">
        <is>
          <t>SÄTER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45377</v>
      </c>
      <c r="E357" s="1" t="n">
        <v>46301</v>
      </c>
      <c r="F357" t="inlineStr">
        <is>
          <t>DALARNAS LÄN</t>
        </is>
      </c>
      <c r="G357" t="inlineStr">
        <is>
          <t>SÄTER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45804</v>
      </c>
      <c r="E358" s="1" t="n">
        <v>46301</v>
      </c>
      <c r="F358" t="inlineStr">
        <is>
          <t>DALARNAS LÄN</t>
        </is>
      </c>
      <c r="G358" t="inlineStr">
        <is>
          <t>SÄTER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46301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46301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46301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46301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46301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46301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46301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46301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46301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2026-10-06T01:52:51Z</dcterms:created>
  <dcterms:modified xmlns:dcterms="http://purl.org/dc/terms/" xmlns:xsi="http://www.w3.org/2001/XMLSchema-instance" xsi:type="dcterms:W3CDTF">2026-10-06T01:52:52Z</dcterms:modified>
</cp:coreProperties>
</file>