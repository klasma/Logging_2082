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46302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46302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46302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46302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46302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46302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46302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46302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27374-2022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44742</v>
      </c>
      <c r="E18" s="1" t="n">
        <v>46302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4.3</v>
      </c>
      <c r="J18" t="n">
        <v>2</v>
      </c>
      <c r="K18" t="n">
        <v>1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13</v>
      </c>
      <c r="U18" t="n">
        <v>0</v>
      </c>
      <c r="V18" s="2" t="inlineStr">
        <is>
          <t>Garnlav
Knärot
Nästrot</t>
        </is>
      </c>
      <c r="W18">
        <f>HYPERLINK("https://klasma.github.io/Logging_2082/artfynd/A 27374-2022 artfynd.xlsx", "A 27374-2022")</f>
        <v/>
      </c>
      <c r="X18">
        <f>HYPERLINK("https://klasma.github.io/Logging_2082/kartor/A 27374-2022 karta.png", "A 27374-2022")</f>
        <v/>
      </c>
      <c r="Y18">
        <f>HYPERLINK("https://klasma.github.io/Logging_2082/kartor_geotiff/A 27374-2022 georefererad karta.tif", "A 27374-2022")</f>
        <v/>
      </c>
      <c r="Z18">
        <f>HYPERLINK("https://klasma.github.io/Logging_2082/knärot/A 27374-2022 karta knärot.png", "A 27374-2022")</f>
        <v/>
      </c>
      <c r="AA18">
        <f>HYPERLINK("https://klasma.github.io/Logging_2082/klagomål/A 27374-2022 FSC-klagomål.docx", "A 27374-2022")</f>
        <v/>
      </c>
      <c r="AB18">
        <f>HYPERLINK("https://klasma.github.io/Logging_2082/klagomålsmail/A 27374-2022 FSC-klagomål mail.docx", "A 27374-2022")</f>
        <v/>
      </c>
      <c r="AC18">
        <f>HYPERLINK("https://klasma.github.io/Logging_2082/tillsyn/A 27374-2022 tillsynsbegäran.docx", "A 27374-2022")</f>
        <v/>
      </c>
      <c r="AD18">
        <f>HYPERLINK("https://klasma.github.io/Logging_2082/tillsynsmail/A 27374-2022 tillsynsbegäran mail.docx", "A 27374-2022")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46302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46302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46302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46302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46302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46302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46302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46302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46302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46302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46302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46302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46302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11533-2026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46083</v>
      </c>
      <c r="E33" s="1" t="n">
        <v>46302</v>
      </c>
      <c r="F33" t="inlineStr">
        <is>
          <t>DALARNAS LÄN</t>
        </is>
      </c>
      <c r="G33" t="inlineStr">
        <is>
          <t>SÄTER</t>
        </is>
      </c>
      <c r="H33" t="inlineStr">
        <is>
          <t>Kommuner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HYPERLINK("https://klasma.github.io/Logging_2082/artfynd/A 11533-2026 artfynd.xlsx", "A 11533-2026")</f>
        <v/>
      </c>
      <c r="X33">
        <f>HYPERLINK("https://klasma.github.io/Logging_2082/kartor/A 11533-2026 karta.png", "A 11533-2026")</f>
        <v/>
      </c>
      <c r="Y33">
        <f>HYPERLINK("https://klasma.github.io/Logging_2082/kartor_geotiff/A 11533-2026 georefererad karta.tif", "A 11533-2026")</f>
        <v/>
      </c>
      <c r="AA33">
        <f>HYPERLINK("https://klasma.github.io/Logging_2082/klagomål/A 11533-2026 FSC-klagomål.docx", "A 11533-2026")</f>
        <v/>
      </c>
      <c r="AB33">
        <f>HYPERLINK("https://klasma.github.io/Logging_2082/klagomålsmail/A 11533-2026 FSC-klagomål mail.docx", "A 11533-2026")</f>
        <v/>
      </c>
      <c r="AC33">
        <f>HYPERLINK("https://klasma.github.io/Logging_2082/tillsyn/A 11533-2026 tillsynsbegäran.docx", "A 11533-2026")</f>
        <v/>
      </c>
      <c r="AD33">
        <f>HYPERLINK("https://klasma.github.io/Logging_2082/tillsynsmail/A 11533-2026 tillsynsbegäran mail.docx", "A 11533-2026")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46302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34938-2025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46302</v>
      </c>
      <c r="F35" t="inlineStr">
        <is>
          <t>DALARNAS LÄN</t>
        </is>
      </c>
      <c r="G35" t="inlineStr">
        <is>
          <t>SÄTER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HYPERLINK("https://klasma.github.io/Logging_2082/artfynd/A 34938-2025 artfynd.xlsx", "A 34938-2025")</f>
        <v/>
      </c>
      <c r="X35">
        <f>HYPERLINK("https://klasma.github.io/Logging_2082/kartor/A 34938-2025 karta.png", "A 34938-2025")</f>
        <v/>
      </c>
      <c r="Y35">
        <f>HYPERLINK("https://klasma.github.io/Logging_2082/kartor_geotiff/A 34938-2025 georefererad karta.tif", "A 34938-2025")</f>
        <v/>
      </c>
      <c r="AA35">
        <f>HYPERLINK("https://klasma.github.io/Logging_2082/klagomål/A 34938-2025 FSC-klagomål.docx", "A 34938-2025")</f>
        <v/>
      </c>
      <c r="AB35">
        <f>HYPERLINK("https://klasma.github.io/Logging_2082/klagomålsmail/A 34938-2025 FSC-klagomål mail.docx", "A 34938-2025")</f>
        <v/>
      </c>
      <c r="AC35">
        <f>HYPERLINK("https://klasma.github.io/Logging_2082/tillsyn/A 34938-2025 tillsynsbegäran.docx", "A 34938-2025")</f>
        <v/>
      </c>
      <c r="AD35">
        <f>HYPERLINK("https://klasma.github.io/Logging_2082/tillsynsmail/A 34938-2025 tillsynsbegäran mail.docx", "A 34938-2025")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46302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46302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46302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46302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46302</v>
      </c>
      <c r="F40" t="inlineStr">
        <is>
          <t>DALARNAS LÄN</t>
        </is>
      </c>
      <c r="G40" t="inlineStr">
        <is>
          <t>SÄTER</t>
        </is>
      </c>
      <c r="I40" t="n">
        <v>4.8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21120-2026 artfynd.xlsx", "A 21120-2026")</f>
        <v/>
      </c>
      <c r="X40">
        <f>HYPERLINK("https://klasma.github.io/Logging_2082/kartor/A 21120-2026 karta.png", "A 21120-2026")</f>
        <v/>
      </c>
      <c r="Y40">
        <f>HYPERLINK("https://klasma.github.io/Logging_2082/kartor_geotiff/A 21120-2026 georefererad karta.tif", "A 21120-2026")</f>
        <v/>
      </c>
      <c r="Z40">
        <f>HYPERLINK("https://klasma.github.io/Logging_2082/knärot/A 21120-2026 karta knärot.png", "A 21120-2026")</f>
        <v/>
      </c>
      <c r="AA40">
        <f>HYPERLINK("https://klasma.github.io/Logging_2082/klagomål/A 21120-2026 FSC-klagomål.docx", "A 21120-2026")</f>
        <v/>
      </c>
      <c r="AB40">
        <f>HYPERLINK("https://klasma.github.io/Logging_2082/klagomålsmail/A 21120-2026 FSC-klagomål mail.docx", "A 21120-2026")</f>
        <v/>
      </c>
      <c r="AC40">
        <f>HYPERLINK("https://klasma.github.io/Logging_2082/tillsyn/A 21120-2026 tillsynsbegäran.docx", "A 21120-2026")</f>
        <v/>
      </c>
      <c r="AD40">
        <f>HYPERLINK("https://klasma.github.io/Logging_2082/tillsynsmail/A 21120-2026 tillsynsbegäran mail.docx", "A 21120-2026")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46302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9682-2025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45716</v>
      </c>
      <c r="E42" s="1" t="n">
        <v>46302</v>
      </c>
      <c r="F42" t="inlineStr">
        <is>
          <t>DALARNAS LÄN</t>
        </is>
      </c>
      <c r="G42" t="inlineStr">
        <is>
          <t>SÄTER</t>
        </is>
      </c>
      <c r="I42" t="n">
        <v>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Ögonpyrola</t>
        </is>
      </c>
      <c r="W42">
        <f>HYPERLINK("https://klasma.github.io/Logging_2082/artfynd/A 9682-2025 artfynd.xlsx", "A 9682-2025")</f>
        <v/>
      </c>
      <c r="X42">
        <f>HYPERLINK("https://klasma.github.io/Logging_2082/kartor/A 9682-2025 karta.png", "A 9682-2025")</f>
        <v/>
      </c>
      <c r="Y42">
        <f>HYPERLINK("https://klasma.github.io/Logging_2082/kartor_geotiff/A 9682-2025 georefererad karta.tif", "A 9682-2025")</f>
        <v/>
      </c>
      <c r="AA42">
        <f>HYPERLINK("https://klasma.github.io/Logging_2082/klagomål/A 9682-2025 FSC-klagomål.docx", "A 9682-2025")</f>
        <v/>
      </c>
      <c r="AB42">
        <f>HYPERLINK("https://klasma.github.io/Logging_2082/klagomålsmail/A 9682-2025 FSC-klagomål mail.docx", "A 9682-2025")</f>
        <v/>
      </c>
      <c r="AC42">
        <f>HYPERLINK("https://klasma.github.io/Logging_2082/tillsyn/A 9682-2025 tillsynsbegäran.docx", "A 9682-2025")</f>
        <v/>
      </c>
      <c r="AD42">
        <f>HYPERLINK("https://klasma.github.io/Logging_2082/tillsynsmail/A 9682-2025 tillsynsbegäran mail.docx", "A 9682-2025")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46302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36969-2026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46273</v>
      </c>
      <c r="E44" s="1" t="n">
        <v>46302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Bronshjon</t>
        </is>
      </c>
      <c r="W44">
        <f>HYPERLINK("https://klasma.github.io/Logging_2082/artfynd/A 36969-2026 artfynd.xlsx", "A 36969-2026")</f>
        <v/>
      </c>
      <c r="X44">
        <f>HYPERLINK("https://klasma.github.io/Logging_2082/kartor/A 36969-2026 karta.png", "A 36969-2026")</f>
        <v/>
      </c>
      <c r="Y44">
        <f>HYPERLINK("https://klasma.github.io/Logging_2082/kartor_geotiff/A 36969-2026 georefererad karta.tif", "A 36969-2026")</f>
        <v/>
      </c>
      <c r="AA44">
        <f>HYPERLINK("https://klasma.github.io/Logging_2082/klagomål/A 36969-2026 FSC-klagomål.docx", "A 36969-2026")</f>
        <v/>
      </c>
      <c r="AB44">
        <f>HYPERLINK("https://klasma.github.io/Logging_2082/klagomålsmail/A 36969-2026 FSC-klagomål mail.docx", "A 36969-2026")</f>
        <v/>
      </c>
      <c r="AC44">
        <f>HYPERLINK("https://klasma.github.io/Logging_2082/tillsyn/A 36969-2026 tillsynsbegäran.docx", "A 36969-2026")</f>
        <v/>
      </c>
      <c r="AD44">
        <f>HYPERLINK("https://klasma.github.io/Logging_2082/tillsynsmail/A 36969-2026 tillsynsbegäran mail.docx", "A 36969-2026")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46302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33605-2022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46302</v>
      </c>
      <c r="F46" t="inlineStr">
        <is>
          <t>DALARNAS LÄN</t>
        </is>
      </c>
      <c r="G46" t="inlineStr">
        <is>
          <t>SÄTER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Ullticka</t>
        </is>
      </c>
      <c r="W46">
        <f>HYPERLINK("https://klasma.github.io/Logging_2082/artfynd/A 33605-2022 artfynd.xlsx", "A 33605-2022")</f>
        <v/>
      </c>
      <c r="X46">
        <f>HYPERLINK("https://klasma.github.io/Logging_2082/kartor/A 33605-2022 karta.png", "A 33605-2022")</f>
        <v/>
      </c>
      <c r="Y46">
        <f>HYPERLINK("https://klasma.github.io/Logging_2082/kartor_geotiff/A 33605-2022 georefererad karta.tif", "A 33605-2022")</f>
        <v/>
      </c>
      <c r="AA46">
        <f>HYPERLINK("https://klasma.github.io/Logging_2082/klagomål/A 33605-2022 FSC-klagomål.docx", "A 33605-2022")</f>
        <v/>
      </c>
      <c r="AB46">
        <f>HYPERLINK("https://klasma.github.io/Logging_2082/klagomålsmail/A 33605-2022 FSC-klagomål mail.docx", "A 33605-2022")</f>
        <v/>
      </c>
      <c r="AC46">
        <f>HYPERLINK("https://klasma.github.io/Logging_2082/tillsyn/A 33605-2022 tillsynsbegäran.docx", "A 33605-2022")</f>
        <v/>
      </c>
      <c r="AD46">
        <f>HYPERLINK("https://klasma.github.io/Logging_2082/tillsynsmail/A 33605-2022 tillsynsbegäran mail.docx", "A 33605-2022")</f>
        <v/>
      </c>
    </row>
    <row r="47" ht="15" customHeight="1">
      <c r="A47" t="inlineStr">
        <is>
          <t>A 57427-2022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44896</v>
      </c>
      <c r="E47" s="1" t="n">
        <v>46302</v>
      </c>
      <c r="F47" t="inlineStr">
        <is>
          <t>DALARNAS LÄN</t>
        </is>
      </c>
      <c r="G47" t="inlineStr">
        <is>
          <t>SÄTER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HYPERLINK("https://klasma.github.io/Logging_2082/artfynd/A 57427-2022 artfynd.xlsx", "A 57427-2022")</f>
        <v/>
      </c>
      <c r="X47">
        <f>HYPERLINK("https://klasma.github.io/Logging_2082/kartor/A 57427-2022 karta.png", "A 57427-2022")</f>
        <v/>
      </c>
      <c r="Y47">
        <f>HYPERLINK("https://klasma.github.io/Logging_2082/kartor_geotiff/A 57427-2022 georefererad karta.tif", "A 57427-2022")</f>
        <v/>
      </c>
      <c r="AA47">
        <f>HYPERLINK("https://klasma.github.io/Logging_2082/klagomål/A 57427-2022 FSC-klagomål.docx", "A 57427-2022")</f>
        <v/>
      </c>
      <c r="AB47">
        <f>HYPERLINK("https://klasma.github.io/Logging_2082/klagomålsmail/A 57427-2022 FSC-klagomål mail.docx", "A 57427-2022")</f>
        <v/>
      </c>
      <c r="AC47">
        <f>HYPERLINK("https://klasma.github.io/Logging_2082/tillsyn/A 57427-2022 tillsynsbegäran.docx", "A 57427-2022")</f>
        <v/>
      </c>
      <c r="AD47">
        <f>HYPERLINK("https://klasma.github.io/Logging_2082/tillsynsmail/A 57427-2022 tillsynsbegäran mail.docx", "A 57427-2022")</f>
        <v/>
      </c>
    </row>
    <row r="48" ht="15" customHeight="1">
      <c r="A48" t="inlineStr">
        <is>
          <t>A 5232-2022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44594</v>
      </c>
      <c r="E48" s="1" t="n">
        <v>46302</v>
      </c>
      <c r="F48" t="inlineStr">
        <is>
          <t>DALARNAS LÄN</t>
        </is>
      </c>
      <c r="G48" t="inlineStr">
        <is>
          <t>SÄTER</t>
        </is>
      </c>
      <c r="I48" t="n">
        <v>2.5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Tvåblad</t>
        </is>
      </c>
      <c r="W48">
        <f>HYPERLINK("https://klasma.github.io/Logging_2082/artfynd/A 5232-2022 artfynd.xlsx", "A 5232-2022")</f>
        <v/>
      </c>
      <c r="X48">
        <f>HYPERLINK("https://klasma.github.io/Logging_2082/kartor/A 5232-2022 karta.png", "A 5232-2022")</f>
        <v/>
      </c>
      <c r="Y48">
        <f>HYPERLINK("https://klasma.github.io/Logging_2082/kartor_geotiff/A 5232-2022 georefererad karta.tif", "A 5232-2022")</f>
        <v/>
      </c>
      <c r="AA48">
        <f>HYPERLINK("https://klasma.github.io/Logging_2082/klagomål/A 5232-2022 FSC-klagomål.docx", "A 5232-2022")</f>
        <v/>
      </c>
      <c r="AB48">
        <f>HYPERLINK("https://klasma.github.io/Logging_2082/klagomålsmail/A 5232-2022 FSC-klagomål mail.docx", "A 5232-2022")</f>
        <v/>
      </c>
      <c r="AC48">
        <f>HYPERLINK("https://klasma.github.io/Logging_2082/tillsyn/A 5232-2022 tillsynsbegäran.docx", "A 5232-2022")</f>
        <v/>
      </c>
      <c r="AD48">
        <f>HYPERLINK("https://klasma.github.io/Logging_2082/tillsynsmail/A 5232-2022 tillsynsbegäran mail.docx", "A 5232-2022")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46302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46302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46302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46302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46302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46302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46302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46302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46302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46302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46302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72518-2021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46302</v>
      </c>
      <c r="F60" t="inlineStr">
        <is>
          <t>DALARNAS LÄN</t>
        </is>
      </c>
      <c r="G60" t="inlineStr">
        <is>
          <t>SÄTER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46302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44500</v>
      </c>
      <c r="E62" s="1" t="n">
        <v>46302</v>
      </c>
      <c r="F62" t="inlineStr">
        <is>
          <t>DALARNAS LÄN</t>
        </is>
      </c>
      <c r="G62" t="inlineStr">
        <is>
          <t>SÄTER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46302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46302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46302</v>
      </c>
      <c r="F65" t="inlineStr">
        <is>
          <t>DALARNAS LÄN</t>
        </is>
      </c>
      <c r="G65" t="inlineStr">
        <is>
          <t>SÄTER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46302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46302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46302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46302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46302</v>
      </c>
      <c r="F70" t="inlineStr">
        <is>
          <t>DALARNAS LÄN</t>
        </is>
      </c>
      <c r="G70" t="inlineStr">
        <is>
          <t>SÄTER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46302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46302</v>
      </c>
      <c r="F72" t="inlineStr">
        <is>
          <t>DALARNAS LÄN</t>
        </is>
      </c>
      <c r="G72" t="inlineStr">
        <is>
          <t>SÄTER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46302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46302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46302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46302</v>
      </c>
      <c r="F76" t="inlineStr">
        <is>
          <t>DALARNAS LÄN</t>
        </is>
      </c>
      <c r="G76" t="inlineStr">
        <is>
          <t>SÄTER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46302</v>
      </c>
      <c r="F77" t="inlineStr">
        <is>
          <t>DALARNAS LÄN</t>
        </is>
      </c>
      <c r="G77" t="inlineStr">
        <is>
          <t>SÄTER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46302</v>
      </c>
      <c r="F78" t="inlineStr">
        <is>
          <t>DALARNAS LÄN</t>
        </is>
      </c>
      <c r="G78" t="inlineStr">
        <is>
          <t>SÄTER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44581</v>
      </c>
      <c r="E79" s="1" t="n">
        <v>46302</v>
      </c>
      <c r="F79" t="inlineStr">
        <is>
          <t>DALARNAS LÄN</t>
        </is>
      </c>
      <c r="G79" t="inlineStr">
        <is>
          <t>SÄTER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46302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46302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46302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46302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46302</v>
      </c>
      <c r="F84" t="inlineStr">
        <is>
          <t>DALARNAS LÄN</t>
        </is>
      </c>
      <c r="G84" t="inlineStr">
        <is>
          <t>SÄTER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46302</v>
      </c>
      <c r="F85" t="inlineStr">
        <is>
          <t>DALARNAS LÄN</t>
        </is>
      </c>
      <c r="G85" t="inlineStr">
        <is>
          <t>SÄTER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46302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46302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46302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46302</v>
      </c>
      <c r="F89" t="inlineStr">
        <is>
          <t>DALARNAS LÄN</t>
        </is>
      </c>
      <c r="G89" t="inlineStr">
        <is>
          <t>SÄTER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46302</v>
      </c>
      <c r="F90" t="inlineStr">
        <is>
          <t>DALARNAS LÄN</t>
        </is>
      </c>
      <c r="G90" t="inlineStr">
        <is>
          <t>SÄTER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45377</v>
      </c>
      <c r="E91" s="1" t="n">
        <v>46302</v>
      </c>
      <c r="F91" t="inlineStr">
        <is>
          <t>DALARNAS LÄN</t>
        </is>
      </c>
      <c r="G91" t="inlineStr">
        <is>
          <t>SÄTER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46027</v>
      </c>
      <c r="E92" s="1" t="n">
        <v>46302</v>
      </c>
      <c r="F92" t="inlineStr">
        <is>
          <t>DALARNAS LÄN</t>
        </is>
      </c>
      <c r="G92" t="inlineStr">
        <is>
          <t>SÄTER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45240</v>
      </c>
      <c r="E93" s="1" t="n">
        <v>46302</v>
      </c>
      <c r="F93" t="inlineStr">
        <is>
          <t>DALARNAS LÄN</t>
        </is>
      </c>
      <c r="G93" t="inlineStr">
        <is>
          <t>SÄTER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46030</v>
      </c>
      <c r="E94" s="1" t="n">
        <v>46302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46302</v>
      </c>
      <c r="F95" t="inlineStr">
        <is>
          <t>DALARNAS LÄN</t>
        </is>
      </c>
      <c r="G95" t="inlineStr">
        <is>
          <t>SÄTER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46302</v>
      </c>
      <c r="F96" t="inlineStr">
        <is>
          <t>DALARNAS LÄN</t>
        </is>
      </c>
      <c r="G96" t="inlineStr">
        <is>
          <t>SÄTER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46302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46302</v>
      </c>
      <c r="F98" t="inlineStr">
        <is>
          <t>DALARNAS LÄN</t>
        </is>
      </c>
      <c r="G98" t="inlineStr">
        <is>
          <t>SÄTER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25793-2025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46302</v>
      </c>
      <c r="F99" t="inlineStr">
        <is>
          <t>DALARNAS LÄN</t>
        </is>
      </c>
      <c r="G99" t="inlineStr">
        <is>
          <t>SÄTER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46302</v>
      </c>
      <c r="F100" t="inlineStr">
        <is>
          <t>DALARNAS LÄN</t>
        </is>
      </c>
      <c r="G100" t="inlineStr">
        <is>
          <t>SÄTER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46302</v>
      </c>
      <c r="F101" t="inlineStr">
        <is>
          <t>DALARNAS LÄN</t>
        </is>
      </c>
      <c r="G101" t="inlineStr">
        <is>
          <t>SÄTER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46302</v>
      </c>
      <c r="F102" t="inlineStr">
        <is>
          <t>DALARNAS LÄN</t>
        </is>
      </c>
      <c r="G102" t="inlineStr">
        <is>
          <t>SÄTER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46302</v>
      </c>
      <c r="F103" t="inlineStr">
        <is>
          <t>DALARNAS LÄN</t>
        </is>
      </c>
      <c r="G103" t="inlineStr">
        <is>
          <t>SÄTER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46037</v>
      </c>
      <c r="E104" s="1" t="n">
        <v>46302</v>
      </c>
      <c r="F104" t="inlineStr">
        <is>
          <t>DALARNAS LÄN</t>
        </is>
      </c>
      <c r="G104" t="inlineStr">
        <is>
          <t>SÄTER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44585</v>
      </c>
      <c r="E105" s="1" t="n">
        <v>46302</v>
      </c>
      <c r="F105" t="inlineStr">
        <is>
          <t>DALARNAS LÄN</t>
        </is>
      </c>
      <c r="G105" t="inlineStr">
        <is>
          <t>SÄTER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46302</v>
      </c>
      <c r="F106" t="inlineStr">
        <is>
          <t>DALARNAS LÄN</t>
        </is>
      </c>
      <c r="G106" t="inlineStr">
        <is>
          <t>SÄTER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64788-2023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46302</v>
      </c>
      <c r="F107" t="inlineStr">
        <is>
          <t>DALARNAS LÄN</t>
        </is>
      </c>
      <c r="G107" t="inlineStr">
        <is>
          <t>SÄTER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46302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46302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46302</v>
      </c>
      <c r="F110" t="inlineStr">
        <is>
          <t>DALARNAS LÄN</t>
        </is>
      </c>
      <c r="G110" t="inlineStr">
        <is>
          <t>SÄTER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46302</v>
      </c>
      <c r="F111" t="inlineStr">
        <is>
          <t>DALARNAS LÄN</t>
        </is>
      </c>
      <c r="G111" t="inlineStr">
        <is>
          <t>SÄTER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46302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46302</v>
      </c>
      <c r="F113" t="inlineStr">
        <is>
          <t>DALARNAS LÄN</t>
        </is>
      </c>
      <c r="G113" t="inlineStr">
        <is>
          <t>SÄTER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46051</v>
      </c>
      <c r="E114" s="1" t="n">
        <v>46302</v>
      </c>
      <c r="F114" t="inlineStr">
        <is>
          <t>DALARNAS LÄN</t>
        </is>
      </c>
      <c r="G114" t="inlineStr">
        <is>
          <t>SÄTER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45552</v>
      </c>
      <c r="E115" s="1" t="n">
        <v>46302</v>
      </c>
      <c r="F115" t="inlineStr">
        <is>
          <t>DALARNAS LÄN</t>
        </is>
      </c>
      <c r="G115" t="inlineStr">
        <is>
          <t>SÄTER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46302</v>
      </c>
      <c r="F116" t="inlineStr">
        <is>
          <t>DALARNAS LÄN</t>
        </is>
      </c>
      <c r="G116" t="inlineStr">
        <is>
          <t>SÄTER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46302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46302</v>
      </c>
      <c r="F118" t="inlineStr">
        <is>
          <t>DALARNAS LÄN</t>
        </is>
      </c>
      <c r="G118" t="inlineStr">
        <is>
          <t>SÄTER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46302</v>
      </c>
      <c r="F119" t="inlineStr">
        <is>
          <t>DALARNAS LÄN</t>
        </is>
      </c>
      <c r="G119" t="inlineStr">
        <is>
          <t>SÄTER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46302</v>
      </c>
      <c r="F120" t="inlineStr">
        <is>
          <t>DALARNAS LÄN</t>
        </is>
      </c>
      <c r="G120" t="inlineStr">
        <is>
          <t>SÄTER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46302</v>
      </c>
      <c r="F121" t="inlineStr">
        <is>
          <t>DALARNAS LÄN</t>
        </is>
      </c>
      <c r="G121" t="inlineStr">
        <is>
          <t>SÄTER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44727</v>
      </c>
      <c r="E122" s="1" t="n">
        <v>46302</v>
      </c>
      <c r="F122" t="inlineStr">
        <is>
          <t>DALARNAS LÄN</t>
        </is>
      </c>
      <c r="G122" t="inlineStr">
        <is>
          <t>SÄTER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46302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46302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46065</v>
      </c>
      <c r="E125" s="1" t="n">
        <v>46302</v>
      </c>
      <c r="F125" t="inlineStr">
        <is>
          <t>DALARNAS LÄN</t>
        </is>
      </c>
      <c r="G125" t="inlineStr">
        <is>
          <t>SÄTER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46302</v>
      </c>
      <c r="F126" t="inlineStr">
        <is>
          <t>DALARNAS LÄN</t>
        </is>
      </c>
      <c r="G126" t="inlineStr">
        <is>
          <t>SÄTER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46302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45232</v>
      </c>
      <c r="E128" s="1" t="n">
        <v>46302</v>
      </c>
      <c r="F128" t="inlineStr">
        <is>
          <t>DALARNAS LÄN</t>
        </is>
      </c>
      <c r="G128" t="inlineStr">
        <is>
          <t>SÄTER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46302</v>
      </c>
      <c r="F129" t="inlineStr">
        <is>
          <t>DALARNAS LÄN</t>
        </is>
      </c>
      <c r="G129" t="inlineStr">
        <is>
          <t>SÄTER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46302</v>
      </c>
      <c r="F130" t="inlineStr">
        <is>
          <t>DALARNAS LÄN</t>
        </is>
      </c>
      <c r="G130" t="inlineStr">
        <is>
          <t>SÄTER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46302</v>
      </c>
      <c r="F131" t="inlineStr">
        <is>
          <t>DALARNAS LÄN</t>
        </is>
      </c>
      <c r="G131" t="inlineStr">
        <is>
          <t>SÄTER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46302</v>
      </c>
      <c r="F132" t="inlineStr">
        <is>
          <t>DALARNAS LÄN</t>
        </is>
      </c>
      <c r="G132" t="inlineStr">
        <is>
          <t>SÄTER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46302</v>
      </c>
      <c r="F133" t="inlineStr">
        <is>
          <t>DALARNAS LÄN</t>
        </is>
      </c>
      <c r="G133" t="inlineStr">
        <is>
          <t>SÄTER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10146-2026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46302</v>
      </c>
      <c r="F134" t="inlineStr">
        <is>
          <t>DALARNAS LÄN</t>
        </is>
      </c>
      <c r="G134" t="inlineStr">
        <is>
          <t>SÄTER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46302</v>
      </c>
      <c r="F135" t="inlineStr">
        <is>
          <t>DALARNAS LÄN</t>
        </is>
      </c>
      <c r="G135" t="inlineStr">
        <is>
          <t>SÄTER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46302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15.2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46302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41.4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46302</v>
      </c>
      <c r="F138" t="inlineStr">
        <is>
          <t>DALARNAS LÄN</t>
        </is>
      </c>
      <c r="G138" t="inlineStr">
        <is>
          <t>SÄTER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46302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46302</v>
      </c>
      <c r="F140" t="inlineStr">
        <is>
          <t>DALARNAS LÄN</t>
        </is>
      </c>
      <c r="G140" t="inlineStr">
        <is>
          <t>SÄTER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46087</v>
      </c>
      <c r="E141" s="1" t="n">
        <v>46302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47280-2025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46302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46092</v>
      </c>
      <c r="E143" s="1" t="n">
        <v>46302</v>
      </c>
      <c r="F143" t="inlineStr">
        <is>
          <t>DALARNAS LÄN</t>
        </is>
      </c>
      <c r="G143" t="inlineStr">
        <is>
          <t>SÄTER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46093</v>
      </c>
      <c r="E144" s="1" t="n">
        <v>46302</v>
      </c>
      <c r="F144" t="inlineStr">
        <is>
          <t>DALARNAS LÄN</t>
        </is>
      </c>
      <c r="G144" t="inlineStr">
        <is>
          <t>SÄTER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46302</v>
      </c>
      <c r="F145" t="inlineStr">
        <is>
          <t>DALARNAS LÄN</t>
        </is>
      </c>
      <c r="G145" t="inlineStr">
        <is>
          <t>SÄTER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46302</v>
      </c>
      <c r="F146" t="inlineStr">
        <is>
          <t>DALARNAS LÄN</t>
        </is>
      </c>
      <c r="G146" t="inlineStr">
        <is>
          <t>SÄTER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46098</v>
      </c>
      <c r="E147" s="1" t="n">
        <v>46302</v>
      </c>
      <c r="F147" t="inlineStr">
        <is>
          <t>DALARNAS LÄN</t>
        </is>
      </c>
      <c r="G147" t="inlineStr">
        <is>
          <t>SÄTER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46302</v>
      </c>
      <c r="F148" t="inlineStr">
        <is>
          <t>DALARNAS LÄN</t>
        </is>
      </c>
      <c r="G148" t="inlineStr">
        <is>
          <t>SÄTER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46302</v>
      </c>
      <c r="F149" t="inlineStr">
        <is>
          <t>DALARNAS LÄN</t>
        </is>
      </c>
      <c r="G149" t="inlineStr">
        <is>
          <t>SÄTER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46302</v>
      </c>
      <c r="F150" t="inlineStr">
        <is>
          <t>DALARNAS LÄN</t>
        </is>
      </c>
      <c r="G150" t="inlineStr">
        <is>
          <t>SÄTER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46302</v>
      </c>
      <c r="F151" t="inlineStr">
        <is>
          <t>DALARNAS LÄN</t>
        </is>
      </c>
      <c r="G151" t="inlineStr">
        <is>
          <t>SÄTER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46302</v>
      </c>
      <c r="F152" t="inlineStr">
        <is>
          <t>DALARNAS LÄN</t>
        </is>
      </c>
      <c r="G152" t="inlineStr">
        <is>
          <t>SÄTER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46302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44572</v>
      </c>
      <c r="E154" s="1" t="n">
        <v>46302</v>
      </c>
      <c r="F154" t="inlineStr">
        <is>
          <t>DALARNAS LÄN</t>
        </is>
      </c>
      <c r="G154" t="inlineStr">
        <is>
          <t>SÄTER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46302</v>
      </c>
      <c r="F155" t="inlineStr">
        <is>
          <t>DALARNAS LÄN</t>
        </is>
      </c>
      <c r="G155" t="inlineStr">
        <is>
          <t>SÄTER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46302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45599</v>
      </c>
      <c r="E157" s="1" t="n">
        <v>46302</v>
      </c>
      <c r="F157" t="inlineStr">
        <is>
          <t>DALARNAS LÄN</t>
        </is>
      </c>
      <c r="G157" t="inlineStr">
        <is>
          <t>SÄTER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45855</v>
      </c>
      <c r="E158" s="1" t="n">
        <v>46302</v>
      </c>
      <c r="F158" t="inlineStr">
        <is>
          <t>DALARNAS LÄN</t>
        </is>
      </c>
      <c r="G158" t="inlineStr">
        <is>
          <t>SÄTER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46302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46302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46302</v>
      </c>
      <c r="F161" t="inlineStr">
        <is>
          <t>DALARNAS LÄN</t>
        </is>
      </c>
      <c r="G161" t="inlineStr">
        <is>
          <t>SÄTER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46302</v>
      </c>
      <c r="F162" t="inlineStr">
        <is>
          <t>DALARNAS LÄN</t>
        </is>
      </c>
      <c r="G162" t="inlineStr">
        <is>
          <t>SÄTER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45870</v>
      </c>
      <c r="E163" s="1" t="n">
        <v>46302</v>
      </c>
      <c r="F163" t="inlineStr">
        <is>
          <t>DALARNAS LÄN</t>
        </is>
      </c>
      <c r="G163" t="inlineStr">
        <is>
          <t>SÄTER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46302</v>
      </c>
      <c r="F164" t="inlineStr">
        <is>
          <t>DALARNAS LÄN</t>
        </is>
      </c>
      <c r="G164" t="inlineStr">
        <is>
          <t>SÄTER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46302</v>
      </c>
      <c r="F165" t="inlineStr">
        <is>
          <t>DALARNAS LÄN</t>
        </is>
      </c>
      <c r="G165" t="inlineStr">
        <is>
          <t>SÄTER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46302</v>
      </c>
      <c r="F166" t="inlineStr">
        <is>
          <t>DALARNAS LÄN</t>
        </is>
      </c>
      <c r="G166" t="inlineStr">
        <is>
          <t>SÄTER</t>
        </is>
      </c>
      <c r="I166" t="n">
        <v>15.2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46302</v>
      </c>
      <c r="F167" t="inlineStr">
        <is>
          <t>DALARNAS LÄN</t>
        </is>
      </c>
      <c r="G167" t="inlineStr">
        <is>
          <t>SÄTER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46302</v>
      </c>
      <c r="F168" t="inlineStr">
        <is>
          <t>DALARNAS LÄN</t>
        </is>
      </c>
      <c r="G168" t="inlineStr">
        <is>
          <t>SÄTER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53559-2025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45960</v>
      </c>
      <c r="E169" s="1" t="n">
        <v>46302</v>
      </c>
      <c r="F169" t="inlineStr">
        <is>
          <t>DALARNAS LÄN</t>
        </is>
      </c>
      <c r="G169" t="inlineStr">
        <is>
          <t>SÄTER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45875</v>
      </c>
      <c r="E170" s="1" t="n">
        <v>46302</v>
      </c>
      <c r="F170" t="inlineStr">
        <is>
          <t>DALARNAS LÄN</t>
        </is>
      </c>
      <c r="G170" t="inlineStr">
        <is>
          <t>SÄTER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46302</v>
      </c>
      <c r="F171" t="inlineStr">
        <is>
          <t>DALARNAS LÄN</t>
        </is>
      </c>
      <c r="G171" t="inlineStr">
        <is>
          <t>SÄTER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46302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46302</v>
      </c>
      <c r="F173" t="inlineStr">
        <is>
          <t>DALARNAS LÄN</t>
        </is>
      </c>
      <c r="G173" t="inlineStr">
        <is>
          <t>SÄTER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46302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46302</v>
      </c>
      <c r="F175" t="inlineStr">
        <is>
          <t>DALARNAS LÄN</t>
        </is>
      </c>
      <c r="G175" t="inlineStr">
        <is>
          <t>SÄTER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46302</v>
      </c>
      <c r="F176" t="inlineStr">
        <is>
          <t>DALARNAS LÄN</t>
        </is>
      </c>
      <c r="G176" t="inlineStr">
        <is>
          <t>SÄTER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46302</v>
      </c>
      <c r="F177" t="inlineStr">
        <is>
          <t>DALARNAS LÄN</t>
        </is>
      </c>
      <c r="G177" t="inlineStr">
        <is>
          <t>SÄTER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46302</v>
      </c>
      <c r="F178" t="inlineStr">
        <is>
          <t>DALARNAS LÄN</t>
        </is>
      </c>
      <c r="G178" t="inlineStr">
        <is>
          <t>SÄTER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45138</v>
      </c>
      <c r="E179" s="1" t="n">
        <v>46302</v>
      </c>
      <c r="F179" t="inlineStr">
        <is>
          <t>DALARNAS LÄN</t>
        </is>
      </c>
      <c r="G179" t="inlineStr">
        <is>
          <t>SÄTER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46302</v>
      </c>
      <c r="F180" t="inlineStr">
        <is>
          <t>DALARNAS LÄN</t>
        </is>
      </c>
      <c r="G180" t="inlineStr">
        <is>
          <t>SÄTER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46302</v>
      </c>
      <c r="F181" t="inlineStr">
        <is>
          <t>DALARNAS LÄN</t>
        </is>
      </c>
      <c r="G181" t="inlineStr">
        <is>
          <t>SÄTER</t>
        </is>
      </c>
      <c r="H181" t="inlineStr">
        <is>
          <t>Kommuner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46302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46302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10.2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46302</v>
      </c>
      <c r="F184" t="inlineStr">
        <is>
          <t>DALARNAS LÄN</t>
        </is>
      </c>
      <c r="G184" t="inlineStr">
        <is>
          <t>SÄTER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46302</v>
      </c>
      <c r="F185" t="inlineStr">
        <is>
          <t>DALARNAS LÄN</t>
        </is>
      </c>
      <c r="G185" t="inlineStr">
        <is>
          <t>SÄTER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46302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46302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46302</v>
      </c>
      <c r="F188" t="inlineStr">
        <is>
          <t>DALARNAS LÄN</t>
        </is>
      </c>
      <c r="G188" t="inlineStr">
        <is>
          <t>SÄTER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45574</v>
      </c>
      <c r="E189" s="1" t="n">
        <v>46302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46302</v>
      </c>
      <c r="F190" t="inlineStr">
        <is>
          <t>DALARNAS LÄN</t>
        </is>
      </c>
      <c r="G190" t="inlineStr">
        <is>
          <t>SÄTER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46302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46302</v>
      </c>
      <c r="F192" t="inlineStr">
        <is>
          <t>DALARNAS LÄN</t>
        </is>
      </c>
      <c r="G192" t="inlineStr">
        <is>
          <t>SÄTER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46302</v>
      </c>
      <c r="F193" t="inlineStr">
        <is>
          <t>DALARNAS LÄN</t>
        </is>
      </c>
      <c r="G193" t="inlineStr">
        <is>
          <t>SÄTER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46302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46302</v>
      </c>
      <c r="F195" t="inlineStr">
        <is>
          <t>DALARNAS LÄN</t>
        </is>
      </c>
      <c r="G195" t="inlineStr">
        <is>
          <t>SÄTER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46302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45567</v>
      </c>
      <c r="E197" s="1" t="n">
        <v>46302</v>
      </c>
      <c r="F197" t="inlineStr">
        <is>
          <t>DALARNAS LÄN</t>
        </is>
      </c>
      <c r="G197" t="inlineStr">
        <is>
          <t>SÄTER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46302</v>
      </c>
      <c r="F198" t="inlineStr">
        <is>
          <t>DALARNAS LÄN</t>
        </is>
      </c>
      <c r="G198" t="inlineStr">
        <is>
          <t>SÄTER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46302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46302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46302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46302</v>
      </c>
      <c r="F202" t="inlineStr">
        <is>
          <t>DALARNAS LÄN</t>
        </is>
      </c>
      <c r="G202" t="inlineStr">
        <is>
          <t>SÄTER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46302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46302</v>
      </c>
      <c r="F204" t="inlineStr">
        <is>
          <t>DALARNAS LÄN</t>
        </is>
      </c>
      <c r="G204" t="inlineStr">
        <is>
          <t>SÄTER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46302</v>
      </c>
      <c r="F205" t="inlineStr">
        <is>
          <t>DALARNAS LÄN</t>
        </is>
      </c>
      <c r="G205" t="inlineStr">
        <is>
          <t>SÄTER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46302</v>
      </c>
      <c r="F206" t="inlineStr">
        <is>
          <t>DALARNAS LÄN</t>
        </is>
      </c>
      <c r="G206" t="inlineStr">
        <is>
          <t>SÄTER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46302</v>
      </c>
      <c r="F207" t="inlineStr">
        <is>
          <t>DALARNAS LÄN</t>
        </is>
      </c>
      <c r="G207" t="inlineStr">
        <is>
          <t>SÄTER</t>
        </is>
      </c>
      <c r="H207" t="inlineStr">
        <is>
          <t>Kommuner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46087</v>
      </c>
      <c r="E208" s="1" t="n">
        <v>46302</v>
      </c>
      <c r="F208" t="inlineStr">
        <is>
          <t>DALARNAS LÄN</t>
        </is>
      </c>
      <c r="G208" t="inlineStr">
        <is>
          <t>SÄTER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46302</v>
      </c>
      <c r="F209" t="inlineStr">
        <is>
          <t>DALARNAS LÄN</t>
        </is>
      </c>
      <c r="G209" t="inlineStr">
        <is>
          <t>SÄTER</t>
        </is>
      </c>
      <c r="I209" t="n">
        <v>8.1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46302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46302</v>
      </c>
      <c r="F211" t="inlineStr">
        <is>
          <t>DALARNAS LÄN</t>
        </is>
      </c>
      <c r="G211" t="inlineStr">
        <is>
          <t>SÄTER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46302</v>
      </c>
      <c r="F212" t="inlineStr">
        <is>
          <t>DALARNAS LÄN</t>
        </is>
      </c>
      <c r="G212" t="inlineStr">
        <is>
          <t>SÄTER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46302</v>
      </c>
      <c r="F213" t="inlineStr">
        <is>
          <t>DALARNAS LÄN</t>
        </is>
      </c>
      <c r="G213" t="inlineStr">
        <is>
          <t>SÄTER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46302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46026</v>
      </c>
      <c r="E215" s="1" t="n">
        <v>46302</v>
      </c>
      <c r="F215" t="inlineStr">
        <is>
          <t>DALARNAS LÄN</t>
        </is>
      </c>
      <c r="G215" t="inlineStr">
        <is>
          <t>SÄTER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46302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42.6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46091</v>
      </c>
      <c r="E217" s="1" t="n">
        <v>46302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46302</v>
      </c>
      <c r="F218" t="inlineStr">
        <is>
          <t>DALARNAS LÄN</t>
        </is>
      </c>
      <c r="G218" t="inlineStr">
        <is>
          <t>SÄTER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46302</v>
      </c>
      <c r="F219" t="inlineStr">
        <is>
          <t>DALARNAS LÄN</t>
        </is>
      </c>
      <c r="G219" t="inlineStr">
        <is>
          <t>SÄTER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46302</v>
      </c>
      <c r="F220" t="inlineStr">
        <is>
          <t>DALARNAS LÄN</t>
        </is>
      </c>
      <c r="G220" t="inlineStr">
        <is>
          <t>SÄTER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46302</v>
      </c>
      <c r="F221" t="inlineStr">
        <is>
          <t>DALARNAS LÄN</t>
        </is>
      </c>
      <c r="G221" t="inlineStr">
        <is>
          <t>SÄTER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46087</v>
      </c>
      <c r="E222" s="1" t="n">
        <v>46302</v>
      </c>
      <c r="F222" t="inlineStr">
        <is>
          <t>DALARNAS LÄN</t>
        </is>
      </c>
      <c r="G222" t="inlineStr">
        <is>
          <t>SÄTER</t>
        </is>
      </c>
      <c r="H222" t="inlineStr">
        <is>
          <t>Kommuner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46302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46302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46302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46302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46302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46302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46164</v>
      </c>
      <c r="E229" s="1" t="n">
        <v>46302</v>
      </c>
      <c r="F229" t="inlineStr">
        <is>
          <t>DALARNAS LÄN</t>
        </is>
      </c>
      <c r="G229" t="inlineStr">
        <is>
          <t>SÄTER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46302</v>
      </c>
      <c r="F230" t="inlineStr">
        <is>
          <t>DALARNAS LÄN</t>
        </is>
      </c>
      <c r="G230" t="inlineStr">
        <is>
          <t>SÄTER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11164-2023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44992</v>
      </c>
      <c r="E231" s="1" t="n">
        <v>46302</v>
      </c>
      <c r="F231" t="inlineStr">
        <is>
          <t>DALARNAS LÄN</t>
        </is>
      </c>
      <c r="G231" t="inlineStr">
        <is>
          <t>SÄTER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46302</v>
      </c>
      <c r="F232" t="inlineStr">
        <is>
          <t>DALARNAS LÄN</t>
        </is>
      </c>
      <c r="G232" t="inlineStr">
        <is>
          <t>SÄTER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63377-2025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46302</v>
      </c>
      <c r="F233" t="inlineStr">
        <is>
          <t>DALARNAS LÄN</t>
        </is>
      </c>
      <c r="G233" t="inlineStr">
        <is>
          <t>SÄTER</t>
        </is>
      </c>
      <c r="H233" t="inlineStr">
        <is>
          <t>Övriga statliga verk och myndigheter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46302</v>
      </c>
      <c r="F234" t="inlineStr">
        <is>
          <t>DALARNAS LÄN</t>
        </is>
      </c>
      <c r="G234" t="inlineStr">
        <is>
          <t>SÄTER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45411</v>
      </c>
      <c r="E235" s="1" t="n">
        <v>46302</v>
      </c>
      <c r="F235" t="inlineStr">
        <is>
          <t>DALARNAS LÄN</t>
        </is>
      </c>
      <c r="G235" t="inlineStr">
        <is>
          <t>SÄTER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46302</v>
      </c>
      <c r="F236" t="inlineStr">
        <is>
          <t>DALARNAS LÄN</t>
        </is>
      </c>
      <c r="G236" t="inlineStr">
        <is>
          <t>SÄTER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46302</v>
      </c>
      <c r="F237" t="inlineStr">
        <is>
          <t>DALARNAS LÄN</t>
        </is>
      </c>
      <c r="G237" t="inlineStr">
        <is>
          <t>SÄTER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46302</v>
      </c>
      <c r="F238" t="inlineStr">
        <is>
          <t>DALARNAS LÄN</t>
        </is>
      </c>
      <c r="G238" t="inlineStr">
        <is>
          <t>SÄTER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46302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46302</v>
      </c>
      <c r="F240" t="inlineStr">
        <is>
          <t>DALARNAS LÄN</t>
        </is>
      </c>
      <c r="G240" t="inlineStr">
        <is>
          <t>SÄTER</t>
        </is>
      </c>
      <c r="I240" t="n">
        <v>13.2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25690-2022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44732</v>
      </c>
      <c r="E241" s="1" t="n">
        <v>46302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46302</v>
      </c>
      <c r="F242" t="inlineStr">
        <is>
          <t>DALARNAS LÄN</t>
        </is>
      </c>
      <c r="G242" t="inlineStr">
        <is>
          <t>SÄTER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54440-2022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44882</v>
      </c>
      <c r="E243" s="1" t="n">
        <v>46302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45236</v>
      </c>
      <c r="E244" s="1" t="n">
        <v>46302</v>
      </c>
      <c r="F244" t="inlineStr">
        <is>
          <t>DALARNAS LÄN</t>
        </is>
      </c>
      <c r="G244" t="inlineStr">
        <is>
          <t>SÄTER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46302</v>
      </c>
      <c r="F245" t="inlineStr">
        <is>
          <t>DALARNAS LÄN</t>
        </is>
      </c>
      <c r="G245" t="inlineStr">
        <is>
          <t>SÄTER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  <c r="Z245">
        <f>HYPERLINK("https://klasma.github.io/Logging_2082/knärot/A 57416-2022 karta knärot.png", "A 57416-2022")</f>
        <v/>
      </c>
      <c r="AA245">
        <f>HYPERLINK("https://klasma.github.io/Logging_2082/klagomål/A 57416-2022 FSC-klagomål.docx", "A 57416-2022")</f>
        <v/>
      </c>
      <c r="AB245">
        <f>HYPERLINK("https://klasma.github.io/Logging_2082/klagomålsmail/A 57416-2022 FSC-klagomål mail.docx", "A 57416-2022")</f>
        <v/>
      </c>
      <c r="AC245">
        <f>HYPERLINK("https://klasma.github.io/Logging_2082/tillsyn/A 57416-2022 tillsynsbegäran.docx", "A 57416-2022")</f>
        <v/>
      </c>
      <c r="AD245">
        <f>HYPERLINK("https://klasma.github.io/Logging_2082/tillsynsmail/A 57416-2022 tillsynsbegäran mail.docx", "A 57416-2022")</f>
        <v/>
      </c>
    </row>
    <row r="246" ht="15" customHeight="1">
      <c r="A246" t="inlineStr">
        <is>
          <t>A 27771-2026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46302</v>
      </c>
      <c r="F246" t="inlineStr">
        <is>
          <t>DALARNAS LÄN</t>
        </is>
      </c>
      <c r="G246" t="inlineStr">
        <is>
          <t>SÄTER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46302</v>
      </c>
      <c r="F247" t="inlineStr">
        <is>
          <t>DALARNAS LÄN</t>
        </is>
      </c>
      <c r="G247" t="inlineStr">
        <is>
          <t>SÄTER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44711</v>
      </c>
      <c r="E248" s="1" t="n">
        <v>46302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46302</v>
      </c>
      <c r="F249" t="inlineStr">
        <is>
          <t>DALARNAS LÄN</t>
        </is>
      </c>
      <c r="G249" t="inlineStr">
        <is>
          <t>SÄTER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44830</v>
      </c>
      <c r="E250" s="1" t="n">
        <v>46302</v>
      </c>
      <c r="F250" t="inlineStr">
        <is>
          <t>DALARNAS LÄN</t>
        </is>
      </c>
      <c r="G250" t="inlineStr">
        <is>
          <t>SÄTER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46302</v>
      </c>
      <c r="F251" t="inlineStr">
        <is>
          <t>DALARNAS LÄN</t>
        </is>
      </c>
      <c r="G251" t="inlineStr">
        <is>
          <t>SÄTER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46204</v>
      </c>
      <c r="E252" s="1" t="n">
        <v>46302</v>
      </c>
      <c r="F252" t="inlineStr">
        <is>
          <t>DALARNAS LÄN</t>
        </is>
      </c>
      <c r="G252" t="inlineStr">
        <is>
          <t>SÄTER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46302</v>
      </c>
      <c r="F253" t="inlineStr">
        <is>
          <t>DALARNAS LÄN</t>
        </is>
      </c>
      <c r="G253" t="inlineStr">
        <is>
          <t>SÄTER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46302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46302</v>
      </c>
      <c r="F255" t="inlineStr">
        <is>
          <t>DALARNAS LÄN</t>
        </is>
      </c>
      <c r="G255" t="inlineStr">
        <is>
          <t>SÄTER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46302</v>
      </c>
      <c r="F256" t="inlineStr">
        <is>
          <t>DALARNAS LÄN</t>
        </is>
      </c>
      <c r="G256" t="inlineStr">
        <is>
          <t>SÄTER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46302</v>
      </c>
      <c r="F257" t="inlineStr">
        <is>
          <t>DALARNAS LÄN</t>
        </is>
      </c>
      <c r="G257" t="inlineStr">
        <is>
          <t>SÄTER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45175</v>
      </c>
      <c r="E258" s="1" t="n">
        <v>46302</v>
      </c>
      <c r="F258" t="inlineStr">
        <is>
          <t>DALARNAS LÄN</t>
        </is>
      </c>
      <c r="G258" t="inlineStr">
        <is>
          <t>SÄTER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51320-2024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45604</v>
      </c>
      <c r="E259" s="1" t="n">
        <v>46302</v>
      </c>
      <c r="F259" t="inlineStr">
        <is>
          <t>DALARNAS LÄN</t>
        </is>
      </c>
      <c r="G259" t="inlineStr">
        <is>
          <t>SÄTER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51324-2024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45604</v>
      </c>
      <c r="E260" s="1" t="n">
        <v>46302</v>
      </c>
      <c r="F260" t="inlineStr">
        <is>
          <t>DALARNAS LÄN</t>
        </is>
      </c>
      <c r="G260" t="inlineStr">
        <is>
          <t>SÄTER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46211</v>
      </c>
      <c r="E261" s="1" t="n">
        <v>46302</v>
      </c>
      <c r="F261" t="inlineStr">
        <is>
          <t>DALARNAS LÄN</t>
        </is>
      </c>
      <c r="G261" t="inlineStr">
        <is>
          <t>SÄTER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45484</v>
      </c>
      <c r="E262" s="1" t="n">
        <v>46302</v>
      </c>
      <c r="F262" t="inlineStr">
        <is>
          <t>DALARNAS LÄN</t>
        </is>
      </c>
      <c r="G262" t="inlineStr">
        <is>
          <t>SÄTER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46302</v>
      </c>
      <c r="F263" t="inlineStr">
        <is>
          <t>DALARNAS LÄN</t>
        </is>
      </c>
      <c r="G263" t="inlineStr">
        <is>
          <t>SÄTER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51323-2024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45604</v>
      </c>
      <c r="E264" s="1" t="n">
        <v>46302</v>
      </c>
      <c r="F264" t="inlineStr">
        <is>
          <t>DALARNAS LÄN</t>
        </is>
      </c>
      <c r="G264" t="inlineStr">
        <is>
          <t>SÄTER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34990-2024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46302</v>
      </c>
      <c r="F265" t="inlineStr">
        <is>
          <t>DALARNAS LÄN</t>
        </is>
      </c>
      <c r="G265" t="inlineStr">
        <is>
          <t>SÄTER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45527</v>
      </c>
      <c r="E266" s="1" t="n">
        <v>46302</v>
      </c>
      <c r="F266" t="inlineStr">
        <is>
          <t>DALARNAS LÄN</t>
        </is>
      </c>
      <c r="G266" t="inlineStr">
        <is>
          <t>SÄTER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46261</v>
      </c>
      <c r="E267" s="1" t="n">
        <v>46302</v>
      </c>
      <c r="F267" t="inlineStr">
        <is>
          <t>DALARNAS LÄN</t>
        </is>
      </c>
      <c r="G267" t="inlineStr">
        <is>
          <t>SÄTER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51468-2024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46302</v>
      </c>
      <c r="F268" t="inlineStr">
        <is>
          <t>DALARNAS LÄN</t>
        </is>
      </c>
      <c r="G268" t="inlineStr">
        <is>
          <t>SÄTER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46302</v>
      </c>
      <c r="F269" t="inlineStr">
        <is>
          <t>DALARNAS LÄN</t>
        </is>
      </c>
      <c r="G269" t="inlineStr">
        <is>
          <t>SÄTER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45342</v>
      </c>
      <c r="E270" s="1" t="n">
        <v>46302</v>
      </c>
      <c r="F270" t="inlineStr">
        <is>
          <t>DALARNAS LÄN</t>
        </is>
      </c>
      <c r="G270" t="inlineStr">
        <is>
          <t>SÄTER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46302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35564-2026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46262</v>
      </c>
      <c r="E272" s="1" t="n">
        <v>46302</v>
      </c>
      <c r="F272" t="inlineStr">
        <is>
          <t>DALARNAS LÄN</t>
        </is>
      </c>
      <c r="G272" t="inlineStr">
        <is>
          <t>SÄTER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46302</v>
      </c>
      <c r="F273" t="inlineStr">
        <is>
          <t>DALARNAS LÄN</t>
        </is>
      </c>
      <c r="G273" t="inlineStr">
        <is>
          <t>SÄTER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36847-2023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46302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46302</v>
      </c>
      <c r="F275" t="inlineStr">
        <is>
          <t>DALARNAS LÄN</t>
        </is>
      </c>
      <c r="G275" t="inlineStr">
        <is>
          <t>SÄTER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45330</v>
      </c>
      <c r="E276" s="1" t="n">
        <v>46302</v>
      </c>
      <c r="F276" t="inlineStr">
        <is>
          <t>DALARNAS LÄN</t>
        </is>
      </c>
      <c r="G276" t="inlineStr">
        <is>
          <t>SÄTER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46302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46302</v>
      </c>
      <c r="F278" t="inlineStr">
        <is>
          <t>DALARNAS LÄN</t>
        </is>
      </c>
      <c r="G278" t="inlineStr">
        <is>
          <t>SÄTER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46302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45576</v>
      </c>
      <c r="E280" s="1" t="n">
        <v>46302</v>
      </c>
      <c r="F280" t="inlineStr">
        <is>
          <t>DALARNAS LÄN</t>
        </is>
      </c>
      <c r="G280" t="inlineStr">
        <is>
          <t>SÄTER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46302</v>
      </c>
      <c r="F281" t="inlineStr">
        <is>
          <t>DALARNAS LÄN</t>
        </is>
      </c>
      <c r="G281" t="inlineStr">
        <is>
          <t>SÄTER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45411</v>
      </c>
      <c r="E282" s="1" t="n">
        <v>46302</v>
      </c>
      <c r="F282" t="inlineStr">
        <is>
          <t>DALARNAS LÄN</t>
        </is>
      </c>
      <c r="G282" t="inlineStr">
        <is>
          <t>SÄTER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45398</v>
      </c>
      <c r="E283" s="1" t="n">
        <v>46302</v>
      </c>
      <c r="F283" t="inlineStr">
        <is>
          <t>DALARNAS LÄN</t>
        </is>
      </c>
      <c r="G283" t="inlineStr">
        <is>
          <t>SÄTER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46302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46302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45526</v>
      </c>
      <c r="E286" s="1" t="n">
        <v>46302</v>
      </c>
      <c r="F286" t="inlineStr">
        <is>
          <t>DALARNAS LÄN</t>
        </is>
      </c>
      <c r="G286" t="inlineStr">
        <is>
          <t>SÄTER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46302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46302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46302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37429-2026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46275</v>
      </c>
      <c r="E290" s="1" t="n">
        <v>46302</v>
      </c>
      <c r="F290" t="inlineStr">
        <is>
          <t>DALARNAS LÄN</t>
        </is>
      </c>
      <c r="G290" t="inlineStr">
        <is>
          <t>SÄTER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32122-2026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46234</v>
      </c>
      <c r="E291" s="1" t="n">
        <v>46302</v>
      </c>
      <c r="F291" t="inlineStr">
        <is>
          <t>DALARNAS LÄN</t>
        </is>
      </c>
      <c r="G291" t="inlineStr">
        <is>
          <t>SÄTER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46302</v>
      </c>
      <c r="F292" t="inlineStr">
        <is>
          <t>DALARNAS LÄN</t>
        </is>
      </c>
      <c r="G292" t="inlineStr">
        <is>
          <t>SÄTER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46275</v>
      </c>
      <c r="E293" s="1" t="n">
        <v>46302</v>
      </c>
      <c r="F293" t="inlineStr">
        <is>
          <t>DALARNAS LÄN</t>
        </is>
      </c>
      <c r="G293" t="inlineStr">
        <is>
          <t>SÄTER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45455</v>
      </c>
      <c r="E294" s="1" t="n">
        <v>46302</v>
      </c>
      <c r="F294" t="inlineStr">
        <is>
          <t>DALARNAS LÄN</t>
        </is>
      </c>
      <c r="G294" t="inlineStr">
        <is>
          <t>SÄTER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46302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46302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45366</v>
      </c>
      <c r="E297" s="1" t="n">
        <v>46302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44739</v>
      </c>
      <c r="E298" s="1" t="n">
        <v>46302</v>
      </c>
      <c r="F298" t="inlineStr">
        <is>
          <t>DALARNAS LÄN</t>
        </is>
      </c>
      <c r="G298" t="inlineStr">
        <is>
          <t>SÄTER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38240-2022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46302</v>
      </c>
      <c r="F299" t="inlineStr">
        <is>
          <t>DALARNAS LÄN</t>
        </is>
      </c>
      <c r="G299" t="inlineStr">
        <is>
          <t>SÄTER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19162-2022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44691</v>
      </c>
      <c r="E300" s="1" t="n">
        <v>46302</v>
      </c>
      <c r="F300" t="inlineStr">
        <is>
          <t>DALARNAS LÄN</t>
        </is>
      </c>
      <c r="G300" t="inlineStr">
        <is>
          <t>SÄTER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44809</v>
      </c>
      <c r="E301" s="1" t="n">
        <v>46302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46302</v>
      </c>
      <c r="F302" t="inlineStr">
        <is>
          <t>DALARNAS LÄN</t>
        </is>
      </c>
      <c r="G302" t="inlineStr">
        <is>
          <t>SÄTER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45005</v>
      </c>
      <c r="E303" s="1" t="n">
        <v>46302</v>
      </c>
      <c r="F303" t="inlineStr">
        <is>
          <t>DALARNAS LÄN</t>
        </is>
      </c>
      <c r="G303" t="inlineStr">
        <is>
          <t>SÄTER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69744-2021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44532</v>
      </c>
      <c r="E304" s="1" t="n">
        <v>46302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46302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46302</v>
      </c>
      <c r="F306" t="inlineStr">
        <is>
          <t>DALARNAS LÄN</t>
        </is>
      </c>
      <c r="G306" t="inlineStr">
        <is>
          <t>SÄTER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46302</v>
      </c>
      <c r="F307" t="inlineStr">
        <is>
          <t>DALARNAS LÄN</t>
        </is>
      </c>
      <c r="G307" t="inlineStr">
        <is>
          <t>SÄTER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46302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46302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9.199999999999999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45638</v>
      </c>
      <c r="E310" s="1" t="n">
        <v>46302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46302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46302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46302</v>
      </c>
      <c r="F313" t="inlineStr">
        <is>
          <t>DALARNAS LÄN</t>
        </is>
      </c>
      <c r="G313" t="inlineStr">
        <is>
          <t>SÄTER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46302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46293</v>
      </c>
      <c r="E315" s="1" t="n">
        <v>46302</v>
      </c>
      <c r="F315" t="inlineStr">
        <is>
          <t>DALARNAS LÄN</t>
        </is>
      </c>
      <c r="G315" t="inlineStr">
        <is>
          <t>SÄTER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46302</v>
      </c>
      <c r="F316" t="inlineStr">
        <is>
          <t>DALARNAS LÄN</t>
        </is>
      </c>
      <c r="G316" t="inlineStr">
        <is>
          <t>SÄTER</t>
        </is>
      </c>
      <c r="H316" t="inlineStr">
        <is>
          <t>Sveaskog</t>
        </is>
      </c>
      <c r="I316" t="n">
        <v>19.8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46302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46302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46302</v>
      </c>
      <c r="F319" t="inlineStr">
        <is>
          <t>DALARNAS LÄN</t>
        </is>
      </c>
      <c r="G319" t="inlineStr">
        <is>
          <t>SÄTER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46302</v>
      </c>
      <c r="F320" t="inlineStr">
        <is>
          <t>DALARNAS LÄN</t>
        </is>
      </c>
      <c r="G320" t="inlineStr">
        <is>
          <t>SÄTER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46302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46302</v>
      </c>
      <c r="F322" t="inlineStr">
        <is>
          <t>DALARNAS LÄN</t>
        </is>
      </c>
      <c r="G322" t="inlineStr">
        <is>
          <t>SÄTER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46302</v>
      </c>
      <c r="F323" t="inlineStr">
        <is>
          <t>DALARNAS LÄN</t>
        </is>
      </c>
      <c r="G323" t="inlineStr">
        <is>
          <t>SÄTER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46302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46293</v>
      </c>
      <c r="E325" s="1" t="n">
        <v>46302</v>
      </c>
      <c r="F325" t="inlineStr">
        <is>
          <t>DALARNAS LÄN</t>
        </is>
      </c>
      <c r="G325" t="inlineStr">
        <is>
          <t>SÄTER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45604</v>
      </c>
      <c r="E326" s="1" t="n">
        <v>46302</v>
      </c>
      <c r="F326" t="inlineStr">
        <is>
          <t>DALARNAS LÄN</t>
        </is>
      </c>
      <c r="G326" t="inlineStr">
        <is>
          <t>SÄTER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46302</v>
      </c>
      <c r="F327" t="inlineStr">
        <is>
          <t>DALARNAS LÄN</t>
        </is>
      </c>
      <c r="G327" t="inlineStr">
        <is>
          <t>SÄTER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46302</v>
      </c>
      <c r="F328" t="inlineStr">
        <is>
          <t>DALARNAS LÄN</t>
        </is>
      </c>
      <c r="G328" t="inlineStr">
        <is>
          <t>SÄTER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32892-2022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44784</v>
      </c>
      <c r="E329" s="1" t="n">
        <v>46302</v>
      </c>
      <c r="F329" t="inlineStr">
        <is>
          <t>DALARNAS LÄN</t>
        </is>
      </c>
      <c r="G329" t="inlineStr">
        <is>
          <t>SÄTER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46302</v>
      </c>
      <c r="F330" t="inlineStr">
        <is>
          <t>DALARNAS LÄN</t>
        </is>
      </c>
      <c r="G330" t="inlineStr">
        <is>
          <t>SÄTER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45453</v>
      </c>
      <c r="E331" s="1" t="n">
        <v>46302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46302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46302</v>
      </c>
      <c r="F333" t="inlineStr">
        <is>
          <t>DALARNAS LÄN</t>
        </is>
      </c>
      <c r="G333" t="inlineStr">
        <is>
          <t>SÄTER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45527</v>
      </c>
      <c r="E334" s="1" t="n">
        <v>46302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46302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12957-2022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44643</v>
      </c>
      <c r="E336" s="1" t="n">
        <v>46302</v>
      </c>
      <c r="F336" t="inlineStr">
        <is>
          <t>DALARNAS LÄN</t>
        </is>
      </c>
      <c r="G336" t="inlineStr">
        <is>
          <t>SÄTER</t>
        </is>
      </c>
      <c r="I336" t="n">
        <v>8.1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46302</v>
      </c>
      <c r="F337" t="inlineStr">
        <is>
          <t>DALARNAS LÄN</t>
        </is>
      </c>
      <c r="G337" t="inlineStr">
        <is>
          <t>SÄTER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46302</v>
      </c>
      <c r="F338" t="inlineStr">
        <is>
          <t>DALARNAS LÄN</t>
        </is>
      </c>
      <c r="G338" t="inlineStr">
        <is>
          <t>SÄTER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46302</v>
      </c>
      <c r="F339" t="inlineStr">
        <is>
          <t>DALARNAS LÄN</t>
        </is>
      </c>
      <c r="G339" t="inlineStr">
        <is>
          <t>SÄTER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46302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46302</v>
      </c>
      <c r="F341" t="inlineStr">
        <is>
          <t>DALARNAS LÄN</t>
        </is>
      </c>
      <c r="G341" t="inlineStr">
        <is>
          <t>SÄTER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42998-2023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45182</v>
      </c>
      <c r="E342" s="1" t="n">
        <v>46302</v>
      </c>
      <c r="F342" t="inlineStr">
        <is>
          <t>DALARNAS LÄN</t>
        </is>
      </c>
      <c r="G342" t="inlineStr">
        <is>
          <t>SÄTER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45604</v>
      </c>
      <c r="E343" s="1" t="n">
        <v>46302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46302</v>
      </c>
      <c r="F344" t="inlineStr">
        <is>
          <t>DALARNAS LÄN</t>
        </is>
      </c>
      <c r="G344" t="inlineStr">
        <is>
          <t>SÄTER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44788</v>
      </c>
      <c r="E345" s="1" t="n">
        <v>46302</v>
      </c>
      <c r="F345" t="inlineStr">
        <is>
          <t>DALARNAS LÄN</t>
        </is>
      </c>
      <c r="G345" t="inlineStr">
        <is>
          <t>SÄTER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28549-2022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44748</v>
      </c>
      <c r="E346" s="1" t="n">
        <v>46302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46302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46302</v>
      </c>
      <c r="F348" t="inlineStr">
        <is>
          <t>DALARNAS LÄN</t>
        </is>
      </c>
      <c r="G348" t="inlineStr">
        <is>
          <t>SÄTER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46302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45428</v>
      </c>
      <c r="E350" s="1" t="n">
        <v>46302</v>
      </c>
      <c r="F350" t="inlineStr">
        <is>
          <t>DALARNAS LÄN</t>
        </is>
      </c>
      <c r="G350" t="inlineStr">
        <is>
          <t>SÄTER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46302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45700</v>
      </c>
      <c r="E352" s="1" t="n">
        <v>46302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46302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46302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46302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46302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46302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25294-2024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45462</v>
      </c>
      <c r="E358" s="1" t="n">
        <v>46302</v>
      </c>
      <c r="F358" t="inlineStr">
        <is>
          <t>DALARNAS LÄN</t>
        </is>
      </c>
      <c r="G358" t="inlineStr">
        <is>
          <t>SÄTER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46302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46302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46302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46302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46302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46302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46302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46302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2026-10-07T02:04:46Z</dcterms:created>
  <dcterms:modified xmlns:dcterms="http://purl.org/dc/terms/" xmlns:xsi="http://www.w3.org/2001/XMLSchema-instance" xsi:type="dcterms:W3CDTF">2026-10-07T02:04:46Z</dcterms:modified>
</cp:coreProperties>
</file>