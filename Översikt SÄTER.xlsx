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46307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46307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46307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46307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46307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46307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46307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46307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46307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46307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46307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46307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46307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46307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46307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46307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46307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46307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46307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46307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46307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46307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46307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46307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Motaggsvamp</t>
        </is>
      </c>
      <c r="W27">
        <f>HYPERLINK("https://klasma.github.io/Logging_2082/artfynd/A 49656-2025 artfynd.xlsx", "A 49656-2025")</f>
        <v/>
      </c>
      <c r="X27">
        <f>HYPERLINK("https://klasma.github.io/Logging_2082/kartor/A 49656-2025 karta.png", "A 49656-2025")</f>
        <v/>
      </c>
      <c r="Y27">
        <f>HYPERLINK("https://klasma.github.io/Logging_2082/kartor_geotiff/A 49656-2025 georefererad karta.tif", "A 49656-2025")</f>
        <v/>
      </c>
      <c r="Z27">
        <f>HYPERLINK("https://klasma.github.io/Logging_2082/knärot/A 49656-2025 karta knärot.png", "A 49656-2025")</f>
        <v/>
      </c>
      <c r="AA27">
        <f>HYPERLINK("https://klasma.github.io/Logging_2082/klagomål/A 49656-2025 FSC-klagomål.docx", "A 49656-2025")</f>
        <v/>
      </c>
      <c r="AB27">
        <f>HYPERLINK("https://klasma.github.io/Logging_2082/klagomålsmail/A 49656-2025 FSC-klagomål mail.docx", "A 49656-2025")</f>
        <v/>
      </c>
      <c r="AC27">
        <f>HYPERLINK("https://klasma.github.io/Logging_2082/tillsyn/A 49656-2025 tillsynsbegäran.docx", "A 49656-2025")</f>
        <v/>
      </c>
      <c r="AD27">
        <f>HYPERLINK("https://klasma.github.io/Logging_2082/tillsynsmail/A 49656-2025 tillsynsbegäran mail.docx", "A 49656-2025")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46307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57427-2022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44896</v>
      </c>
      <c r="E29" s="1" t="n">
        <v>46307</v>
      </c>
      <c r="F29" t="inlineStr">
        <is>
          <t>DALARNAS LÄN</t>
        </is>
      </c>
      <c r="G29" t="inlineStr">
        <is>
          <t>SÄTER</t>
        </is>
      </c>
      <c r="I29" t="n">
        <v>3.3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Dropptaggsvamp</t>
        </is>
      </c>
      <c r="W29">
        <f>HYPERLINK("https://klasma.github.io/Logging_2082/artfynd/A 57427-2022 artfynd.xlsx", "A 57427-2022")</f>
        <v/>
      </c>
      <c r="X29">
        <f>HYPERLINK("https://klasma.github.io/Logging_2082/kartor/A 57427-2022 karta.png", "A 57427-2022")</f>
        <v/>
      </c>
      <c r="Y29">
        <f>HYPERLINK("https://klasma.github.io/Logging_2082/kartor_geotiff/A 57427-2022 georefererad karta.tif", "A 57427-2022")</f>
        <v/>
      </c>
      <c r="AA29">
        <f>HYPERLINK("https://klasma.github.io/Logging_2082/klagomål/A 57427-2022 FSC-klagomål.docx", "A 57427-2022")</f>
        <v/>
      </c>
      <c r="AB29">
        <f>HYPERLINK("https://klasma.github.io/Logging_2082/klagomålsmail/A 57427-2022 FSC-klagomål mail.docx", "A 57427-2022")</f>
        <v/>
      </c>
      <c r="AC29">
        <f>HYPERLINK("https://klasma.github.io/Logging_2082/tillsyn/A 57427-2022 tillsynsbegäran.docx", "A 57427-2022")</f>
        <v/>
      </c>
      <c r="AD29">
        <f>HYPERLINK("https://klasma.github.io/Logging_2082/tillsynsmail/A 57427-2022 tillsynsbegäran mail.docx", "A 57427-2022")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46307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46307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46307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Tvåblad</t>
        </is>
      </c>
      <c r="W32">
        <f>HYPERLINK("https://klasma.github.io/Logging_2082/artfynd/A 5232-2022 artfynd.xlsx", "A 5232-2022")</f>
        <v/>
      </c>
      <c r="X32">
        <f>HYPERLINK("https://klasma.github.io/Logging_2082/kartor/A 5232-2022 karta.png", "A 5232-2022")</f>
        <v/>
      </c>
      <c r="Y32">
        <f>HYPERLINK("https://klasma.github.io/Logging_2082/kartor_geotiff/A 5232-2022 georefererad karta.tif", "A 5232-2022")</f>
        <v/>
      </c>
      <c r="AA32">
        <f>HYPERLINK("https://klasma.github.io/Logging_2082/klagomål/A 5232-2022 FSC-klagomål.docx", "A 5232-2022")</f>
        <v/>
      </c>
      <c r="AB32">
        <f>HYPERLINK("https://klasma.github.io/Logging_2082/klagomålsmail/A 5232-2022 FSC-klagomål mail.docx", "A 5232-2022")</f>
        <v/>
      </c>
      <c r="AC32">
        <f>HYPERLINK("https://klasma.github.io/Logging_2082/tillsyn/A 5232-2022 tillsynsbegäran.docx", "A 5232-2022")</f>
        <v/>
      </c>
      <c r="AD32">
        <f>HYPERLINK("https://klasma.github.io/Logging_2082/tillsynsmail/A 5232-2022 tillsynsbegäran mail.docx", "A 5232-2022")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46307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46307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46307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46307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46307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46307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46307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27715-2023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46307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HYPERLINK("https://klasma.github.io/Logging_2082/artfynd/A 27715-2023 artfynd.xlsx", "A 27715-2023")</f>
        <v/>
      </c>
      <c r="X40">
        <f>HYPERLINK("https://klasma.github.io/Logging_2082/kartor/A 27715-2023 karta.png", "A 27715-2023")</f>
        <v/>
      </c>
      <c r="Y40">
        <f>HYPERLINK("https://klasma.github.io/Logging_2082/kartor_geotiff/A 27715-2023 georefererad karta.tif", "A 27715-2023")</f>
        <v/>
      </c>
      <c r="AA40">
        <f>HYPERLINK("https://klasma.github.io/Logging_2082/klagomål/A 27715-2023 FSC-klagomål.docx", "A 27715-2023")</f>
        <v/>
      </c>
      <c r="AB40">
        <f>HYPERLINK("https://klasma.github.io/Logging_2082/klagomålsmail/A 27715-2023 FSC-klagomål mail.docx", "A 27715-2023")</f>
        <v/>
      </c>
      <c r="AC40">
        <f>HYPERLINK("https://klasma.github.io/Logging_2082/tillsyn/A 27715-2023 tillsynsbegäran.docx", "A 27715-2023")</f>
        <v/>
      </c>
      <c r="AD40">
        <f>HYPERLINK("https://klasma.github.io/Logging_2082/tillsynsmail/A 27715-2023 tillsynsbegäran mail.docx", "A 27715-2023")</f>
        <v/>
      </c>
    </row>
    <row r="41" ht="15" customHeight="1">
      <c r="A41" t="inlineStr">
        <is>
          <t>A 39406-2024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45551</v>
      </c>
      <c r="E41" s="1" t="n">
        <v>46307</v>
      </c>
      <c r="F41" t="inlineStr">
        <is>
          <t>DALARNAS LÄN</t>
        </is>
      </c>
      <c r="G41" t="inlineStr">
        <is>
          <t>SÄTER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Sotriska</t>
        </is>
      </c>
      <c r="W41">
        <f>HYPERLINK("https://klasma.github.io/Logging_2082/artfynd/A 39406-2024 artfynd.xlsx", "A 39406-2024")</f>
        <v/>
      </c>
      <c r="X41">
        <f>HYPERLINK("https://klasma.github.io/Logging_2082/kartor/A 39406-2024 karta.png", "A 39406-2024")</f>
        <v/>
      </c>
      <c r="Y41">
        <f>HYPERLINK("https://klasma.github.io/Logging_2082/kartor_geotiff/A 39406-2024 georefererad karta.tif", "A 39406-2024")</f>
        <v/>
      </c>
      <c r="AA41">
        <f>HYPERLINK("https://klasma.github.io/Logging_2082/klagomål/A 39406-2024 FSC-klagomål.docx", "A 39406-2024")</f>
        <v/>
      </c>
      <c r="AB41">
        <f>HYPERLINK("https://klasma.github.io/Logging_2082/klagomålsmail/A 39406-2024 FSC-klagomål mail.docx", "A 39406-2024")</f>
        <v/>
      </c>
      <c r="AC41">
        <f>HYPERLINK("https://klasma.github.io/Logging_2082/tillsyn/A 39406-2024 tillsynsbegäran.docx", "A 39406-2024")</f>
        <v/>
      </c>
      <c r="AD41">
        <f>HYPERLINK("https://klasma.github.io/Logging_2082/tillsynsmail/A 39406-2024 tillsynsbegäran mail.docx", "A 39406-2024")</f>
        <v/>
      </c>
    </row>
    <row r="42" ht="15" customHeight="1">
      <c r="A42" t="inlineStr">
        <is>
          <t>A 61197-2025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46307</v>
      </c>
      <c r="F42" t="inlineStr">
        <is>
          <t>DALARNAS LÄN</t>
        </is>
      </c>
      <c r="G42" t="inlineStr">
        <is>
          <t>SÄTER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61197-2025 artfynd.xlsx", "A 61197-2025")</f>
        <v/>
      </c>
      <c r="X42">
        <f>HYPERLINK("https://klasma.github.io/Logging_2082/kartor/A 61197-2025 karta.png", "A 61197-2025")</f>
        <v/>
      </c>
      <c r="Y42">
        <f>HYPERLINK("https://klasma.github.io/Logging_2082/kartor_geotiff/A 61197-2025 georefererad karta.tif", "A 61197-2025")</f>
        <v/>
      </c>
      <c r="Z42">
        <f>HYPERLINK("https://klasma.github.io/Logging_2082/knärot/A 61197-2025 karta knärot.png", "A 61197-2025")</f>
        <v/>
      </c>
      <c r="AA42">
        <f>HYPERLINK("https://klasma.github.io/Logging_2082/klagomål/A 61197-2025 FSC-klagomål.docx", "A 61197-2025")</f>
        <v/>
      </c>
      <c r="AB42">
        <f>HYPERLINK("https://klasma.github.io/Logging_2082/klagomålsmail/A 61197-2025 FSC-klagomål mail.docx", "A 61197-2025")</f>
        <v/>
      </c>
      <c r="AC42">
        <f>HYPERLINK("https://klasma.github.io/Logging_2082/tillsyn/A 61197-2025 tillsynsbegäran.docx", "A 61197-2025")</f>
        <v/>
      </c>
      <c r="AD42">
        <f>HYPERLINK("https://klasma.github.io/Logging_2082/tillsynsmail/A 61197-2025 tillsynsbegäran mail.docx", "A 61197-2025")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46307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46307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11533-2026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46083</v>
      </c>
      <c r="E45" s="1" t="n">
        <v>46307</v>
      </c>
      <c r="F45" t="inlineStr">
        <is>
          <t>DALARNAS LÄN</t>
        </is>
      </c>
      <c r="G45" t="inlineStr">
        <is>
          <t>SÄTER</t>
        </is>
      </c>
      <c r="H45" t="inlineStr">
        <is>
          <t>Kommuner</t>
        </is>
      </c>
      <c r="I45" t="n">
        <v>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Fläcknycklar</t>
        </is>
      </c>
      <c r="W45">
        <f>HYPERLINK("https://klasma.github.io/Logging_2082/artfynd/A 11533-2026 artfynd.xlsx", "A 11533-2026")</f>
        <v/>
      </c>
      <c r="X45">
        <f>HYPERLINK("https://klasma.github.io/Logging_2082/kartor/A 11533-2026 karta.png", "A 11533-2026")</f>
        <v/>
      </c>
      <c r="Y45">
        <f>HYPERLINK("https://klasma.github.io/Logging_2082/kartor_geotiff/A 11533-2026 georefererad karta.tif", "A 11533-2026")</f>
        <v/>
      </c>
      <c r="AA45">
        <f>HYPERLINK("https://klasma.github.io/Logging_2082/klagomål/A 11533-2026 FSC-klagomål.docx", "A 11533-2026")</f>
        <v/>
      </c>
      <c r="AB45">
        <f>HYPERLINK("https://klasma.github.io/Logging_2082/klagomålsmail/A 11533-2026 FSC-klagomål mail.docx", "A 11533-2026")</f>
        <v/>
      </c>
      <c r="AC45">
        <f>HYPERLINK("https://klasma.github.io/Logging_2082/tillsyn/A 11533-2026 tillsynsbegäran.docx", "A 11533-2026")</f>
        <v/>
      </c>
      <c r="AD45">
        <f>HYPERLINK("https://klasma.github.io/Logging_2082/tillsynsmail/A 11533-2026 tillsynsbegäran mail.docx", "A 11533-2026")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46307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46307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46307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46307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46307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46307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46307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46307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46307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46307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46307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46307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46307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44500</v>
      </c>
      <c r="E59" s="1" t="n">
        <v>46307</v>
      </c>
      <c r="F59" t="inlineStr">
        <is>
          <t>DALARNAS LÄN</t>
        </is>
      </c>
      <c r="G59" t="inlineStr">
        <is>
          <t>SÄTER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46307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46307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46307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46307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46307</v>
      </c>
      <c r="F64" t="inlineStr">
        <is>
          <t>DALARNAS LÄN</t>
        </is>
      </c>
      <c r="G64" t="inlineStr">
        <is>
          <t>SÄTER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46307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46307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44688</v>
      </c>
      <c r="E67" s="1" t="n">
        <v>46307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46307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46307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46307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46307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46307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46307</v>
      </c>
      <c r="F73" t="inlineStr">
        <is>
          <t>DALARNAS LÄN</t>
        </is>
      </c>
      <c r="G73" t="inlineStr">
        <is>
          <t>SÄTER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46307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46307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46307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46307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46307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46307</v>
      </c>
      <c r="F79" t="inlineStr">
        <is>
          <t>DALARNAS LÄN</t>
        </is>
      </c>
      <c r="G79" t="inlineStr">
        <is>
          <t>SÄTER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46307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45599</v>
      </c>
      <c r="E81" s="1" t="n">
        <v>46307</v>
      </c>
      <c r="F81" t="inlineStr">
        <is>
          <t>DALARNAS LÄN</t>
        </is>
      </c>
      <c r="G81" t="inlineStr">
        <is>
          <t>SÄTER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46307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46307</v>
      </c>
      <c r="F83" t="inlineStr">
        <is>
          <t>DALARNAS LÄN</t>
        </is>
      </c>
      <c r="G83" t="inlineStr">
        <is>
          <t>SÄTER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46307</v>
      </c>
      <c r="F84" t="inlineStr">
        <is>
          <t>DALARNAS LÄN</t>
        </is>
      </c>
      <c r="G84" t="inlineStr">
        <is>
          <t>SÄTER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44869</v>
      </c>
      <c r="E85" s="1" t="n">
        <v>46307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46307</v>
      </c>
      <c r="F86" t="inlineStr">
        <is>
          <t>DALARNAS LÄN</t>
        </is>
      </c>
      <c r="G86" t="inlineStr">
        <is>
          <t>SÄTER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46307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45411</v>
      </c>
      <c r="E88" s="1" t="n">
        <v>46307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46307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46307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46307</v>
      </c>
      <c r="F91" t="inlineStr">
        <is>
          <t>DALARNAS LÄN</t>
        </is>
      </c>
      <c r="G91" t="inlineStr">
        <is>
          <t>SÄTER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44982</v>
      </c>
      <c r="E92" s="1" t="n">
        <v>46307</v>
      </c>
      <c r="F92" t="inlineStr">
        <is>
          <t>DALARNAS LÄN</t>
        </is>
      </c>
      <c r="G92" t="inlineStr">
        <is>
          <t>SÄTER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46307</v>
      </c>
      <c r="F93" t="inlineStr">
        <is>
          <t>DALARNAS LÄN</t>
        </is>
      </c>
      <c r="G93" t="inlineStr">
        <is>
          <t>SÄTER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46307</v>
      </c>
      <c r="F94" t="inlineStr">
        <is>
          <t>DALARNAS LÄN</t>
        </is>
      </c>
      <c r="G94" t="inlineStr">
        <is>
          <t>SÄTER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59707-2022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46307</v>
      </c>
      <c r="F95" t="inlineStr">
        <is>
          <t>DALARNAS LÄN</t>
        </is>
      </c>
      <c r="G95" t="inlineStr">
        <is>
          <t>SÄTER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46307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46307</v>
      </c>
      <c r="F97" t="inlineStr">
        <is>
          <t>DALARNAS LÄN</t>
        </is>
      </c>
      <c r="G97" t="inlineStr">
        <is>
          <t>SÄTER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21766-2024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46307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46307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46307</v>
      </c>
      <c r="F100" t="inlineStr">
        <is>
          <t>DALARNAS LÄN</t>
        </is>
      </c>
      <c r="G100" t="inlineStr">
        <is>
          <t>SÄTER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46307</v>
      </c>
      <c r="F101" t="inlineStr">
        <is>
          <t>DALARNAS LÄN</t>
        </is>
      </c>
      <c r="G101" t="inlineStr">
        <is>
          <t>SÄTER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44784</v>
      </c>
      <c r="E102" s="1" t="n">
        <v>46307</v>
      </c>
      <c r="F102" t="inlineStr">
        <is>
          <t>DALARNAS LÄN</t>
        </is>
      </c>
      <c r="G102" t="inlineStr">
        <is>
          <t>SÄTER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46307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46307</v>
      </c>
      <c r="F104" t="inlineStr">
        <is>
          <t>DALARNAS LÄN</t>
        </is>
      </c>
      <c r="G104" t="inlineStr">
        <is>
          <t>SÄTER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46307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46307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46307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46307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46307</v>
      </c>
      <c r="F109" t="inlineStr">
        <is>
          <t>DALARNAS LÄN</t>
        </is>
      </c>
      <c r="G109" t="inlineStr">
        <is>
          <t>SÄTER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46307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46307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44978</v>
      </c>
      <c r="E112" s="1" t="n">
        <v>46307</v>
      </c>
      <c r="F112" t="inlineStr">
        <is>
          <t>DALARNAS LÄN</t>
        </is>
      </c>
      <c r="G112" t="inlineStr">
        <is>
          <t>SÄTER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64788-2023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46307</v>
      </c>
      <c r="F113" t="inlineStr">
        <is>
          <t>DALARNAS LÄN</t>
        </is>
      </c>
      <c r="G113" t="inlineStr">
        <is>
          <t>SÄTER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46307</v>
      </c>
      <c r="F114" t="inlineStr">
        <is>
          <t>DALARNAS LÄN</t>
        </is>
      </c>
      <c r="G114" t="inlineStr">
        <is>
          <t>SÄTER</t>
        </is>
      </c>
      <c r="H114" t="inlineStr">
        <is>
          <t>Kommuner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51323-2024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45604</v>
      </c>
      <c r="E115" s="1" t="n">
        <v>46307</v>
      </c>
      <c r="F115" t="inlineStr">
        <is>
          <t>DALARNAS LÄN</t>
        </is>
      </c>
      <c r="G115" t="inlineStr">
        <is>
          <t>SÄTER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46307</v>
      </c>
      <c r="F116" t="inlineStr">
        <is>
          <t>DALARNAS LÄN</t>
        </is>
      </c>
      <c r="G116" t="inlineStr">
        <is>
          <t>SÄTER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46307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46307</v>
      </c>
      <c r="F118" t="inlineStr">
        <is>
          <t>DALARNAS LÄN</t>
        </is>
      </c>
      <c r="G118" t="inlineStr">
        <is>
          <t>SÄTER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46307</v>
      </c>
      <c r="F119" t="inlineStr">
        <is>
          <t>DALARNAS LÄN</t>
        </is>
      </c>
      <c r="G119" t="inlineStr">
        <is>
          <t>SÄTER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44866</v>
      </c>
      <c r="E120" s="1" t="n">
        <v>46307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46307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51333-2024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45604</v>
      </c>
      <c r="E122" s="1" t="n">
        <v>46307</v>
      </c>
      <c r="F122" t="inlineStr">
        <is>
          <t>DALARNAS LÄN</t>
        </is>
      </c>
      <c r="G122" t="inlineStr">
        <is>
          <t>SÄTER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45175</v>
      </c>
      <c r="E123" s="1" t="n">
        <v>46307</v>
      </c>
      <c r="F123" t="inlineStr">
        <is>
          <t>DALARNAS LÄN</t>
        </is>
      </c>
      <c r="G123" t="inlineStr">
        <is>
          <t>SÄTER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46307</v>
      </c>
      <c r="F124" t="inlineStr">
        <is>
          <t>DALARNAS LÄN</t>
        </is>
      </c>
      <c r="G124" t="inlineStr">
        <is>
          <t>SÄTER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HYPERLINK("https://klasma.github.io/Logging_2082/knärot/A 498-2025 karta knärot.png", "A 498-2025")</f>
        <v/>
      </c>
      <c r="AA124">
        <f>HYPERLINK("https://klasma.github.io/Logging_2082/klagomål/A 498-2025 FSC-klagomål.docx", "A 498-2025")</f>
        <v/>
      </c>
      <c r="AB124">
        <f>HYPERLINK("https://klasma.github.io/Logging_2082/klagomålsmail/A 498-2025 FSC-klagomål mail.docx", "A 498-2025")</f>
        <v/>
      </c>
      <c r="AC124">
        <f>HYPERLINK("https://klasma.github.io/Logging_2082/tillsyn/A 498-2025 tillsynsbegäran.docx", "A 498-2025")</f>
        <v/>
      </c>
      <c r="AD124">
        <f>HYPERLINK("https://klasma.github.io/Logging_2082/tillsynsmail/A 498-2025 tillsynsbegäran mail.docx", "A 498-2025")</f>
        <v/>
      </c>
    </row>
    <row r="125" ht="15" customHeight="1">
      <c r="A125" t="inlineStr">
        <is>
          <t>A 5543-2022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46307</v>
      </c>
      <c r="F125" t="inlineStr">
        <is>
          <t>DALARNAS LÄN</t>
        </is>
      </c>
      <c r="G125" t="inlineStr">
        <is>
          <t>SÄTER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44609</v>
      </c>
      <c r="E126" s="1" t="n">
        <v>46307</v>
      </c>
      <c r="F126" t="inlineStr">
        <is>
          <t>DALARNAS LÄN</t>
        </is>
      </c>
      <c r="G126" t="inlineStr">
        <is>
          <t>SÄTER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46307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46307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46307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46307</v>
      </c>
      <c r="F130" t="inlineStr">
        <is>
          <t>DALARNAS LÄN</t>
        </is>
      </c>
      <c r="G130" t="inlineStr">
        <is>
          <t>SÄTER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44572</v>
      </c>
      <c r="E131" s="1" t="n">
        <v>46307</v>
      </c>
      <c r="F131" t="inlineStr">
        <is>
          <t>DALARNAS LÄN</t>
        </is>
      </c>
      <c r="G131" t="inlineStr">
        <is>
          <t>SÄTER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46307</v>
      </c>
      <c r="F132" t="inlineStr">
        <is>
          <t>DALARNAS LÄN</t>
        </is>
      </c>
      <c r="G132" t="inlineStr">
        <is>
          <t>SÄTER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45138</v>
      </c>
      <c r="E133" s="1" t="n">
        <v>46307</v>
      </c>
      <c r="F133" t="inlineStr">
        <is>
          <t>DALARNAS LÄN</t>
        </is>
      </c>
      <c r="G133" t="inlineStr">
        <is>
          <t>SÄTER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46307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46307</v>
      </c>
      <c r="F135" t="inlineStr">
        <is>
          <t>DALARNAS LÄN</t>
        </is>
      </c>
      <c r="G135" t="inlineStr">
        <is>
          <t>SÄTER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45171</v>
      </c>
      <c r="E136" s="1" t="n">
        <v>46307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46307</v>
      </c>
      <c r="F137" t="inlineStr">
        <is>
          <t>DALARNAS LÄN</t>
        </is>
      </c>
      <c r="G137" t="inlineStr">
        <is>
          <t>SÄTER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45783</v>
      </c>
      <c r="E138" s="1" t="n">
        <v>46307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45484</v>
      </c>
      <c r="E139" s="1" t="n">
        <v>46307</v>
      </c>
      <c r="F139" t="inlineStr">
        <is>
          <t>DALARNAS LÄN</t>
        </is>
      </c>
      <c r="G139" t="inlineStr">
        <is>
          <t>SÄTER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44585</v>
      </c>
      <c r="E140" s="1" t="n">
        <v>46307</v>
      </c>
      <c r="F140" t="inlineStr">
        <is>
          <t>DALARNAS LÄN</t>
        </is>
      </c>
      <c r="G140" t="inlineStr">
        <is>
          <t>SÄTER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45428</v>
      </c>
      <c r="E141" s="1" t="n">
        <v>46307</v>
      </c>
      <c r="F141" t="inlineStr">
        <is>
          <t>DALARNAS LÄN</t>
        </is>
      </c>
      <c r="G141" t="inlineStr">
        <is>
          <t>SÄTER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46307</v>
      </c>
      <c r="F142" t="inlineStr">
        <is>
          <t>DALARNAS LÄN</t>
        </is>
      </c>
      <c r="G142" t="inlineStr">
        <is>
          <t>SÄTER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46307</v>
      </c>
      <c r="F143" t="inlineStr">
        <is>
          <t>DALARNAS LÄN</t>
        </is>
      </c>
      <c r="G143" t="inlineStr">
        <is>
          <t>SÄTER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11416-2022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44630</v>
      </c>
      <c r="E144" s="1" t="n">
        <v>46307</v>
      </c>
      <c r="F144" t="inlineStr">
        <is>
          <t>DALARNAS LÄN</t>
        </is>
      </c>
      <c r="G144" t="inlineStr">
        <is>
          <t>SÄTER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46307</v>
      </c>
      <c r="F145" t="inlineStr">
        <is>
          <t>DALARNAS LÄN</t>
        </is>
      </c>
      <c r="G145" t="inlineStr">
        <is>
          <t>SÄTER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46307</v>
      </c>
      <c r="F146" t="inlineStr">
        <is>
          <t>DALARNAS LÄN</t>
        </is>
      </c>
      <c r="G146" t="inlineStr">
        <is>
          <t>SÄTER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46307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46307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46307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41.4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46307</v>
      </c>
      <c r="F150" t="inlineStr">
        <is>
          <t>DALARNAS LÄN</t>
        </is>
      </c>
      <c r="G150" t="inlineStr">
        <is>
          <t>SÄTER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46307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46307</v>
      </c>
      <c r="F152" t="inlineStr">
        <is>
          <t>DALARNAS LÄN</t>
        </is>
      </c>
      <c r="G152" t="inlineStr">
        <is>
          <t>SÄTER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46307</v>
      </c>
      <c r="F153" t="inlineStr">
        <is>
          <t>DALARNAS LÄN</t>
        </is>
      </c>
      <c r="G153" t="inlineStr">
        <is>
          <t>SÄTER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46307</v>
      </c>
      <c r="F154" t="inlineStr">
        <is>
          <t>DALARNAS LÄN</t>
        </is>
      </c>
      <c r="G154" t="inlineStr">
        <is>
          <t>SÄTER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45365</v>
      </c>
      <c r="E155" s="1" t="n">
        <v>46307</v>
      </c>
      <c r="F155" t="inlineStr">
        <is>
          <t>DALARNAS LÄN</t>
        </is>
      </c>
      <c r="G155" t="inlineStr">
        <is>
          <t>SÄTER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46307</v>
      </c>
      <c r="F156" t="inlineStr">
        <is>
          <t>DALARNAS LÄN</t>
        </is>
      </c>
      <c r="G156" t="inlineStr">
        <is>
          <t>SÄTER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46307</v>
      </c>
      <c r="F157" t="inlineStr">
        <is>
          <t>DALARNAS LÄN</t>
        </is>
      </c>
      <c r="G157" t="inlineStr">
        <is>
          <t>SÄTER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46307</v>
      </c>
      <c r="F158" t="inlineStr">
        <is>
          <t>DALARNAS LÄN</t>
        </is>
      </c>
      <c r="G158" t="inlineStr">
        <is>
          <t>SÄTER</t>
        </is>
      </c>
      <c r="I158" t="n">
        <v>13.2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45118</v>
      </c>
      <c r="E159" s="1" t="n">
        <v>46307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46307</v>
      </c>
      <c r="F160" t="inlineStr">
        <is>
          <t>DALARNAS LÄN</t>
        </is>
      </c>
      <c r="G160" t="inlineStr">
        <is>
          <t>SÄTER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45462</v>
      </c>
      <c r="E161" s="1" t="n">
        <v>46307</v>
      </c>
      <c r="F161" t="inlineStr">
        <is>
          <t>DALARNAS LÄN</t>
        </is>
      </c>
      <c r="G161" t="inlineStr">
        <is>
          <t>SÄTER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46307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45604</v>
      </c>
      <c r="E163" s="1" t="n">
        <v>46307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46307</v>
      </c>
      <c r="F164" t="inlineStr">
        <is>
          <t>DALARNAS LÄN</t>
        </is>
      </c>
      <c r="G164" t="inlineStr">
        <is>
          <t>SÄTER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45190</v>
      </c>
      <c r="E165" s="1" t="n">
        <v>46307</v>
      </c>
      <c r="F165" t="inlineStr">
        <is>
          <t>DALARNAS LÄN</t>
        </is>
      </c>
      <c r="G165" t="inlineStr">
        <is>
          <t>SÄTER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45427</v>
      </c>
      <c r="E166" s="1" t="n">
        <v>46307</v>
      </c>
      <c r="F166" t="inlineStr">
        <is>
          <t>DALARNAS LÄN</t>
        </is>
      </c>
      <c r="G166" t="inlineStr">
        <is>
          <t>SÄTER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46307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46307</v>
      </c>
      <c r="F168" t="inlineStr">
        <is>
          <t>DALARNAS LÄN</t>
        </is>
      </c>
      <c r="G168" t="inlineStr">
        <is>
          <t>SÄTER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44691</v>
      </c>
      <c r="E169" s="1" t="n">
        <v>46307</v>
      </c>
      <c r="F169" t="inlineStr">
        <is>
          <t>DALARNAS LÄN</t>
        </is>
      </c>
      <c r="G169" t="inlineStr">
        <is>
          <t>SÄTER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46307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46307</v>
      </c>
      <c r="F171" t="inlineStr">
        <is>
          <t>DALARNAS LÄN</t>
        </is>
      </c>
      <c r="G171" t="inlineStr">
        <is>
          <t>SÄTER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46307</v>
      </c>
      <c r="F172" t="inlineStr">
        <is>
          <t>DALARNAS LÄN</t>
        </is>
      </c>
      <c r="G172" t="inlineStr">
        <is>
          <t>SÄTER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46307</v>
      </c>
      <c r="F173" t="inlineStr">
        <is>
          <t>DALARNAS LÄN</t>
        </is>
      </c>
      <c r="G173" t="inlineStr">
        <is>
          <t>SÄTER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46307</v>
      </c>
      <c r="F174" t="inlineStr">
        <is>
          <t>DALARNAS LÄN</t>
        </is>
      </c>
      <c r="G174" t="inlineStr">
        <is>
          <t>SÄTER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42998-2023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45182</v>
      </c>
      <c r="E175" s="1" t="n">
        <v>46307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51320-2024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45604</v>
      </c>
      <c r="E176" s="1" t="n">
        <v>46307</v>
      </c>
      <c r="F176" t="inlineStr">
        <is>
          <t>DALARNAS LÄN</t>
        </is>
      </c>
      <c r="G176" t="inlineStr">
        <is>
          <t>SÄTER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45604</v>
      </c>
      <c r="E177" s="1" t="n">
        <v>46307</v>
      </c>
      <c r="F177" t="inlineStr">
        <is>
          <t>DALARNAS LÄN</t>
        </is>
      </c>
      <c r="G177" t="inlineStr">
        <is>
          <t>SÄTER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46307</v>
      </c>
      <c r="F178" t="inlineStr">
        <is>
          <t>DALARNAS LÄN</t>
        </is>
      </c>
      <c r="G178" t="inlineStr">
        <is>
          <t>SÄTER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46307</v>
      </c>
      <c r="F179" t="inlineStr">
        <is>
          <t>DALARNAS LÄN</t>
        </is>
      </c>
      <c r="G179" t="inlineStr">
        <is>
          <t>SÄTER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46307</v>
      </c>
      <c r="F180" t="inlineStr">
        <is>
          <t>DALARNAS LÄN</t>
        </is>
      </c>
      <c r="G180" t="inlineStr">
        <is>
          <t>SÄTER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46307</v>
      </c>
      <c r="F181" t="inlineStr">
        <is>
          <t>DALARNAS LÄN</t>
        </is>
      </c>
      <c r="G181" t="inlineStr">
        <is>
          <t>SÄTER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46307</v>
      </c>
      <c r="F182" t="inlineStr">
        <is>
          <t>DALARNAS LÄN</t>
        </is>
      </c>
      <c r="G182" t="inlineStr">
        <is>
          <t>SÄTER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46307</v>
      </c>
      <c r="F183" t="inlineStr">
        <is>
          <t>DALARNAS LÄN</t>
        </is>
      </c>
      <c r="G183" t="inlineStr">
        <is>
          <t>SÄTER</t>
        </is>
      </c>
      <c r="H183" t="inlineStr">
        <is>
          <t>Kommuner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46307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46307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46307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46307</v>
      </c>
      <c r="F187" t="inlineStr">
        <is>
          <t>DALARNAS LÄN</t>
        </is>
      </c>
      <c r="G187" t="inlineStr">
        <is>
          <t>SÄTER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46307</v>
      </c>
      <c r="F188" t="inlineStr">
        <is>
          <t>DALARNAS LÄN</t>
        </is>
      </c>
      <c r="G188" t="inlineStr">
        <is>
          <t>SÄTER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46307</v>
      </c>
      <c r="F189" t="inlineStr">
        <is>
          <t>DALARNAS LÄN</t>
        </is>
      </c>
      <c r="G189" t="inlineStr">
        <is>
          <t>SÄTER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46307</v>
      </c>
      <c r="F190" t="inlineStr">
        <is>
          <t>DALARNAS LÄN</t>
        </is>
      </c>
      <c r="G190" t="inlineStr">
        <is>
          <t>SÄTER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46307</v>
      </c>
      <c r="F191" t="inlineStr">
        <is>
          <t>DALARNAS LÄN</t>
        </is>
      </c>
      <c r="G191" t="inlineStr">
        <is>
          <t>SÄTER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46307</v>
      </c>
      <c r="F192" t="inlineStr">
        <is>
          <t>DALARNAS LÄN</t>
        </is>
      </c>
      <c r="G192" t="inlineStr">
        <is>
          <t>SÄTER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46307</v>
      </c>
      <c r="F193" t="inlineStr">
        <is>
          <t>DALARNAS LÄN</t>
        </is>
      </c>
      <c r="G193" t="inlineStr">
        <is>
          <t>SÄTER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46307</v>
      </c>
      <c r="F194" t="inlineStr">
        <is>
          <t>DALARNAS LÄN</t>
        </is>
      </c>
      <c r="G194" t="inlineStr">
        <is>
          <t>SÄTER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46307</v>
      </c>
      <c r="F195" t="inlineStr">
        <is>
          <t>DALARNAS LÄN</t>
        </is>
      </c>
      <c r="G195" t="inlineStr">
        <is>
          <t>SÄTER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46307</v>
      </c>
      <c r="F196" t="inlineStr">
        <is>
          <t>DALARNAS LÄN</t>
        </is>
      </c>
      <c r="G196" t="inlineStr">
        <is>
          <t>SÄTER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46307</v>
      </c>
      <c r="F197" t="inlineStr">
        <is>
          <t>DALARNAS LÄN</t>
        </is>
      </c>
      <c r="G197" t="inlineStr">
        <is>
          <t>SÄTER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46307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46307</v>
      </c>
      <c r="F199" t="inlineStr">
        <is>
          <t>DALARNAS LÄN</t>
        </is>
      </c>
      <c r="G199" t="inlineStr">
        <is>
          <t>SÄTER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46307</v>
      </c>
      <c r="F200" t="inlineStr">
        <is>
          <t>DALARNAS LÄN</t>
        </is>
      </c>
      <c r="G200" t="inlineStr">
        <is>
          <t>SÄTER</t>
        </is>
      </c>
      <c r="I200" t="n">
        <v>10.9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46307</v>
      </c>
      <c r="F201" t="inlineStr">
        <is>
          <t>DALARNAS LÄN</t>
        </is>
      </c>
      <c r="G201" t="inlineStr">
        <is>
          <t>SÄTER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46307</v>
      </c>
      <c r="F202" t="inlineStr">
        <is>
          <t>DALARNAS LÄN</t>
        </is>
      </c>
      <c r="G202" t="inlineStr">
        <is>
          <t>SÄTER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46307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46307</v>
      </c>
      <c r="F204" t="inlineStr">
        <is>
          <t>DALARNAS LÄN</t>
        </is>
      </c>
      <c r="G204" t="inlineStr">
        <is>
          <t>SÄTER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46307</v>
      </c>
      <c r="F205" t="inlineStr">
        <is>
          <t>DALARNAS LÄN</t>
        </is>
      </c>
      <c r="G205" t="inlineStr">
        <is>
          <t>SÄTER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46307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46307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46307</v>
      </c>
      <c r="F208" t="inlineStr">
        <is>
          <t>DALARNAS LÄN</t>
        </is>
      </c>
      <c r="G208" t="inlineStr">
        <is>
          <t>SÄTER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53559-2025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45960</v>
      </c>
      <c r="E209" s="1" t="n">
        <v>46307</v>
      </c>
      <c r="F209" t="inlineStr">
        <is>
          <t>DALARNAS LÄN</t>
        </is>
      </c>
      <c r="G209" t="inlineStr">
        <is>
          <t>SÄTER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46307</v>
      </c>
      <c r="F210" t="inlineStr">
        <is>
          <t>DALARNAS LÄN</t>
        </is>
      </c>
      <c r="G210" t="inlineStr">
        <is>
          <t>SÄTER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44690</v>
      </c>
      <c r="E211" s="1" t="n">
        <v>46307</v>
      </c>
      <c r="F211" t="inlineStr">
        <is>
          <t>DALARNAS LÄN</t>
        </is>
      </c>
      <c r="G211" t="inlineStr">
        <is>
          <t>SÄTER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46307</v>
      </c>
      <c r="F212" t="inlineStr">
        <is>
          <t>DALARNAS LÄN</t>
        </is>
      </c>
      <c r="G212" t="inlineStr">
        <is>
          <t>SÄTER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46307</v>
      </c>
      <c r="F213" t="inlineStr">
        <is>
          <t>DALARNAS LÄN</t>
        </is>
      </c>
      <c r="G213" t="inlineStr">
        <is>
          <t>SÄTER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46307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44727</v>
      </c>
      <c r="E215" s="1" t="n">
        <v>46307</v>
      </c>
      <c r="F215" t="inlineStr">
        <is>
          <t>DALARNAS LÄN</t>
        </is>
      </c>
      <c r="G215" t="inlineStr">
        <is>
          <t>SÄTER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46307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46307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28549-2022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44748</v>
      </c>
      <c r="E218" s="1" t="n">
        <v>46307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46307</v>
      </c>
      <c r="F219" t="inlineStr">
        <is>
          <t>DALARNAS LÄN</t>
        </is>
      </c>
      <c r="G219" t="inlineStr">
        <is>
          <t>SÄTER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46307</v>
      </c>
      <c r="F220" t="inlineStr">
        <is>
          <t>DALARNAS LÄN</t>
        </is>
      </c>
      <c r="G220" t="inlineStr">
        <is>
          <t>SÄTER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46307</v>
      </c>
      <c r="F221" t="inlineStr">
        <is>
          <t>DALARNAS LÄN</t>
        </is>
      </c>
      <c r="G221" t="inlineStr">
        <is>
          <t>SÄTER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46307</v>
      </c>
      <c r="F222" t="inlineStr">
        <is>
          <t>DALARNAS LÄN</t>
        </is>
      </c>
      <c r="G222" t="inlineStr">
        <is>
          <t>SÄTER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45855</v>
      </c>
      <c r="E223" s="1" t="n">
        <v>46307</v>
      </c>
      <c r="F223" t="inlineStr">
        <is>
          <t>DALARNAS LÄN</t>
        </is>
      </c>
      <c r="G223" t="inlineStr">
        <is>
          <t>SÄTER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46307</v>
      </c>
      <c r="F224" t="inlineStr">
        <is>
          <t>DALARNAS LÄN</t>
        </is>
      </c>
      <c r="G224" t="inlineStr">
        <is>
          <t>SÄTER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  <c r="Z224">
        <f>HYPERLINK("https://klasma.github.io/Logging_2082/knärot/A 57416-2022 karta knärot.png", "A 57416-2022")</f>
        <v/>
      </c>
      <c r="AA224">
        <f>HYPERLINK("https://klasma.github.io/Logging_2082/klagomål/A 57416-2022 FSC-klagomål.docx", "A 57416-2022")</f>
        <v/>
      </c>
      <c r="AB224">
        <f>HYPERLINK("https://klasma.github.io/Logging_2082/klagomålsmail/A 57416-2022 FSC-klagomål mail.docx", "A 57416-2022")</f>
        <v/>
      </c>
      <c r="AC224">
        <f>HYPERLINK("https://klasma.github.io/Logging_2082/tillsyn/A 57416-2022 tillsynsbegäran.docx", "A 57416-2022")</f>
        <v/>
      </c>
      <c r="AD224">
        <f>HYPERLINK("https://klasma.github.io/Logging_2082/tillsynsmail/A 57416-2022 tillsynsbegäran mail.docx", "A 57416-2022")</f>
        <v/>
      </c>
    </row>
    <row r="225" ht="15" customHeight="1">
      <c r="A225" t="inlineStr">
        <is>
          <t>A 25690-2022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44732</v>
      </c>
      <c r="E225" s="1" t="n">
        <v>46307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46307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45870</v>
      </c>
      <c r="E227" s="1" t="n">
        <v>46307</v>
      </c>
      <c r="F227" t="inlineStr">
        <is>
          <t>DALARNAS LÄN</t>
        </is>
      </c>
      <c r="G227" t="inlineStr">
        <is>
          <t>SÄTER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46307</v>
      </c>
      <c r="F228" t="inlineStr">
        <is>
          <t>DALARNAS LÄN</t>
        </is>
      </c>
      <c r="G228" t="inlineStr">
        <is>
          <t>SÄTER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46307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46307</v>
      </c>
      <c r="F230" t="inlineStr">
        <is>
          <t>DALARNAS LÄN</t>
        </is>
      </c>
      <c r="G230" t="inlineStr">
        <is>
          <t>SÄTER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45273</v>
      </c>
      <c r="E231" s="1" t="n">
        <v>46307</v>
      </c>
      <c r="F231" t="inlineStr">
        <is>
          <t>DALARNAS LÄN</t>
        </is>
      </c>
      <c r="G231" t="inlineStr">
        <is>
          <t>SÄTER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45875</v>
      </c>
      <c r="E232" s="1" t="n">
        <v>46307</v>
      </c>
      <c r="F232" t="inlineStr">
        <is>
          <t>DALARNAS LÄN</t>
        </is>
      </c>
      <c r="G232" t="inlineStr">
        <is>
          <t>SÄTER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46307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46307</v>
      </c>
      <c r="F234" t="inlineStr">
        <is>
          <t>DALARNAS LÄN</t>
        </is>
      </c>
      <c r="G234" t="inlineStr">
        <is>
          <t>SÄTER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44788</v>
      </c>
      <c r="E235" s="1" t="n">
        <v>46307</v>
      </c>
      <c r="F235" t="inlineStr">
        <is>
          <t>DALARNAS LÄN</t>
        </is>
      </c>
      <c r="G235" t="inlineStr">
        <is>
          <t>SÄTER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54826-2023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45236</v>
      </c>
      <c r="E236" s="1" t="n">
        <v>46307</v>
      </c>
      <c r="F236" t="inlineStr">
        <is>
          <t>DALARNAS LÄN</t>
        </is>
      </c>
      <c r="G236" t="inlineStr">
        <is>
          <t>SÄTER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46307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46307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46098</v>
      </c>
      <c r="E239" s="1" t="n">
        <v>46307</v>
      </c>
      <c r="F239" t="inlineStr">
        <is>
          <t>DALARNAS LÄN</t>
        </is>
      </c>
      <c r="G239" t="inlineStr">
        <is>
          <t>SÄTER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46307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46307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46307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46307</v>
      </c>
      <c r="F243" t="inlineStr">
        <is>
          <t>DALARNAS LÄN</t>
        </is>
      </c>
      <c r="G243" t="inlineStr">
        <is>
          <t>SÄTER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46307</v>
      </c>
      <c r="F244" t="inlineStr">
        <is>
          <t>DALARNAS LÄN</t>
        </is>
      </c>
      <c r="G244" t="inlineStr">
        <is>
          <t>SÄTER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69744-2021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46307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46307</v>
      </c>
      <c r="F246" t="inlineStr">
        <is>
          <t>DALARNAS LÄN</t>
        </is>
      </c>
      <c r="G246" t="inlineStr">
        <is>
          <t>SÄTER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46307</v>
      </c>
      <c r="F247" t="inlineStr">
        <is>
          <t>DALARNAS LÄN</t>
        </is>
      </c>
      <c r="G247" t="inlineStr">
        <is>
          <t>SÄTER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46307</v>
      </c>
      <c r="F248" t="inlineStr">
        <is>
          <t>DALARNAS LÄN</t>
        </is>
      </c>
      <c r="G248" t="inlineStr">
        <is>
          <t>SÄTER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46307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44581</v>
      </c>
      <c r="E250" s="1" t="n">
        <v>46307</v>
      </c>
      <c r="F250" t="inlineStr">
        <is>
          <t>DALARNAS LÄN</t>
        </is>
      </c>
      <c r="G250" t="inlineStr">
        <is>
          <t>SÄTER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46307</v>
      </c>
      <c r="F251" t="inlineStr">
        <is>
          <t>DALARNAS LÄN</t>
        </is>
      </c>
      <c r="G251" t="inlineStr">
        <is>
          <t>SÄTER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46307</v>
      </c>
      <c r="F252" t="inlineStr">
        <is>
          <t>DALARNAS LÄN</t>
        </is>
      </c>
      <c r="G252" t="inlineStr">
        <is>
          <t>SÄTER</t>
        </is>
      </c>
      <c r="I252" t="n">
        <v>15.2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46307</v>
      </c>
      <c r="F253" t="inlineStr">
        <is>
          <t>DALARNAS LÄN</t>
        </is>
      </c>
      <c r="G253" t="inlineStr">
        <is>
          <t>SÄTER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46307</v>
      </c>
      <c r="F254" t="inlineStr">
        <is>
          <t>DALARNAS LÄN</t>
        </is>
      </c>
      <c r="G254" t="inlineStr">
        <is>
          <t>SÄTER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46307</v>
      </c>
      <c r="F255" t="inlineStr">
        <is>
          <t>DALARNAS LÄN</t>
        </is>
      </c>
      <c r="G255" t="inlineStr">
        <is>
          <t>SÄTER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46307</v>
      </c>
      <c r="F256" t="inlineStr">
        <is>
          <t>DALARNAS LÄN</t>
        </is>
      </c>
      <c r="G256" t="inlineStr">
        <is>
          <t>SÄTER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46307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46307</v>
      </c>
      <c r="F258" t="inlineStr">
        <is>
          <t>DALARNAS LÄN</t>
        </is>
      </c>
      <c r="G258" t="inlineStr">
        <is>
          <t>SÄTER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46307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51328-2024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45604</v>
      </c>
      <c r="E260" s="1" t="n">
        <v>46307</v>
      </c>
      <c r="F260" t="inlineStr">
        <is>
          <t>DALARNAS LÄN</t>
        </is>
      </c>
      <c r="G260" t="inlineStr">
        <is>
          <t>SÄTER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51339-2024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45604</v>
      </c>
      <c r="E261" s="1" t="n">
        <v>46307</v>
      </c>
      <c r="F261" t="inlineStr">
        <is>
          <t>DALARNAS LÄN</t>
        </is>
      </c>
      <c r="G261" t="inlineStr">
        <is>
          <t>SÄTER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46307</v>
      </c>
      <c r="F262" t="inlineStr">
        <is>
          <t>DALARNAS LÄN</t>
        </is>
      </c>
      <c r="G262" t="inlineStr">
        <is>
          <t>SÄTER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46307</v>
      </c>
      <c r="F263" t="inlineStr">
        <is>
          <t>DALARNAS LÄN</t>
        </is>
      </c>
      <c r="G263" t="inlineStr">
        <is>
          <t>SÄTER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46307</v>
      </c>
      <c r="F264" t="inlineStr">
        <is>
          <t>DALARNAS LÄN</t>
        </is>
      </c>
      <c r="G264" t="inlineStr">
        <is>
          <t>SÄTER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46307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46307</v>
      </c>
      <c r="F266" t="inlineStr">
        <is>
          <t>DALARNAS LÄN</t>
        </is>
      </c>
      <c r="G266" t="inlineStr">
        <is>
          <t>SÄTER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46307</v>
      </c>
      <c r="F267" t="inlineStr">
        <is>
          <t>DALARNAS LÄN</t>
        </is>
      </c>
      <c r="G267" t="inlineStr">
        <is>
          <t>SÄTER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46307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46307</v>
      </c>
      <c r="F269" t="inlineStr">
        <is>
          <t>DALARNAS LÄN</t>
        </is>
      </c>
      <c r="G269" t="inlineStr">
        <is>
          <t>SÄTER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46027</v>
      </c>
      <c r="E270" s="1" t="n">
        <v>46307</v>
      </c>
      <c r="F270" t="inlineStr">
        <is>
          <t>DALARNAS LÄN</t>
        </is>
      </c>
      <c r="G270" t="inlineStr">
        <is>
          <t>SÄTER</t>
        </is>
      </c>
      <c r="I270" t="n">
        <v>12.1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46307</v>
      </c>
      <c r="F271" t="inlineStr">
        <is>
          <t>DALARNAS LÄN</t>
        </is>
      </c>
      <c r="G271" t="inlineStr">
        <is>
          <t>SÄTER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46030</v>
      </c>
      <c r="E272" s="1" t="n">
        <v>46307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46307</v>
      </c>
      <c r="F273" t="inlineStr">
        <is>
          <t>DALARNAS LÄN</t>
        </is>
      </c>
      <c r="G273" t="inlineStr">
        <is>
          <t>SÄTER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46307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46307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46307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46307</v>
      </c>
      <c r="F277" t="inlineStr">
        <is>
          <t>DALARNAS LÄN</t>
        </is>
      </c>
      <c r="G277" t="inlineStr">
        <is>
          <t>SÄTER</t>
        </is>
      </c>
      <c r="H277" t="inlineStr">
        <is>
          <t>Kommuner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44643</v>
      </c>
      <c r="E278" s="1" t="n">
        <v>46307</v>
      </c>
      <c r="F278" t="inlineStr">
        <is>
          <t>DALARNAS LÄN</t>
        </is>
      </c>
      <c r="G278" t="inlineStr">
        <is>
          <t>SÄTER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46307</v>
      </c>
      <c r="F279" t="inlineStr">
        <is>
          <t>DALARNAS LÄN</t>
        </is>
      </c>
      <c r="G279" t="inlineStr">
        <is>
          <t>SÄTER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46307</v>
      </c>
      <c r="F280" t="inlineStr">
        <is>
          <t>DALARNAS LÄN</t>
        </is>
      </c>
      <c r="G280" t="inlineStr">
        <is>
          <t>SÄTER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46307</v>
      </c>
      <c r="F281" t="inlineStr">
        <is>
          <t>DALARNAS LÄN</t>
        </is>
      </c>
      <c r="G281" t="inlineStr">
        <is>
          <t>SÄTER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46307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46307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46307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46307</v>
      </c>
      <c r="F285" t="inlineStr">
        <is>
          <t>DALARNAS LÄN</t>
        </is>
      </c>
      <c r="G285" t="inlineStr">
        <is>
          <t>SÄTER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46307</v>
      </c>
      <c r="F286" t="inlineStr">
        <is>
          <t>DALARNAS LÄN</t>
        </is>
      </c>
      <c r="G286" t="inlineStr">
        <is>
          <t>SÄTER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46307</v>
      </c>
      <c r="F287" t="inlineStr">
        <is>
          <t>DALARNAS LÄN</t>
        </is>
      </c>
      <c r="G287" t="inlineStr">
        <is>
          <t>SÄTER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46307</v>
      </c>
      <c r="F288" t="inlineStr">
        <is>
          <t>DALARNAS LÄN</t>
        </is>
      </c>
      <c r="G288" t="inlineStr">
        <is>
          <t>SÄTER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46307</v>
      </c>
      <c r="F289" t="inlineStr">
        <is>
          <t>DALARNAS LÄN</t>
        </is>
      </c>
      <c r="G289" t="inlineStr">
        <is>
          <t>SÄTER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46307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46307</v>
      </c>
      <c r="F291" t="inlineStr">
        <is>
          <t>DALARNAS LÄN</t>
        </is>
      </c>
      <c r="G291" t="inlineStr">
        <is>
          <t>SÄTER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46307</v>
      </c>
      <c r="F292" t="inlineStr">
        <is>
          <t>DALARNAS LÄN</t>
        </is>
      </c>
      <c r="G292" t="inlineStr">
        <is>
          <t>SÄTER</t>
        </is>
      </c>
      <c r="I292" t="n">
        <v>10.6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46307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46307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46307</v>
      </c>
      <c r="F295" t="inlineStr">
        <is>
          <t>DALARNAS LÄN</t>
        </is>
      </c>
      <c r="G295" t="inlineStr">
        <is>
          <t>SÄTER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46307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46307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46307</v>
      </c>
      <c r="F298" t="inlineStr">
        <is>
          <t>DALARNAS LÄN</t>
        </is>
      </c>
      <c r="G298" t="inlineStr">
        <is>
          <t>SÄTER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46307</v>
      </c>
      <c r="F299" t="inlineStr">
        <is>
          <t>DALARNAS LÄN</t>
        </is>
      </c>
      <c r="G299" t="inlineStr">
        <is>
          <t>SÄTER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46307</v>
      </c>
      <c r="F300" t="inlineStr">
        <is>
          <t>DALARNAS LÄN</t>
        </is>
      </c>
      <c r="G300" t="inlineStr">
        <is>
          <t>SÄTER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46307</v>
      </c>
      <c r="F301" t="inlineStr">
        <is>
          <t>DALARNAS LÄN</t>
        </is>
      </c>
      <c r="G301" t="inlineStr">
        <is>
          <t>SÄTER</t>
        </is>
      </c>
      <c r="H301" t="inlineStr">
        <is>
          <t>Kommuner</t>
        </is>
      </c>
      <c r="I301" t="n">
        <v>42.6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46307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46307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46307</v>
      </c>
      <c r="F304" t="inlineStr">
        <is>
          <t>DALARNAS LÄN</t>
        </is>
      </c>
      <c r="G304" t="inlineStr">
        <is>
          <t>SÄTER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46307</v>
      </c>
      <c r="F305" t="inlineStr">
        <is>
          <t>DALARNAS LÄN</t>
        </is>
      </c>
      <c r="G305" t="inlineStr">
        <is>
          <t>SÄTER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46307</v>
      </c>
      <c r="F306" t="inlineStr">
        <is>
          <t>DALARNAS LÄN</t>
        </is>
      </c>
      <c r="G306" t="inlineStr">
        <is>
          <t>SÄTER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46307</v>
      </c>
      <c r="F307" t="inlineStr">
        <is>
          <t>DALARNAS LÄN</t>
        </is>
      </c>
      <c r="G307" t="inlineStr">
        <is>
          <t>SÄTER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46307</v>
      </c>
      <c r="F308" t="inlineStr">
        <is>
          <t>DALARNAS LÄN</t>
        </is>
      </c>
      <c r="G308" t="inlineStr">
        <is>
          <t>SÄTER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46307</v>
      </c>
      <c r="F309" t="inlineStr">
        <is>
          <t>DALARNAS LÄN</t>
        </is>
      </c>
      <c r="G309" t="inlineStr">
        <is>
          <t>SÄTER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46064</v>
      </c>
      <c r="E310" s="1" t="n">
        <v>46307</v>
      </c>
      <c r="F310" t="inlineStr">
        <is>
          <t>DALARNAS LÄN</t>
        </is>
      </c>
      <c r="G310" t="inlineStr">
        <is>
          <t>SÄTER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46307</v>
      </c>
      <c r="F311" t="inlineStr">
        <is>
          <t>DALARNAS LÄN</t>
        </is>
      </c>
      <c r="G311" t="inlineStr">
        <is>
          <t>SÄTER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46307</v>
      </c>
      <c r="F312" t="inlineStr">
        <is>
          <t>DALARNAS LÄN</t>
        </is>
      </c>
      <c r="G312" t="inlineStr">
        <is>
          <t>SÄTER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46307</v>
      </c>
      <c r="F313" t="inlineStr">
        <is>
          <t>DALARNAS LÄN</t>
        </is>
      </c>
      <c r="G313" t="inlineStr">
        <is>
          <t>SÄTER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46307</v>
      </c>
      <c r="F314" t="inlineStr">
        <is>
          <t>DALARNAS LÄN</t>
        </is>
      </c>
      <c r="G314" t="inlineStr">
        <is>
          <t>SÄTER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46307</v>
      </c>
      <c r="F315" t="inlineStr">
        <is>
          <t>DALARNAS LÄN</t>
        </is>
      </c>
      <c r="G315" t="inlineStr">
        <is>
          <t>SÄTER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46307</v>
      </c>
      <c r="F316" t="inlineStr">
        <is>
          <t>DALARNAS LÄN</t>
        </is>
      </c>
      <c r="G316" t="inlineStr">
        <is>
          <t>SÄTER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46307</v>
      </c>
      <c r="F317" t="inlineStr">
        <is>
          <t>DALARNAS LÄN</t>
        </is>
      </c>
      <c r="G317" t="inlineStr">
        <is>
          <t>SÄTER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46307</v>
      </c>
      <c r="F318" t="inlineStr">
        <is>
          <t>DALARNAS LÄN</t>
        </is>
      </c>
      <c r="G318" t="inlineStr">
        <is>
          <t>SÄTER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46307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46307</v>
      </c>
      <c r="F320" t="inlineStr">
        <is>
          <t>DALARNAS LÄN</t>
        </is>
      </c>
      <c r="G320" t="inlineStr">
        <is>
          <t>SÄTER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46307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46307</v>
      </c>
      <c r="F322" t="inlineStr">
        <is>
          <t>DALARNAS LÄN</t>
        </is>
      </c>
      <c r="G322" t="inlineStr">
        <is>
          <t>SÄTER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46307</v>
      </c>
      <c r="F323" t="inlineStr">
        <is>
          <t>DALARNAS LÄN</t>
        </is>
      </c>
      <c r="G323" t="inlineStr">
        <is>
          <t>SÄTER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46307</v>
      </c>
      <c r="F324" t="inlineStr">
        <is>
          <t>DALARNAS LÄN</t>
        </is>
      </c>
      <c r="G324" t="inlineStr">
        <is>
          <t>SÄTER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46164</v>
      </c>
      <c r="E325" s="1" t="n">
        <v>46307</v>
      </c>
      <c r="F325" t="inlineStr">
        <is>
          <t>DALARNAS LÄN</t>
        </is>
      </c>
      <c r="G325" t="inlineStr">
        <is>
          <t>SÄTER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23735-2026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46307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46307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46307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46307</v>
      </c>
      <c r="F329" t="inlineStr">
        <is>
          <t>DALARNAS LÄN</t>
        </is>
      </c>
      <c r="G329" t="inlineStr">
        <is>
          <t>SÄTER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46307</v>
      </c>
      <c r="F330" t="inlineStr">
        <is>
          <t>DALARNAS LÄN</t>
        </is>
      </c>
      <c r="G330" t="inlineStr">
        <is>
          <t>SÄTER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46307</v>
      </c>
      <c r="F331" t="inlineStr">
        <is>
          <t>DALARNAS LÄN</t>
        </is>
      </c>
      <c r="G331" t="inlineStr">
        <is>
          <t>SÄTER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46307</v>
      </c>
      <c r="F332" t="inlineStr">
        <is>
          <t>DALARNAS LÄN</t>
        </is>
      </c>
      <c r="G332" t="inlineStr">
        <is>
          <t>SÄTER</t>
        </is>
      </c>
      <c r="H332" t="inlineStr">
        <is>
          <t>Övriga statliga verk och myndigheter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46307</v>
      </c>
      <c r="F333" t="inlineStr">
        <is>
          <t>DALARNAS LÄN</t>
        </is>
      </c>
      <c r="G333" t="inlineStr">
        <is>
          <t>SÄTER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46307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46307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46307</v>
      </c>
      <c r="F336" t="inlineStr">
        <is>
          <t>DALARNAS LÄN</t>
        </is>
      </c>
      <c r="G336" t="inlineStr">
        <is>
          <t>SÄTER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46307</v>
      </c>
      <c r="F337" t="inlineStr">
        <is>
          <t>DALARNAS LÄN</t>
        </is>
      </c>
      <c r="G337" t="inlineStr">
        <is>
          <t>SÄTER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46307</v>
      </c>
      <c r="F338" t="inlineStr">
        <is>
          <t>DALARNAS LÄN</t>
        </is>
      </c>
      <c r="G338" t="inlineStr">
        <is>
          <t>SÄTER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46307</v>
      </c>
      <c r="F339" t="inlineStr">
        <is>
          <t>DALARNAS LÄN</t>
        </is>
      </c>
      <c r="G339" t="inlineStr">
        <is>
          <t>SÄTER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46307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46307</v>
      </c>
      <c r="F341" t="inlineStr">
        <is>
          <t>DALARNAS LÄN</t>
        </is>
      </c>
      <c r="G341" t="inlineStr">
        <is>
          <t>SÄTER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46275</v>
      </c>
      <c r="E342" s="1" t="n">
        <v>46307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46234</v>
      </c>
      <c r="E343" s="1" t="n">
        <v>46307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46307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46307</v>
      </c>
      <c r="F345" t="inlineStr">
        <is>
          <t>DALARNAS LÄN</t>
        </is>
      </c>
      <c r="G345" t="inlineStr">
        <is>
          <t>SÄTER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26503-2022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44739</v>
      </c>
      <c r="E346" s="1" t="n">
        <v>46307</v>
      </c>
      <c r="F346" t="inlineStr">
        <is>
          <t>DALARNAS LÄN</t>
        </is>
      </c>
      <c r="G346" t="inlineStr">
        <is>
          <t>SÄTER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46307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46307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9.199999999999999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46307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46307</v>
      </c>
      <c r="F350" t="inlineStr">
        <is>
          <t>DALARNAS LÄN</t>
        </is>
      </c>
      <c r="G350" t="inlineStr">
        <is>
          <t>SÄTER</t>
        </is>
      </c>
      <c r="H350" t="inlineStr">
        <is>
          <t>Sveaskog</t>
        </is>
      </c>
      <c r="I350" t="n">
        <v>19.8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46293</v>
      </c>
      <c r="E351" s="1" t="n">
        <v>46307</v>
      </c>
      <c r="F351" t="inlineStr">
        <is>
          <t>DALARNAS LÄN</t>
        </is>
      </c>
      <c r="G351" t="inlineStr">
        <is>
          <t>SÄTER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46300</v>
      </c>
      <c r="E352" s="1" t="n">
        <v>46307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46254</v>
      </c>
      <c r="E353" s="1" t="n">
        <v>46307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39998-2026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46293</v>
      </c>
      <c r="E354" s="1" t="n">
        <v>46307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46261</v>
      </c>
      <c r="E355" s="1" t="n">
        <v>46307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35564-2026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46262</v>
      </c>
      <c r="E356" s="1" t="n">
        <v>46307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46307</v>
      </c>
      <c r="F357" t="inlineStr">
        <is>
          <t>DALARNAS LÄN</t>
        </is>
      </c>
      <c r="G357" t="inlineStr">
        <is>
          <t>SÄTER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23737-2026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46307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46307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46307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46307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46307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46307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46307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46307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46307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46307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2026-10-12T02:04:03Z</dcterms:created>
  <dcterms:modified xmlns:dcterms="http://purl.org/dc/terms/" xmlns:xsi="http://www.w3.org/2001/XMLSchema-instance" xsi:type="dcterms:W3CDTF">2026-10-12T02:04:03Z</dcterms:modified>
</cp:coreProperties>
</file>